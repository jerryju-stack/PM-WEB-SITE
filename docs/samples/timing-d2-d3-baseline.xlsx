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psSource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rie\Downloads\"/>
    </mc:Choice>
  </mc:AlternateContent>
  <xr:revisionPtr revIDLastSave="0" documentId="13_ncr:1_{D9454B98-FB0F-478B-AB24-03F24900EBC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Timing浏览" sheetId="1" r:id="rId1"/>
    <sheet name="任务编辑" sheetId="2" r:id="rId2"/>
    <sheet name="排期计算" sheetId="3" state="veryHidden" r:id="rId3"/>
  </sheets>
  <definedNames>
    <definedName name="_TimingPrintLastEnd" hidden="1">_xlfn.MAXIFS(Timing浏览!$D$10:$D$109,Timing浏览!$C$10:$C$109,"&lt;="&amp;Timing浏览!$DB$6,Timing浏览!$D$10:$D$109,"&gt;="&amp;Timing浏览!$K$9)</definedName>
    <definedName name="_xlnm.Print_Area" localSheetId="0">Timing浏览!$A$1:$N$16</definedName>
    <definedName name="_xlnm.Print_Titles" localSheetId="0">Timing浏览!$7:$9,Timing浏览!$A:$G</definedName>
  </definedNames>
  <calcPr calcId="191029" calcMode="auto" fullCalcOnLoad="1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;;;"/>
  </numFmts>
  <fonts count="7">
    <font>
      <sz val="11"/>
      <name val="Carlito"/>
    </font>
    <font>
      <sz val="10"/>
      <color rgb="FF25283A"/>
      <name val="Noto Sans SC"/>
    </font>
    <font>
      <b/>
      <sz val="16"/>
      <color rgb="FF25283A"/>
      <name val="Noto Sans SC"/>
    </font>
    <font>
      <b/>
      <sz val="10"/>
      <color rgb="FFFFFFFF"/>
      <name val="Noto Sans SC"/>
    </font>
    <font>
      <b/>
      <sz val="10"/>
      <color rgb="FF25283A"/>
      <name val="Noto Sans SC"/>
    </font>
    <font>
      <sz val="9"/>
      <color rgb="FF25283A"/>
      <name val="Noto Sans SC"/>
    </font>
    <font>
      <sz val="9"/>
      <color rgb="FF70768A"/>
      <name val="Noto Sans SC"/>
    </font>
  </fonts>
  <fills count="7">
    <fill>
      <patternFill patternType="none"/>
    </fill>
    <fill>
      <patternFill patternType="gray125"/>
    </fill>
    <fill>
      <patternFill patternType="solid">
        <fgColor rgb="FF303448"/>
      </patternFill>
    </fill>
    <fill>
      <patternFill patternType="solid">
        <fgColor rgb="FFFFF4D8"/>
      </patternFill>
    </fill>
    <fill>
      <patternFill patternType="solid">
        <fgColor rgb="FF303448"/>
      </patternFill>
    </fill>
    <fill>
      <patternFill patternType="solid">
        <fgColor rgb="FFF1F2F7"/>
      </patternFill>
    </fill>
    <fill>
      <patternFill patternType="solid">
        <fgColor rgb="FFFFF4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vertical="center"/>
    </xf>
    <xf numFmtId="9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 applyProtection="1">
      <alignment vertical="center"/>
      <protection locked="0"/>
    </xf>
    <xf numFmtId="164" fontId="1" fillId="3" borderId="0" xfId="0" applyNumberFormat="1" applyFont="1" applyFill="1" applyBorder="1" applyAlignment="1" applyProtection="1">
      <alignment vertical="center"/>
      <protection locked="0"/>
    </xf>
    <xf numFmtId="49" fontId="1" fillId="3" borderId="0" xfId="0" applyNumberFormat="1" applyFont="1" applyFill="1" applyBorder="1" applyAlignment="1" applyProtection="1">
      <alignment vertical="center"/>
      <protection locked="0"/>
    </xf>
    <xf numFmtId="0" fontId="4" fillId="3" borderId="0" xfId="0" applyNumberFormat="1" applyFont="1" applyFill="1" applyBorder="1" applyAlignment="1" applyProtection="1">
      <alignment vertical="center"/>
      <protection locked="0"/>
    </xf>
    <xf numFmtId="0" fontId="5" fillId="3" borderId="0" xfId="0" applyNumberFormat="1" applyFont="1" applyFill="1" applyBorder="1" applyAlignment="1" applyProtection="1">
      <alignment vertical="center"/>
      <protection locked="0"/>
    </xf>
    <xf numFmtId="9" fontId="1" fillId="3" borderId="0" xfId="0" applyNumberFormat="1" applyFont="1" applyFill="1" applyBorder="1" applyAlignment="1" applyProtection="1">
      <alignment vertical="center"/>
      <protection locked="0"/>
    </xf>
    <xf numFmtId="0" fontId="3" fillId="4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vertical="center"/>
    </xf>
    <xf numFmtId="164" fontId="1" fillId="5" borderId="0" xfId="0" applyNumberFormat="1" applyFont="1" applyFill="1" applyBorder="1" applyAlignment="1">
      <alignment vertical="center"/>
    </xf>
    <xf numFmtId="9" fontId="1" fillId="5" borderId="0" xfId="0" applyNumberFormat="1" applyFont="1" applyFill="1" applyBorder="1" applyAlignment="1">
      <alignment vertical="center"/>
    </xf>
    <xf numFmtId="49" fontId="1" fillId="6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/>
    </xf>
    <xf numFmtId="164" fontId="1" fillId="6" borderId="0" xfId="0" applyNumberFormat="1" applyFont="1" applyFill="1" applyBorder="1" applyAlignment="1">
      <alignment vertical="center"/>
    </xf>
    <xf numFmtId="9" fontId="1" fillId="6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C54E57"/>
      </font>
      <fill>
        <patternFill patternType="solid">
          <bgColor rgb="FFFCEBEC"/>
        </patternFill>
      </fill>
    </dxf>
    <dxf>
      <font>
        <b/>
        <color rgb="FF4D4578"/>
      </font>
      <fill>
        <patternFill patternType="solid">
          <bgColor rgb="FFEFEDF9"/>
        </patternFill>
      </fill>
    </dxf>
    <dxf>
      <border>
        <left style="medium">
          <color rgb="FFD19931"/>
        </left>
      </border>
    </dxf>
    <dxf>
      <font>
        <b/>
        <color rgb="FFFFFFFF"/>
      </font>
      <fill>
        <patternFill>
          <bgColor rgb="FF7767CD"/>
        </patternFill>
      </fill>
    </dxf>
    <dxf>
      <font>
        <b/>
        <color rgb="FF946020"/>
      </font>
      <fill>
        <patternFill>
          <bgColor rgb="FFF8DEAC"/>
        </patternFill>
      </fill>
    </dxf>
    <dxf>
      <font>
        <b/>
        <color rgb="FFFFFFFF"/>
      </font>
      <fill>
        <patternFill>
          <bgColor rgb="FF303448"/>
        </patternFill>
      </fill>
    </dxf>
    <dxf>
      <font>
        <b/>
        <color rgb="FFFFFFFF"/>
      </font>
      <fill>
        <patternFill>
          <bgColor rgb="FF52957E"/>
        </patternFill>
      </fill>
    </dxf>
    <dxf>
      <font>
        <b/>
        <color rgb="FFFFFFFF"/>
      </font>
      <fill>
        <patternFill>
          <bgColor rgb="FFC54E57"/>
        </patternFill>
      </fill>
    </dxf>
    <dxf>
      <font>
        <b/>
        <color rgb="FF4E3D1D"/>
      </font>
      <fill>
        <patternFill>
          <bgColor rgb="FFF2C46D"/>
        </patternFill>
      </fill>
    </dxf>
    <dxf>
      <font>
        <b/>
        <color rgb="FF4D4578"/>
      </font>
      <fill>
        <patternFill>
          <bgColor rgb="FFEFEDF9"/>
        </patternFill>
      </fill>
    </dxf>
    <dxf>
      <font>
        <b/>
        <color rgb="FFC54E57"/>
      </font>
      <fill>
        <patternFill>
          <bgColor rgb="FFFCEB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ingTasks" displayName="TimingTasks" ref="A9:P29" totalsRowShown="0">
  <autoFilter ref="A9:P29" xr:uid="{00000000-0009-0000-0100-000001000000}"/>
  <tableColumns count="16">
    <tableColumn id="1" xr3:uid="{00000000-0010-0000-0000-000001000000}" name="WBS"/>
    <tableColumn id="2" xr3:uid="{00000000-0010-0000-0000-000002000000}" name="任务名称"/>
    <tableColumn id="3" xr3:uid="{00000000-0010-0000-0000-000003000000}" name="负责人"/>
    <tableColumn id="4" xr3:uid="{00000000-0010-0000-0000-000004000000}" name="输入开始"/>
    <tableColumn id="5" xr3:uid="{00000000-0010-0000-0000-000005000000}" name="输入结束"/>
    <tableColumn id="6" xr3:uid="{00000000-0010-0000-0000-000006000000}" name="工期(叶子)">
      <calculatedColumnFormula>IF(TimingTasks[[#This Row],[WBS]]="","",INDEX(排期计算!$F$10:$F$109,MATCH("W"&amp;TimingTasks[[#This Row],[WBS]],排期计算!$AG$10:$AG$109,0)))</calculatedColumnFormula>
    </tableColumn>
    <tableColumn id="7" xr3:uid="{00000000-0010-0000-0000-000007000000}" name="输入完成度"/>
    <tableColumn id="8" xr3:uid="{00000000-0010-0000-0000-000008000000}" name="前置任务 WBS"/>
    <tableColumn id="9" xr3:uid="{00000000-0010-0000-0000-000009000000}" name="叶子类型"/>
    <tableColumn id="10" xr3:uid="{00000000-0010-0000-0000-00000A000000}" name="操作"/>
    <tableColumn id="11" xr3:uid="{00000000-0010-0000-0000-00000B000000}" name="实际类型">
      <calculatedColumnFormula>IF(TimingTasks[[#This Row],[WBS]]="","",INDEX(排期计算!$K$10:$K$109,MATCH("W"&amp;TimingTasks[[#This Row],[WBS]],排期计算!$AG$10:$AG$109,0)))</calculatedColumnFormula>
    </tableColumn>
    <tableColumn id="12" xr3:uid="{00000000-0010-0000-0000-00000C000000}" name="层级">
      <calculatedColumnFormula>IF(TimingTasks[[#This Row],[WBS]]="","",INDEX(排期计算!$L$10:$L$109,MATCH("W"&amp;TimingTasks[[#This Row],[WBS]],排期计算!$AG$10:$AG$109,0)))</calculatedColumnFormula>
    </tableColumn>
    <tableColumn id="13" xr3:uid="{00000000-0010-0000-0000-00000D000000}" name="生效开始">
      <calculatedColumnFormula>IF(TimingTasks[[#This Row],[WBS]]="","",INDEX(排期计算!$M$10:$M$109,MATCH("W"&amp;TimingTasks[[#This Row],[WBS]],排期计算!$AG$10:$AG$109,0)))</calculatedColumnFormula>
    </tableColumn>
    <tableColumn id="14" xr3:uid="{00000000-0010-0000-0000-00000E000000}" name="生效结束">
      <calculatedColumnFormula>IF(TimingTasks[[#This Row],[WBS]]="","",INDEX(排期计算!$N$10:$N$109,MATCH("W"&amp;TimingTasks[[#This Row],[WBS]],排期计算!$AG$10:$AG$109,0)))</calculatedColumnFormula>
    </tableColumn>
    <tableColumn id="15" xr3:uid="{00000000-0010-0000-0000-00000F000000}" name="生效完成度">
      <calculatedColumnFormula>IF(TimingTasks[[#This Row],[WBS]]="","",INDEX(排期计算!$O$10:$O$109,MATCH("W"&amp;TimingTasks[[#This Row],[WBS]],排期计算!$AG$10:$AG$109,0)))</calculatedColumnFormula>
    </tableColumn>
    <tableColumn id="16" xr3:uid="{00000000-0010-0000-0000-000010000000}" name="填写检查">
      <calculatedColumnFormula>IF(TimingTasks[[#This Row],[WBS]]="","",INDEX(排期计算!$X$10:$X$109,MATCH("W"&amp;TimingTasks[[#This Row],[WBS]],排期计算!$AG$10:$AG$109,0)))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3448"/>
    <outlinePr summaryBelow="0"/>
    <pageSetUpPr fitToPage="1"/>
  </sheetPr>
  <dimension ref="A1:DK109"/>
  <sheetViews>
    <sheetView showGridLines="0" zoomScale="85" workbookViewId="0">
      <pane xSplit="7" ySplit="9" topLeftCell="K10" activePane="bottomRight" state="frozen"/>
      <selection pane="topRight"/>
      <selection pane="bottomLeft"/>
      <selection pane="bottomRight" activeCell="B24" sqref="B24"/>
    </sheetView>
  </sheetViews>
  <sheetFormatPr defaultRowHeight="14.25" outlineLevelRow="1"/>
  <cols>
    <col min="1" max="1" width="9" customWidth="1"/>
    <col min="2" max="2" width="34" customWidth="1"/>
    <col min="3" max="4" width="13" customWidth="1"/>
    <col min="5" max="6" width="9" customWidth="1"/>
    <col min="7" max="7" width="11" customWidth="1"/>
    <col min="8" max="9" width="15" hidden="1" customWidth="1"/>
    <col min="10" max="10" width="12" hidden="1" customWidth="1"/>
    <col min="11" max="106" width="7" customWidth="1"/>
  </cols>
  <sheetData>
    <row r="1" spans="1:115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24.95" customHeight="1" collapsed="1">
      <c r="A2" s="2" t="inlineStr">
        <is>
          <t xml:space="preserve">动力总成支架开发 项目排期</t>
        </is>
      </c>
      <c r="B2" s="1"/>
      <c r="C2" s="25" t="inlineStr">
        <is>
          <t xml:space="preserve">说明与设置：点左侧 + / − 展开或收起</t>
        </is>
      </c>
      <c r="D2" s="26"/>
      <c r="E2" s="26"/>
      <c r="F2" s="26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spans="1:115" ht="24.95" hidden="1" customHeight="1" outlineLevel="1">
      <c r="A3" s="1" t="inlineStr">
        <is>
          <t xml:space="preserve">时间刻度</t>
        </is>
      </c>
      <c r="B3" s="13" t="inlineStr">
        <is>
          <t xml:space="preserve">周</t>
        </is>
      </c>
      <c r="C3" s="1" t="inlineStr">
        <is>
          <t xml:space="preserve">起点策略</t>
        </is>
      </c>
      <c r="D3" s="14" t="inlineStr">
        <is>
          <t xml:space="preserve">项目开始</t>
        </is>
      </c>
      <c r="E3" s="1" t="inlineStr">
        <is>
          <t xml:space="preserve">偏移格数</t>
        </is>
      </c>
      <c r="F3" s="10">
        <v>0</v>
      </c>
      <c r="G3" s="1"/>
      <c r="H3" s="1"/>
      <c r="I3" s="1"/>
      <c r="J3" s="1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>
        <f>IF(SUM(排期计算!$AA$10:$AA$109)=0,$B$4,MIN(排期计算!$Y$10:$Y$109))</f>
        <v>46321</v>
      </c>
      <c r="DD3" s="1">
        <f>IF(SUM(排期计算!$AA$10:$AA$109)=0,$DC$3,MAX(排期计算!$Z$10:$Z$109))</f>
        <v>46345</v>
      </c>
      <c r="DE3" s="1">
        <f>IF($B$3="全项目",$DC$3,IF($D$3="今天",$B$4,IF($D$3="手动",$B$5,$DC$3)))</f>
        <v>46321</v>
      </c>
      <c r="DF3" s="1">
        <f>IF($B$3="日",1,IF($B$3="周",7,IF($B$3="全项目",MAX(1,ROUNDUP(($DD$3-$DC$3+1)/24,0)),1)))</f>
        <v>7</v>
      </c>
      <c r="DG3" s="1">
        <f>IF($B$3="月",EDATE(DATE(YEAR($DE$3),MONTH($DE$3),1),$F$3),IF($B$3="周",$DE$3-WEEKDAY($DE$3,2)+1,$DE$3)+$F$3*$DF$3)</f>
        <v>46321</v>
      </c>
      <c r="DH3" s="1">
        <f>SUM(排期计算!$T$10:$T$109)</f>
        <v>7</v>
      </c>
      <c r="DI3" s="1"/>
      <c r="DJ3" s="1"/>
      <c r="DK3" s="1"/>
    </row>
    <row r="4" spans="1:115" ht="24.95" hidden="1" customHeight="1" outlineLevel="1">
      <c r="A4" s="1" t="inlineStr">
        <is>
          <t xml:space="preserve">状态日期</t>
        </is>
      </c>
      <c r="B4" s="11">
        <v>46321</v>
      </c>
      <c r="C4" s="1" t="inlineStr">
        <is>
          <t xml:space="preserve">当前窗口</t>
        </is>
      </c>
      <c r="D4" s="26" t="str">
        <f>TEXT(K9,"yyyy-mm-dd")&amp;" 至 "&amp;TEXT(DB6,"yyyy-mm-dd")</f>
        <v>2026-10-26 至 2028-08-27</v>
      </c>
      <c r="E4" s="26"/>
      <c r="F4" s="26"/>
      <c r="G4" s="2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</row>
    <row r="5" spans="1:115" ht="24.95" hidden="1" customHeight="1" outlineLevel="1">
      <c r="A5" s="1" t="inlineStr">
        <is>
          <t xml:space="preserve">手动起点</t>
        </is>
      </c>
      <c r="B5" s="11">
        <v>46321</v>
      </c>
      <c r="C5" s="1" t="inlineStr">
        <is>
          <t xml:space="preserve">显示层级</t>
        </is>
      </c>
      <c r="D5" s="10" t="inlineStr">
        <is>
          <t xml:space="preserve">全部</t>
        </is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</row>
    <row r="6" spans="1:115" ht="24.95" hidden="1" customHeight="1" outlineLevel="1">
      <c r="A6" s="26" t="inlineStr">
        <is>
          <t xml:space="preserve">红：逾期未完成    绿：已完成    紫：普通任务    深色：汇总    ◆：里程碑</t>
        </is>
      </c>
      <c r="B6" s="26"/>
      <c r="C6" s="26"/>
      <c r="D6" s="26"/>
      <c r="E6" s="26"/>
      <c r="F6" s="26"/>
      <c r="G6" s="26"/>
      <c r="H6" s="26"/>
      <c r="I6" s="26"/>
      <c r="J6" s="26"/>
      <c r="K6" s="6">
        <f>IF($B$3="月",EDATE(K9,1)-1,K9+$DF$3-1)</f>
        <v>46327</v>
      </c>
      <c r="L6" s="6">
        <f>IF($B$3="月",EDATE(L9,1)-1,L9+$DF$3-1)</f>
        <v>46334</v>
      </c>
      <c r="M6" s="6">
        <f>IF($B$3="月",EDATE(M9,1)-1,M9+$DF$3-1)</f>
        <v>46341</v>
      </c>
      <c r="N6" s="6">
        <f>IF($B$3="月",EDATE(N9,1)-1,N9+$DF$3-1)</f>
        <v>46348</v>
      </c>
      <c r="O6" s="6">
        <f>IF($B$3="月",EDATE(O9,1)-1,O9+$DF$3-1)</f>
        <v>46355</v>
      </c>
      <c r="P6" s="6">
        <f>IF($B$3="月",EDATE(P9,1)-1,P9+$DF$3-1)</f>
        <v>46362</v>
      </c>
      <c r="Q6" s="6">
        <f>IF($B$3="月",EDATE(Q9,1)-1,Q9+$DF$3-1)</f>
        <v>46369</v>
      </c>
      <c r="R6" s="6">
        <f>IF($B$3="月",EDATE(R9,1)-1,R9+$DF$3-1)</f>
        <v>46376</v>
      </c>
      <c r="S6" s="6">
        <f>IF($B$3="月",EDATE(S9,1)-1,S9+$DF$3-1)</f>
        <v>46383</v>
      </c>
      <c r="T6" s="6">
        <f>IF($B$3="月",EDATE(T9,1)-1,T9+$DF$3-1)</f>
        <v>46390</v>
      </c>
      <c r="U6" s="6">
        <f>IF($B$3="月",EDATE(U9,1)-1,U9+$DF$3-1)</f>
        <v>46397</v>
      </c>
      <c r="V6" s="6">
        <f>IF($B$3="月",EDATE(V9,1)-1,V9+$DF$3-1)</f>
        <v>46404</v>
      </c>
      <c r="W6" s="6">
        <f>IF($B$3="月",EDATE(W9,1)-1,W9+$DF$3-1)</f>
        <v>46411</v>
      </c>
      <c r="X6" s="6">
        <f>IF($B$3="月",EDATE(X9,1)-1,X9+$DF$3-1)</f>
        <v>46418</v>
      </c>
      <c r="Y6" s="6">
        <f>IF($B$3="月",EDATE(Y9,1)-1,Y9+$DF$3-1)</f>
        <v>46425</v>
      </c>
      <c r="Z6" s="6">
        <f>IF($B$3="月",EDATE(Z9,1)-1,Z9+$DF$3-1)</f>
        <v>46432</v>
      </c>
      <c r="AA6" s="6">
        <f>IF($B$3="月",EDATE(AA9,1)-1,AA9+$DF$3-1)</f>
        <v>46439</v>
      </c>
      <c r="AB6" s="6">
        <f>IF($B$3="月",EDATE(AB9,1)-1,AB9+$DF$3-1)</f>
        <v>46446</v>
      </c>
      <c r="AC6" s="6">
        <f>IF($B$3="月",EDATE(AC9,1)-1,AC9+$DF$3-1)</f>
        <v>46453</v>
      </c>
      <c r="AD6" s="6">
        <f>IF($B$3="月",EDATE(AD9,1)-1,AD9+$DF$3-1)</f>
        <v>46460</v>
      </c>
      <c r="AE6" s="6">
        <f>IF($B$3="月",EDATE(AE9,1)-1,AE9+$DF$3-1)</f>
        <v>46467</v>
      </c>
      <c r="AF6" s="6">
        <f>IF($B$3="月",EDATE(AF9,1)-1,AF9+$DF$3-1)</f>
        <v>46474</v>
      </c>
      <c r="AG6" s="6">
        <f>IF($B$3="月",EDATE(AG9,1)-1,AG9+$DF$3-1)</f>
        <v>46481</v>
      </c>
      <c r="AH6" s="6">
        <f>IF($B$3="月",EDATE(AH9,1)-1,AH9+$DF$3-1)</f>
        <v>46488</v>
      </c>
      <c r="AI6" s="6">
        <f>IF($B$3="月",EDATE(AI9,1)-1,AI9+$DF$3-1)</f>
        <v>46495</v>
      </c>
      <c r="AJ6" s="6">
        <f>IF($B$3="月",EDATE(AJ9,1)-1,AJ9+$DF$3-1)</f>
        <v>46502</v>
      </c>
      <c r="AK6" s="6">
        <f>IF($B$3="月",EDATE(AK9,1)-1,AK9+$DF$3-1)</f>
        <v>46509</v>
      </c>
      <c r="AL6" s="6">
        <f>IF($B$3="月",EDATE(AL9,1)-1,AL9+$DF$3-1)</f>
        <v>46516</v>
      </c>
      <c r="AM6" s="6">
        <f>IF($B$3="月",EDATE(AM9,1)-1,AM9+$DF$3-1)</f>
        <v>46523</v>
      </c>
      <c r="AN6" s="6">
        <f>IF($B$3="月",EDATE(AN9,1)-1,AN9+$DF$3-1)</f>
        <v>46530</v>
      </c>
      <c r="AO6" s="6">
        <f>IF($B$3="月",EDATE(AO9,1)-1,AO9+$DF$3-1)</f>
        <v>46537</v>
      </c>
      <c r="AP6" s="6">
        <f>IF($B$3="月",EDATE(AP9,1)-1,AP9+$DF$3-1)</f>
        <v>46544</v>
      </c>
      <c r="AQ6" s="6">
        <f>IF($B$3="月",EDATE(AQ9,1)-1,AQ9+$DF$3-1)</f>
        <v>46551</v>
      </c>
      <c r="AR6" s="6">
        <f>IF($B$3="月",EDATE(AR9,1)-1,AR9+$DF$3-1)</f>
        <v>46558</v>
      </c>
      <c r="AS6" s="6">
        <f>IF($B$3="月",EDATE(AS9,1)-1,AS9+$DF$3-1)</f>
        <v>46565</v>
      </c>
      <c r="AT6" s="6">
        <f>IF($B$3="月",EDATE(AT9,1)-1,AT9+$DF$3-1)</f>
        <v>46572</v>
      </c>
      <c r="AU6" s="6">
        <f>IF($B$3="月",EDATE(AU9,1)-1,AU9+$DF$3-1)</f>
        <v>46579</v>
      </c>
      <c r="AV6" s="6">
        <f>IF($B$3="月",EDATE(AV9,1)-1,AV9+$DF$3-1)</f>
        <v>46586</v>
      </c>
      <c r="AW6" s="6">
        <f>IF($B$3="月",EDATE(AW9,1)-1,AW9+$DF$3-1)</f>
        <v>46593</v>
      </c>
      <c r="AX6" s="6">
        <f>IF($B$3="月",EDATE(AX9,1)-1,AX9+$DF$3-1)</f>
        <v>46600</v>
      </c>
      <c r="AY6" s="6">
        <f>IF($B$3="月",EDATE(AY9,1)-1,AY9+$DF$3-1)</f>
        <v>46607</v>
      </c>
      <c r="AZ6" s="6">
        <f>IF($B$3="月",EDATE(AZ9,1)-1,AZ9+$DF$3-1)</f>
        <v>46614</v>
      </c>
      <c r="BA6" s="6">
        <f>IF($B$3="月",EDATE(BA9,1)-1,BA9+$DF$3-1)</f>
        <v>46621</v>
      </c>
      <c r="BB6" s="6">
        <f>IF($B$3="月",EDATE(BB9,1)-1,BB9+$DF$3-1)</f>
        <v>46628</v>
      </c>
      <c r="BC6" s="6">
        <f>IF($B$3="月",EDATE(BC9,1)-1,BC9+$DF$3-1)</f>
        <v>46635</v>
      </c>
      <c r="BD6" s="6">
        <f>IF($B$3="月",EDATE(BD9,1)-1,BD9+$DF$3-1)</f>
        <v>46642</v>
      </c>
      <c r="BE6" s="6">
        <f>IF($B$3="月",EDATE(BE9,1)-1,BE9+$DF$3-1)</f>
        <v>46649</v>
      </c>
      <c r="BF6" s="6">
        <f>IF($B$3="月",EDATE(BF9,1)-1,BF9+$DF$3-1)</f>
        <v>46656</v>
      </c>
      <c r="BG6" s="6">
        <f>IF($B$3="月",EDATE(BG9,1)-1,BG9+$DF$3-1)</f>
        <v>46663</v>
      </c>
      <c r="BH6" s="6">
        <f>IF($B$3="月",EDATE(BH9,1)-1,BH9+$DF$3-1)</f>
        <v>46670</v>
      </c>
      <c r="BI6" s="6">
        <f>IF($B$3="月",EDATE(BI9,1)-1,BI9+$DF$3-1)</f>
        <v>46677</v>
      </c>
      <c r="BJ6" s="6">
        <f>IF($B$3="月",EDATE(BJ9,1)-1,BJ9+$DF$3-1)</f>
        <v>46684</v>
      </c>
      <c r="BK6" s="6">
        <f>IF($B$3="月",EDATE(BK9,1)-1,BK9+$DF$3-1)</f>
        <v>46691</v>
      </c>
      <c r="BL6" s="6">
        <f>IF($B$3="月",EDATE(BL9,1)-1,BL9+$DF$3-1)</f>
        <v>46698</v>
      </c>
      <c r="BM6" s="6">
        <f>IF($B$3="月",EDATE(BM9,1)-1,BM9+$DF$3-1)</f>
        <v>46705</v>
      </c>
      <c r="BN6" s="6">
        <f>IF($B$3="月",EDATE(BN9,1)-1,BN9+$DF$3-1)</f>
        <v>46712</v>
      </c>
      <c r="BO6" s="6">
        <f>IF($B$3="月",EDATE(BO9,1)-1,BO9+$DF$3-1)</f>
        <v>46719</v>
      </c>
      <c r="BP6" s="6">
        <f>IF($B$3="月",EDATE(BP9,1)-1,BP9+$DF$3-1)</f>
        <v>46726</v>
      </c>
      <c r="BQ6" s="6">
        <f>IF($B$3="月",EDATE(BQ9,1)-1,BQ9+$DF$3-1)</f>
        <v>46733</v>
      </c>
      <c r="BR6" s="6">
        <f>IF($B$3="月",EDATE(BR9,1)-1,BR9+$DF$3-1)</f>
        <v>46740</v>
      </c>
      <c r="BS6" s="6">
        <f>IF($B$3="月",EDATE(BS9,1)-1,BS9+$DF$3-1)</f>
        <v>46747</v>
      </c>
      <c r="BT6" s="6">
        <f>IF($B$3="月",EDATE(BT9,1)-1,BT9+$DF$3-1)</f>
        <v>46754</v>
      </c>
      <c r="BU6" s="6">
        <f>IF($B$3="月",EDATE(BU9,1)-1,BU9+$DF$3-1)</f>
        <v>46761</v>
      </c>
      <c r="BV6" s="6">
        <f>IF($B$3="月",EDATE(BV9,1)-1,BV9+$DF$3-1)</f>
        <v>46768</v>
      </c>
      <c r="BW6" s="6">
        <f>IF($B$3="月",EDATE(BW9,1)-1,BW9+$DF$3-1)</f>
        <v>46775</v>
      </c>
      <c r="BX6" s="6">
        <f>IF($B$3="月",EDATE(BX9,1)-1,BX9+$DF$3-1)</f>
        <v>46782</v>
      </c>
      <c r="BY6" s="6">
        <f>IF($B$3="月",EDATE(BY9,1)-1,BY9+$DF$3-1)</f>
        <v>46789</v>
      </c>
      <c r="BZ6" s="6">
        <f>IF($B$3="月",EDATE(BZ9,1)-1,BZ9+$DF$3-1)</f>
        <v>46796</v>
      </c>
      <c r="CA6" s="6">
        <f>IF($B$3="月",EDATE(CA9,1)-1,CA9+$DF$3-1)</f>
        <v>46803</v>
      </c>
      <c r="CB6" s="6">
        <f>IF($B$3="月",EDATE(CB9,1)-1,CB9+$DF$3-1)</f>
        <v>46810</v>
      </c>
      <c r="CC6" s="6">
        <f>IF($B$3="月",EDATE(CC9,1)-1,CC9+$DF$3-1)</f>
        <v>46817</v>
      </c>
      <c r="CD6" s="6">
        <f>IF($B$3="月",EDATE(CD9,1)-1,CD9+$DF$3-1)</f>
        <v>46824</v>
      </c>
      <c r="CE6" s="6">
        <f>IF($B$3="月",EDATE(CE9,1)-1,CE9+$DF$3-1)</f>
        <v>46831</v>
      </c>
      <c r="CF6" s="6">
        <f>IF($B$3="月",EDATE(CF9,1)-1,CF9+$DF$3-1)</f>
        <v>46838</v>
      </c>
      <c r="CG6" s="6">
        <f>IF($B$3="月",EDATE(CG9,1)-1,CG9+$DF$3-1)</f>
        <v>46845</v>
      </c>
      <c r="CH6" s="6">
        <f>IF($B$3="月",EDATE(CH9,1)-1,CH9+$DF$3-1)</f>
        <v>46852</v>
      </c>
      <c r="CI6" s="6">
        <f>IF($B$3="月",EDATE(CI9,1)-1,CI9+$DF$3-1)</f>
        <v>46859</v>
      </c>
      <c r="CJ6" s="6">
        <f>IF($B$3="月",EDATE(CJ9,1)-1,CJ9+$DF$3-1)</f>
        <v>46866</v>
      </c>
      <c r="CK6" s="6">
        <f>IF($B$3="月",EDATE(CK9,1)-1,CK9+$DF$3-1)</f>
        <v>46873</v>
      </c>
      <c r="CL6" s="6">
        <f>IF($B$3="月",EDATE(CL9,1)-1,CL9+$DF$3-1)</f>
        <v>46880</v>
      </c>
      <c r="CM6" s="6">
        <f>IF($B$3="月",EDATE(CM9,1)-1,CM9+$DF$3-1)</f>
        <v>46887</v>
      </c>
      <c r="CN6" s="6">
        <f>IF($B$3="月",EDATE(CN9,1)-1,CN9+$DF$3-1)</f>
        <v>46894</v>
      </c>
      <c r="CO6" s="6">
        <f>IF($B$3="月",EDATE(CO9,1)-1,CO9+$DF$3-1)</f>
        <v>46901</v>
      </c>
      <c r="CP6" s="6">
        <f>IF($B$3="月",EDATE(CP9,1)-1,CP9+$DF$3-1)</f>
        <v>46908</v>
      </c>
      <c r="CQ6" s="6">
        <f>IF($B$3="月",EDATE(CQ9,1)-1,CQ9+$DF$3-1)</f>
        <v>46915</v>
      </c>
      <c r="CR6" s="6">
        <f>IF($B$3="月",EDATE(CR9,1)-1,CR9+$DF$3-1)</f>
        <v>46922</v>
      </c>
      <c r="CS6" s="6">
        <f>IF($B$3="月",EDATE(CS9,1)-1,CS9+$DF$3-1)</f>
        <v>46929</v>
      </c>
      <c r="CT6" s="6">
        <f>IF($B$3="月",EDATE(CT9,1)-1,CT9+$DF$3-1)</f>
        <v>46936</v>
      </c>
      <c r="CU6" s="6">
        <f>IF($B$3="月",EDATE(CU9,1)-1,CU9+$DF$3-1)</f>
        <v>46943</v>
      </c>
      <c r="CV6" s="6">
        <f>IF($B$3="月",EDATE(CV9,1)-1,CV9+$DF$3-1)</f>
        <v>46950</v>
      </c>
      <c r="CW6" s="6">
        <f>IF($B$3="月",EDATE(CW9,1)-1,CW9+$DF$3-1)</f>
        <v>46957</v>
      </c>
      <c r="CX6" s="6">
        <f>IF($B$3="月",EDATE(CX9,1)-1,CX9+$DF$3-1)</f>
        <v>46964</v>
      </c>
      <c r="CY6" s="6">
        <f>IF($B$3="月",EDATE(CY9,1)-1,CY9+$DF$3-1)</f>
        <v>46971</v>
      </c>
      <c r="CZ6" s="6">
        <f>IF($B$3="月",EDATE(CZ9,1)-1,CZ9+$DF$3-1)</f>
        <v>46978</v>
      </c>
      <c r="DA6" s="6">
        <f>IF($B$3="月",EDATE(DA9,1)-1,DA9+$DF$3-1)</f>
        <v>46985</v>
      </c>
      <c r="DB6" s="6">
        <f>IF($B$3="月",EDATE(DB9,1)-1,DB9+$DF$3-1)</f>
        <v>46992</v>
      </c>
      <c r="DC6" s="1"/>
      <c r="DD6" s="1"/>
      <c r="DE6" s="1"/>
      <c r="DF6" s="1"/>
      <c r="DG6" s="1"/>
      <c r="DH6" s="1"/>
      <c r="DI6" s="1"/>
      <c r="DJ6" s="1"/>
      <c r="DK6" s="1"/>
    </row>
    <row r="7" spans="1:115" ht="24.95" customHeight="1">
      <c r="A7" s="27" t="inlineStr">
        <is>
          <t xml:space="preserve">WBS</t>
        </is>
      </c>
      <c r="B7" s="27" t="inlineStr">
        <is>
          <t xml:space="preserve">任务名称</t>
        </is>
      </c>
      <c r="C7" s="27" t="inlineStr">
        <is>
          <t xml:space="preserve">计划开始</t>
        </is>
      </c>
      <c r="D7" s="27" t="inlineStr">
        <is>
          <t xml:space="preserve">计划完成</t>
        </is>
      </c>
      <c r="E7" s="27" t="inlineStr">
        <is>
          <t xml:space="preserve">工期</t>
        </is>
      </c>
      <c r="F7" s="27" t="inlineStr">
        <is>
          <t xml:space="preserve">完成度</t>
        </is>
      </c>
      <c r="G7" s="27" t="inlineStr">
        <is>
          <t xml:space="preserve">状态</t>
        </is>
      </c>
      <c r="H7" s="27" t="inlineStr">
        <is>
          <t xml:space="preserve">负责人</t>
        </is>
      </c>
      <c r="I7" s="27" t="inlineStr">
        <is>
          <t xml:space="preserve">前置任务</t>
        </is>
      </c>
      <c r="J7" s="27" t="inlineStr">
        <is>
          <t xml:space="preserve">任务类型</t>
        </is>
      </c>
      <c r="K7" s="4" t="str">
        <f>YEAR(K9)&amp;"年"</f>
        <v>2026年</v>
      </c>
      <c r="L7" s="4" t="str">
        <f>IF(YEAR(L9)&lt;&gt;YEAR(K9),YEAR(L9)&amp;"年","")</f>
        <v/>
      </c>
      <c r="M7" s="4" t="str">
        <f>IF(YEAR(M9)&lt;&gt;YEAR(L9),YEAR(M9)&amp;"年","")</f>
        <v/>
      </c>
      <c r="N7" s="4" t="str">
        <f>IF(YEAR(N9)&lt;&gt;YEAR(M9),YEAR(N9)&amp;"年","")</f>
        <v/>
      </c>
      <c r="O7" s="4" t="str">
        <f>IF(YEAR(O9)&lt;&gt;YEAR(N9),YEAR(O9)&amp;"年","")</f>
        <v/>
      </c>
      <c r="P7" s="4" t="str">
        <f>IF(YEAR(P9)&lt;&gt;YEAR(O9),YEAR(P9)&amp;"年","")</f>
        <v/>
      </c>
      <c r="Q7" s="4" t="str">
        <f>IF(YEAR(Q9)&lt;&gt;YEAR(P9),YEAR(Q9)&amp;"年","")</f>
        <v/>
      </c>
      <c r="R7" s="4" t="str">
        <f>IF(YEAR(R9)&lt;&gt;YEAR(Q9),YEAR(R9)&amp;"年","")</f>
        <v/>
      </c>
      <c r="S7" s="4" t="str">
        <f>IF(YEAR(S9)&lt;&gt;YEAR(R9),YEAR(S9)&amp;"年","")</f>
        <v/>
      </c>
      <c r="T7" s="4" t="str">
        <f>IF(YEAR(T9)&lt;&gt;YEAR(S9),YEAR(T9)&amp;"年","")</f>
        <v/>
      </c>
      <c r="U7" s="4" t="str">
        <f>IF(YEAR(U9)&lt;&gt;YEAR(T9),YEAR(U9)&amp;"年","")</f>
        <v>2027年</v>
      </c>
      <c r="V7" s="4" t="str">
        <f>IF(YEAR(V9)&lt;&gt;YEAR(U9),YEAR(V9)&amp;"年","")</f>
        <v/>
      </c>
      <c r="W7" s="4" t="str">
        <f>IF(YEAR(W9)&lt;&gt;YEAR(V9),YEAR(W9)&amp;"年","")</f>
        <v/>
      </c>
      <c r="X7" s="4" t="str">
        <f>IF(YEAR(X9)&lt;&gt;YEAR(W9),YEAR(X9)&amp;"年","")</f>
        <v/>
      </c>
      <c r="Y7" s="4" t="str">
        <f>IF(YEAR(Y9)&lt;&gt;YEAR(X9),YEAR(Y9)&amp;"年","")</f>
        <v/>
      </c>
      <c r="Z7" s="4" t="str">
        <f>IF(YEAR(Z9)&lt;&gt;YEAR(Y9),YEAR(Z9)&amp;"年","")</f>
        <v/>
      </c>
      <c r="AA7" s="4" t="str">
        <f>IF(YEAR(AA9)&lt;&gt;YEAR(Z9),YEAR(AA9)&amp;"年","")</f>
        <v/>
      </c>
      <c r="AB7" s="4" t="str">
        <f>IF(YEAR(AB9)&lt;&gt;YEAR(AA9),YEAR(AB9)&amp;"年","")</f>
        <v/>
      </c>
      <c r="AC7" s="4" t="str">
        <f>IF(YEAR(AC9)&lt;&gt;YEAR(AB9),YEAR(AC9)&amp;"年","")</f>
        <v/>
      </c>
      <c r="AD7" s="4" t="str">
        <f>IF(YEAR(AD9)&lt;&gt;YEAR(AC9),YEAR(AD9)&amp;"年","")</f>
        <v/>
      </c>
      <c r="AE7" s="4" t="str">
        <f>IF(YEAR(AE9)&lt;&gt;YEAR(AD9),YEAR(AE9)&amp;"年","")</f>
        <v/>
      </c>
      <c r="AF7" s="4" t="str">
        <f>IF(YEAR(AF9)&lt;&gt;YEAR(AE9),YEAR(AF9)&amp;"年","")</f>
        <v/>
      </c>
      <c r="AG7" s="4" t="str">
        <f>IF(YEAR(AG9)&lt;&gt;YEAR(AF9),YEAR(AG9)&amp;"年","")</f>
        <v/>
      </c>
      <c r="AH7" s="4" t="str">
        <f>IF(YEAR(AH9)&lt;&gt;YEAR(AG9),YEAR(AH9)&amp;"年","")</f>
        <v/>
      </c>
      <c r="AI7" s="4" t="str">
        <f>IF(YEAR(AI9)&lt;&gt;YEAR(AH9),YEAR(AI9)&amp;"年","")</f>
        <v/>
      </c>
      <c r="AJ7" s="4" t="str">
        <f>IF(YEAR(AJ9)&lt;&gt;YEAR(AI9),YEAR(AJ9)&amp;"年","")</f>
        <v/>
      </c>
      <c r="AK7" s="4" t="str">
        <f>IF(YEAR(AK9)&lt;&gt;YEAR(AJ9),YEAR(AK9)&amp;"年","")</f>
        <v/>
      </c>
      <c r="AL7" s="4" t="str">
        <f>IF(YEAR(AL9)&lt;&gt;YEAR(AK9),YEAR(AL9)&amp;"年","")</f>
        <v/>
      </c>
      <c r="AM7" s="4" t="str">
        <f>IF(YEAR(AM9)&lt;&gt;YEAR(AL9),YEAR(AM9)&amp;"年","")</f>
        <v/>
      </c>
      <c r="AN7" s="4" t="str">
        <f>IF(YEAR(AN9)&lt;&gt;YEAR(AM9),YEAR(AN9)&amp;"年","")</f>
        <v/>
      </c>
      <c r="AO7" s="4" t="str">
        <f>IF(YEAR(AO9)&lt;&gt;YEAR(AN9),YEAR(AO9)&amp;"年","")</f>
        <v/>
      </c>
      <c r="AP7" s="4" t="str">
        <f>IF(YEAR(AP9)&lt;&gt;YEAR(AO9),YEAR(AP9)&amp;"年","")</f>
        <v/>
      </c>
      <c r="AQ7" s="4" t="str">
        <f>IF(YEAR(AQ9)&lt;&gt;YEAR(AP9),YEAR(AQ9)&amp;"年","")</f>
        <v/>
      </c>
      <c r="AR7" s="4" t="str">
        <f>IF(YEAR(AR9)&lt;&gt;YEAR(AQ9),YEAR(AR9)&amp;"年","")</f>
        <v/>
      </c>
      <c r="AS7" s="4" t="str">
        <f>IF(YEAR(AS9)&lt;&gt;YEAR(AR9),YEAR(AS9)&amp;"年","")</f>
        <v/>
      </c>
      <c r="AT7" s="4" t="str">
        <f>IF(YEAR(AT9)&lt;&gt;YEAR(AS9),YEAR(AT9)&amp;"年","")</f>
        <v/>
      </c>
      <c r="AU7" s="4" t="str">
        <f>IF(YEAR(AU9)&lt;&gt;YEAR(AT9),YEAR(AU9)&amp;"年","")</f>
        <v/>
      </c>
      <c r="AV7" s="4" t="str">
        <f>IF(YEAR(AV9)&lt;&gt;YEAR(AU9),YEAR(AV9)&amp;"年","")</f>
        <v/>
      </c>
      <c r="AW7" s="4" t="str">
        <f>IF(YEAR(AW9)&lt;&gt;YEAR(AV9),YEAR(AW9)&amp;"年","")</f>
        <v/>
      </c>
      <c r="AX7" s="4" t="str">
        <f>IF(YEAR(AX9)&lt;&gt;YEAR(AW9),YEAR(AX9)&amp;"年","")</f>
        <v/>
      </c>
      <c r="AY7" s="4" t="str">
        <f>IF(YEAR(AY9)&lt;&gt;YEAR(AX9),YEAR(AY9)&amp;"年","")</f>
        <v/>
      </c>
      <c r="AZ7" s="4" t="str">
        <f>IF(YEAR(AZ9)&lt;&gt;YEAR(AY9),YEAR(AZ9)&amp;"年","")</f>
        <v/>
      </c>
      <c r="BA7" s="4" t="str">
        <f>IF(YEAR(BA9)&lt;&gt;YEAR(AZ9),YEAR(BA9)&amp;"年","")</f>
        <v/>
      </c>
      <c r="BB7" s="4" t="str">
        <f>IF(YEAR(BB9)&lt;&gt;YEAR(BA9),YEAR(BB9)&amp;"年","")</f>
        <v/>
      </c>
      <c r="BC7" s="4" t="str">
        <f>IF(YEAR(BC9)&lt;&gt;YEAR(BB9),YEAR(BC9)&amp;"年","")</f>
        <v/>
      </c>
      <c r="BD7" s="4" t="str">
        <f>IF(YEAR(BD9)&lt;&gt;YEAR(BC9),YEAR(BD9)&amp;"年","")</f>
        <v/>
      </c>
      <c r="BE7" s="4" t="str">
        <f>IF(YEAR(BE9)&lt;&gt;YEAR(BD9),YEAR(BE9)&amp;"年","")</f>
        <v/>
      </c>
      <c r="BF7" s="4" t="str">
        <f>IF(YEAR(BF9)&lt;&gt;YEAR(BE9),YEAR(BF9)&amp;"年","")</f>
        <v/>
      </c>
      <c r="BG7" s="4" t="str">
        <f>IF(YEAR(BG9)&lt;&gt;YEAR(BF9),YEAR(BG9)&amp;"年","")</f>
        <v/>
      </c>
      <c r="BH7" s="4" t="str">
        <f>IF(YEAR(BH9)&lt;&gt;YEAR(BG9),YEAR(BH9)&amp;"年","")</f>
        <v/>
      </c>
      <c r="BI7" s="4" t="str">
        <f>IF(YEAR(BI9)&lt;&gt;YEAR(BH9),YEAR(BI9)&amp;"年","")</f>
        <v/>
      </c>
      <c r="BJ7" s="4" t="str">
        <f>IF(YEAR(BJ9)&lt;&gt;YEAR(BI9),YEAR(BJ9)&amp;"年","")</f>
        <v/>
      </c>
      <c r="BK7" s="4" t="str">
        <f>IF(YEAR(BK9)&lt;&gt;YEAR(BJ9),YEAR(BK9)&amp;"年","")</f>
        <v/>
      </c>
      <c r="BL7" s="4" t="str">
        <f>IF(YEAR(BL9)&lt;&gt;YEAR(BK9),YEAR(BL9)&amp;"年","")</f>
        <v/>
      </c>
      <c r="BM7" s="4" t="str">
        <f>IF(YEAR(BM9)&lt;&gt;YEAR(BL9),YEAR(BM9)&amp;"年","")</f>
        <v/>
      </c>
      <c r="BN7" s="4" t="str">
        <f>IF(YEAR(BN9)&lt;&gt;YEAR(BM9),YEAR(BN9)&amp;"年","")</f>
        <v/>
      </c>
      <c r="BO7" s="4" t="str">
        <f>IF(YEAR(BO9)&lt;&gt;YEAR(BN9),YEAR(BO9)&amp;"年","")</f>
        <v/>
      </c>
      <c r="BP7" s="4" t="str">
        <f>IF(YEAR(BP9)&lt;&gt;YEAR(BO9),YEAR(BP9)&amp;"年","")</f>
        <v/>
      </c>
      <c r="BQ7" s="4" t="str">
        <f>IF(YEAR(BQ9)&lt;&gt;YEAR(BP9),YEAR(BQ9)&amp;"年","")</f>
        <v/>
      </c>
      <c r="BR7" s="4" t="str">
        <f>IF(YEAR(BR9)&lt;&gt;YEAR(BQ9),YEAR(BR9)&amp;"年","")</f>
        <v/>
      </c>
      <c r="BS7" s="4" t="str">
        <f>IF(YEAR(BS9)&lt;&gt;YEAR(BR9),YEAR(BS9)&amp;"年","")</f>
        <v/>
      </c>
      <c r="BT7" s="4" t="str">
        <f>IF(YEAR(BT9)&lt;&gt;YEAR(BS9),YEAR(BT9)&amp;"年","")</f>
        <v/>
      </c>
      <c r="BU7" s="4" t="str">
        <f>IF(YEAR(BU9)&lt;&gt;YEAR(BT9),YEAR(BU9)&amp;"年","")</f>
        <v>2028年</v>
      </c>
      <c r="BV7" s="4" t="str">
        <f>IF(YEAR(BV9)&lt;&gt;YEAR(BU9),YEAR(BV9)&amp;"年","")</f>
        <v/>
      </c>
      <c r="BW7" s="4" t="str">
        <f>IF(YEAR(BW9)&lt;&gt;YEAR(BV9),YEAR(BW9)&amp;"年","")</f>
        <v/>
      </c>
      <c r="BX7" s="4" t="str">
        <f>IF(YEAR(BX9)&lt;&gt;YEAR(BW9),YEAR(BX9)&amp;"年","")</f>
        <v/>
      </c>
      <c r="BY7" s="4" t="str">
        <f>IF(YEAR(BY9)&lt;&gt;YEAR(BX9),YEAR(BY9)&amp;"年","")</f>
        <v/>
      </c>
      <c r="BZ7" s="4" t="str">
        <f>IF(YEAR(BZ9)&lt;&gt;YEAR(BY9),YEAR(BZ9)&amp;"年","")</f>
        <v/>
      </c>
      <c r="CA7" s="4" t="str">
        <f>IF(YEAR(CA9)&lt;&gt;YEAR(BZ9),YEAR(CA9)&amp;"年","")</f>
        <v/>
      </c>
      <c r="CB7" s="4" t="str">
        <f>IF(YEAR(CB9)&lt;&gt;YEAR(CA9),YEAR(CB9)&amp;"年","")</f>
        <v/>
      </c>
      <c r="CC7" s="4" t="str">
        <f>IF(YEAR(CC9)&lt;&gt;YEAR(CB9),YEAR(CC9)&amp;"年","")</f>
        <v/>
      </c>
      <c r="CD7" s="4" t="str">
        <f>IF(YEAR(CD9)&lt;&gt;YEAR(CC9),YEAR(CD9)&amp;"年","")</f>
        <v/>
      </c>
      <c r="CE7" s="4" t="str">
        <f>IF(YEAR(CE9)&lt;&gt;YEAR(CD9),YEAR(CE9)&amp;"年","")</f>
        <v/>
      </c>
      <c r="CF7" s="4" t="str">
        <f>IF(YEAR(CF9)&lt;&gt;YEAR(CE9),YEAR(CF9)&amp;"年","")</f>
        <v/>
      </c>
      <c r="CG7" s="4" t="str">
        <f>IF(YEAR(CG9)&lt;&gt;YEAR(CF9),YEAR(CG9)&amp;"年","")</f>
        <v/>
      </c>
      <c r="CH7" s="4" t="str">
        <f>IF(YEAR(CH9)&lt;&gt;YEAR(CG9),YEAR(CH9)&amp;"年","")</f>
        <v/>
      </c>
      <c r="CI7" s="4" t="str">
        <f>IF(YEAR(CI9)&lt;&gt;YEAR(CH9),YEAR(CI9)&amp;"年","")</f>
        <v/>
      </c>
      <c r="CJ7" s="4" t="str">
        <f>IF(YEAR(CJ9)&lt;&gt;YEAR(CI9),YEAR(CJ9)&amp;"年","")</f>
        <v/>
      </c>
      <c r="CK7" s="4" t="str">
        <f>IF(YEAR(CK9)&lt;&gt;YEAR(CJ9),YEAR(CK9)&amp;"年","")</f>
        <v/>
      </c>
      <c r="CL7" s="4" t="str">
        <f>IF(YEAR(CL9)&lt;&gt;YEAR(CK9),YEAR(CL9)&amp;"年","")</f>
        <v/>
      </c>
      <c r="CM7" s="4" t="str">
        <f>IF(YEAR(CM9)&lt;&gt;YEAR(CL9),YEAR(CM9)&amp;"年","")</f>
        <v/>
      </c>
      <c r="CN7" s="4" t="str">
        <f>IF(YEAR(CN9)&lt;&gt;YEAR(CM9),YEAR(CN9)&amp;"年","")</f>
        <v/>
      </c>
      <c r="CO7" s="4" t="str">
        <f>IF(YEAR(CO9)&lt;&gt;YEAR(CN9),YEAR(CO9)&amp;"年","")</f>
        <v/>
      </c>
      <c r="CP7" s="4" t="str">
        <f>IF(YEAR(CP9)&lt;&gt;YEAR(CO9),YEAR(CP9)&amp;"年","")</f>
        <v/>
      </c>
      <c r="CQ7" s="4" t="str">
        <f>IF(YEAR(CQ9)&lt;&gt;YEAR(CP9),YEAR(CQ9)&amp;"年","")</f>
        <v/>
      </c>
      <c r="CR7" s="4" t="str">
        <f>IF(YEAR(CR9)&lt;&gt;YEAR(CQ9),YEAR(CR9)&amp;"年","")</f>
        <v/>
      </c>
      <c r="CS7" s="4" t="str">
        <f>IF(YEAR(CS9)&lt;&gt;YEAR(CR9),YEAR(CS9)&amp;"年","")</f>
        <v/>
      </c>
      <c r="CT7" s="4" t="str">
        <f>IF(YEAR(CT9)&lt;&gt;YEAR(CS9),YEAR(CT9)&amp;"年","")</f>
        <v/>
      </c>
      <c r="CU7" s="4" t="str">
        <f>IF(YEAR(CU9)&lt;&gt;YEAR(CT9),YEAR(CU9)&amp;"年","")</f>
        <v/>
      </c>
      <c r="CV7" s="4" t="str">
        <f>IF(YEAR(CV9)&lt;&gt;YEAR(CU9),YEAR(CV9)&amp;"年","")</f>
        <v/>
      </c>
      <c r="CW7" s="4" t="str">
        <f>IF(YEAR(CW9)&lt;&gt;YEAR(CV9),YEAR(CW9)&amp;"年","")</f>
        <v/>
      </c>
      <c r="CX7" s="4" t="str">
        <f>IF(YEAR(CX9)&lt;&gt;YEAR(CW9),YEAR(CX9)&amp;"年","")</f>
        <v/>
      </c>
      <c r="CY7" s="4" t="str">
        <f>IF(YEAR(CY9)&lt;&gt;YEAR(CX9),YEAR(CY9)&amp;"年","")</f>
        <v/>
      </c>
      <c r="CZ7" s="4" t="str">
        <f>IF(YEAR(CZ9)&lt;&gt;YEAR(CY9),YEAR(CZ9)&amp;"年","")</f>
        <v/>
      </c>
      <c r="DA7" s="4" t="str">
        <f>IF(YEAR(DA9)&lt;&gt;YEAR(CZ9),YEAR(DA9)&amp;"年","")</f>
        <v/>
      </c>
      <c r="DB7" s="4" t="str">
        <f>IF(YEAR(DB9)&lt;&gt;YEAR(DA9),YEAR(DB9)&amp;"年","")</f>
        <v/>
      </c>
      <c r="DC7" s="1"/>
      <c r="DD7" s="1"/>
      <c r="DE7" s="1"/>
      <c r="DF7" s="1"/>
      <c r="DG7" s="1"/>
      <c r="DH7" s="1"/>
      <c r="DI7" s="1"/>
      <c r="DJ7" s="1"/>
      <c r="DK7" s="1"/>
    </row>
    <row r="8" spans="1:115" ht="24.9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4" t="str">
        <f>MONTH(K9)&amp;"月"</f>
        <v>10月</v>
      </c>
      <c r="L8" s="4" t="str">
        <f>IF(OR(MONTH(L9)&lt;&gt;MONTH(K9),YEAR(L9)&lt;&gt;YEAR(K9)),MONTH(L9)&amp;"月","")</f>
        <v>11月</v>
      </c>
      <c r="M8" s="4" t="str">
        <f>IF(OR(MONTH(M9)&lt;&gt;MONTH(L9),YEAR(M9)&lt;&gt;YEAR(L9)),MONTH(M9)&amp;"月","")</f>
        <v/>
      </c>
      <c r="N8" s="4" t="str">
        <f>IF(OR(MONTH(N9)&lt;&gt;MONTH(M9),YEAR(N9)&lt;&gt;YEAR(M9)),MONTH(N9)&amp;"月","")</f>
        <v/>
      </c>
      <c r="O8" s="4" t="str">
        <f>IF(OR(MONTH(O9)&lt;&gt;MONTH(N9),YEAR(O9)&lt;&gt;YEAR(N9)),MONTH(O9)&amp;"月","")</f>
        <v/>
      </c>
      <c r="P8" s="4" t="str">
        <f>IF(OR(MONTH(P9)&lt;&gt;MONTH(O9),YEAR(P9)&lt;&gt;YEAR(O9)),MONTH(P9)&amp;"月","")</f>
        <v/>
      </c>
      <c r="Q8" s="4" t="str">
        <f>IF(OR(MONTH(Q9)&lt;&gt;MONTH(P9),YEAR(Q9)&lt;&gt;YEAR(P9)),MONTH(Q9)&amp;"月","")</f>
        <v>12月</v>
      </c>
      <c r="R8" s="4" t="str">
        <f>IF(OR(MONTH(R9)&lt;&gt;MONTH(Q9),YEAR(R9)&lt;&gt;YEAR(Q9)),MONTH(R9)&amp;"月","")</f>
        <v/>
      </c>
      <c r="S8" s="4" t="str">
        <f>IF(OR(MONTH(S9)&lt;&gt;MONTH(R9),YEAR(S9)&lt;&gt;YEAR(R9)),MONTH(S9)&amp;"月","")</f>
        <v/>
      </c>
      <c r="T8" s="4" t="str">
        <f>IF(OR(MONTH(T9)&lt;&gt;MONTH(S9),YEAR(T9)&lt;&gt;YEAR(S9)),MONTH(T9)&amp;"月","")</f>
        <v/>
      </c>
      <c r="U8" s="4" t="str">
        <f>IF(OR(MONTH(U9)&lt;&gt;MONTH(T9),YEAR(U9)&lt;&gt;YEAR(T9)),MONTH(U9)&amp;"月","")</f>
        <v>1月</v>
      </c>
      <c r="V8" s="4" t="str">
        <f>IF(OR(MONTH(V9)&lt;&gt;MONTH(U9),YEAR(V9)&lt;&gt;YEAR(U9)),MONTH(V9)&amp;"月","")</f>
        <v/>
      </c>
      <c r="W8" s="4" t="str">
        <f>IF(OR(MONTH(W9)&lt;&gt;MONTH(V9),YEAR(W9)&lt;&gt;YEAR(V9)),MONTH(W9)&amp;"月","")</f>
        <v/>
      </c>
      <c r="X8" s="4" t="str">
        <f>IF(OR(MONTH(X9)&lt;&gt;MONTH(W9),YEAR(X9)&lt;&gt;YEAR(W9)),MONTH(X9)&amp;"月","")</f>
        <v/>
      </c>
      <c r="Y8" s="4" t="str">
        <f>IF(OR(MONTH(Y9)&lt;&gt;MONTH(X9),YEAR(Y9)&lt;&gt;YEAR(X9)),MONTH(Y9)&amp;"月","")</f>
        <v>2月</v>
      </c>
      <c r="Z8" s="4" t="str">
        <f>IF(OR(MONTH(Z9)&lt;&gt;MONTH(Y9),YEAR(Z9)&lt;&gt;YEAR(Y9)),MONTH(Z9)&amp;"月","")</f>
        <v/>
      </c>
      <c r="AA8" s="4" t="str">
        <f>IF(OR(MONTH(AA9)&lt;&gt;MONTH(Z9),YEAR(AA9)&lt;&gt;YEAR(Z9)),MONTH(AA9)&amp;"月","")</f>
        <v/>
      </c>
      <c r="AB8" s="4" t="str">
        <f>IF(OR(MONTH(AB9)&lt;&gt;MONTH(AA9),YEAR(AB9)&lt;&gt;YEAR(AA9)),MONTH(AB9)&amp;"月","")</f>
        <v/>
      </c>
      <c r="AC8" s="4" t="str">
        <f>IF(OR(MONTH(AC9)&lt;&gt;MONTH(AB9),YEAR(AC9)&lt;&gt;YEAR(AB9)),MONTH(AC9)&amp;"月","")</f>
        <v>3月</v>
      </c>
      <c r="AD8" s="4" t="str">
        <f>IF(OR(MONTH(AD9)&lt;&gt;MONTH(AC9),YEAR(AD9)&lt;&gt;YEAR(AC9)),MONTH(AD9)&amp;"月","")</f>
        <v/>
      </c>
      <c r="AE8" s="4" t="str">
        <f>IF(OR(MONTH(AE9)&lt;&gt;MONTH(AD9),YEAR(AE9)&lt;&gt;YEAR(AD9)),MONTH(AE9)&amp;"月","")</f>
        <v/>
      </c>
      <c r="AF8" s="4" t="str">
        <f>IF(OR(MONTH(AF9)&lt;&gt;MONTH(AE9),YEAR(AF9)&lt;&gt;YEAR(AE9)),MONTH(AF9)&amp;"月","")</f>
        <v/>
      </c>
      <c r="AG8" s="4" t="str">
        <f>IF(OR(MONTH(AG9)&lt;&gt;MONTH(AF9),YEAR(AG9)&lt;&gt;YEAR(AF9)),MONTH(AG9)&amp;"月","")</f>
        <v/>
      </c>
      <c r="AH8" s="4" t="str">
        <f>IF(OR(MONTH(AH9)&lt;&gt;MONTH(AG9),YEAR(AH9)&lt;&gt;YEAR(AG9)),MONTH(AH9)&amp;"月","")</f>
        <v>4月</v>
      </c>
      <c r="AI8" s="4" t="str">
        <f>IF(OR(MONTH(AI9)&lt;&gt;MONTH(AH9),YEAR(AI9)&lt;&gt;YEAR(AH9)),MONTH(AI9)&amp;"月","")</f>
        <v/>
      </c>
      <c r="AJ8" s="4" t="str">
        <f>IF(OR(MONTH(AJ9)&lt;&gt;MONTH(AI9),YEAR(AJ9)&lt;&gt;YEAR(AI9)),MONTH(AJ9)&amp;"月","")</f>
        <v/>
      </c>
      <c r="AK8" s="4" t="str">
        <f>IF(OR(MONTH(AK9)&lt;&gt;MONTH(AJ9),YEAR(AK9)&lt;&gt;YEAR(AJ9)),MONTH(AK9)&amp;"月","")</f>
        <v/>
      </c>
      <c r="AL8" s="4" t="str">
        <f>IF(OR(MONTH(AL9)&lt;&gt;MONTH(AK9),YEAR(AL9)&lt;&gt;YEAR(AK9)),MONTH(AL9)&amp;"月","")</f>
        <v>5月</v>
      </c>
      <c r="AM8" s="4" t="str">
        <f>IF(OR(MONTH(AM9)&lt;&gt;MONTH(AL9),YEAR(AM9)&lt;&gt;YEAR(AL9)),MONTH(AM9)&amp;"月","")</f>
        <v/>
      </c>
      <c r="AN8" s="4" t="str">
        <f>IF(OR(MONTH(AN9)&lt;&gt;MONTH(AM9),YEAR(AN9)&lt;&gt;YEAR(AM9)),MONTH(AN9)&amp;"月","")</f>
        <v/>
      </c>
      <c r="AO8" s="4" t="str">
        <f>IF(OR(MONTH(AO9)&lt;&gt;MONTH(AN9),YEAR(AO9)&lt;&gt;YEAR(AN9)),MONTH(AO9)&amp;"月","")</f>
        <v/>
      </c>
      <c r="AP8" s="4" t="str">
        <f>IF(OR(MONTH(AP9)&lt;&gt;MONTH(AO9),YEAR(AP9)&lt;&gt;YEAR(AO9)),MONTH(AP9)&amp;"月","")</f>
        <v/>
      </c>
      <c r="AQ8" s="4" t="str">
        <f>IF(OR(MONTH(AQ9)&lt;&gt;MONTH(AP9),YEAR(AQ9)&lt;&gt;YEAR(AP9)),MONTH(AQ9)&amp;"月","")</f>
        <v>6月</v>
      </c>
      <c r="AR8" s="4" t="str">
        <f>IF(OR(MONTH(AR9)&lt;&gt;MONTH(AQ9),YEAR(AR9)&lt;&gt;YEAR(AQ9)),MONTH(AR9)&amp;"月","")</f>
        <v/>
      </c>
      <c r="AS8" s="4" t="str">
        <f>IF(OR(MONTH(AS9)&lt;&gt;MONTH(AR9),YEAR(AS9)&lt;&gt;YEAR(AR9)),MONTH(AS9)&amp;"月","")</f>
        <v/>
      </c>
      <c r="AT8" s="4" t="str">
        <f>IF(OR(MONTH(AT9)&lt;&gt;MONTH(AS9),YEAR(AT9)&lt;&gt;YEAR(AS9)),MONTH(AT9)&amp;"月","")</f>
        <v/>
      </c>
      <c r="AU8" s="4" t="str">
        <f>IF(OR(MONTH(AU9)&lt;&gt;MONTH(AT9),YEAR(AU9)&lt;&gt;YEAR(AT9)),MONTH(AU9)&amp;"月","")</f>
        <v>7月</v>
      </c>
      <c r="AV8" s="4" t="str">
        <f>IF(OR(MONTH(AV9)&lt;&gt;MONTH(AU9),YEAR(AV9)&lt;&gt;YEAR(AU9)),MONTH(AV9)&amp;"月","")</f>
        <v/>
      </c>
      <c r="AW8" s="4" t="str">
        <f>IF(OR(MONTH(AW9)&lt;&gt;MONTH(AV9),YEAR(AW9)&lt;&gt;YEAR(AV9)),MONTH(AW9)&amp;"月","")</f>
        <v/>
      </c>
      <c r="AX8" s="4" t="str">
        <f>IF(OR(MONTH(AX9)&lt;&gt;MONTH(AW9),YEAR(AX9)&lt;&gt;YEAR(AW9)),MONTH(AX9)&amp;"月","")</f>
        <v/>
      </c>
      <c r="AY8" s="4" t="str">
        <f>IF(OR(MONTH(AY9)&lt;&gt;MONTH(AX9),YEAR(AY9)&lt;&gt;YEAR(AX9)),MONTH(AY9)&amp;"月","")</f>
        <v>8月</v>
      </c>
      <c r="AZ8" s="4" t="str">
        <f>IF(OR(MONTH(AZ9)&lt;&gt;MONTH(AY9),YEAR(AZ9)&lt;&gt;YEAR(AY9)),MONTH(AZ9)&amp;"月","")</f>
        <v/>
      </c>
      <c r="BA8" s="4" t="str">
        <f>IF(OR(MONTH(BA9)&lt;&gt;MONTH(AZ9),YEAR(BA9)&lt;&gt;YEAR(AZ9)),MONTH(BA9)&amp;"月","")</f>
        <v/>
      </c>
      <c r="BB8" s="4" t="str">
        <f>IF(OR(MONTH(BB9)&lt;&gt;MONTH(BA9),YEAR(BB9)&lt;&gt;YEAR(BA9)),MONTH(BB9)&amp;"月","")</f>
        <v/>
      </c>
      <c r="BC8" s="4" t="str">
        <f>IF(OR(MONTH(BC9)&lt;&gt;MONTH(BB9),YEAR(BC9)&lt;&gt;YEAR(BB9)),MONTH(BC9)&amp;"月","")</f>
        <v/>
      </c>
      <c r="BD8" s="4" t="str">
        <f>IF(OR(MONTH(BD9)&lt;&gt;MONTH(BC9),YEAR(BD9)&lt;&gt;YEAR(BC9)),MONTH(BD9)&amp;"月","")</f>
        <v>9月</v>
      </c>
      <c r="BE8" s="4" t="str">
        <f>IF(OR(MONTH(BE9)&lt;&gt;MONTH(BD9),YEAR(BE9)&lt;&gt;YEAR(BD9)),MONTH(BE9)&amp;"月","")</f>
        <v/>
      </c>
      <c r="BF8" s="4" t="str">
        <f>IF(OR(MONTH(BF9)&lt;&gt;MONTH(BE9),YEAR(BF9)&lt;&gt;YEAR(BE9)),MONTH(BF9)&amp;"月","")</f>
        <v/>
      </c>
      <c r="BG8" s="4" t="str">
        <f>IF(OR(MONTH(BG9)&lt;&gt;MONTH(BF9),YEAR(BG9)&lt;&gt;YEAR(BF9)),MONTH(BG9)&amp;"月","")</f>
        <v/>
      </c>
      <c r="BH8" s="4" t="str">
        <f>IF(OR(MONTH(BH9)&lt;&gt;MONTH(BG9),YEAR(BH9)&lt;&gt;YEAR(BG9)),MONTH(BH9)&amp;"月","")</f>
        <v>10月</v>
      </c>
      <c r="BI8" s="4" t="str">
        <f>IF(OR(MONTH(BI9)&lt;&gt;MONTH(BH9),YEAR(BI9)&lt;&gt;YEAR(BH9)),MONTH(BI9)&amp;"月","")</f>
        <v/>
      </c>
      <c r="BJ8" s="4" t="str">
        <f>IF(OR(MONTH(BJ9)&lt;&gt;MONTH(BI9),YEAR(BJ9)&lt;&gt;YEAR(BI9)),MONTH(BJ9)&amp;"月","")</f>
        <v/>
      </c>
      <c r="BK8" s="4" t="str">
        <f>IF(OR(MONTH(BK9)&lt;&gt;MONTH(BJ9),YEAR(BK9)&lt;&gt;YEAR(BJ9)),MONTH(BK9)&amp;"月","")</f>
        <v/>
      </c>
      <c r="BL8" s="4" t="str">
        <f>IF(OR(MONTH(BL9)&lt;&gt;MONTH(BK9),YEAR(BL9)&lt;&gt;YEAR(BK9)),MONTH(BL9)&amp;"月","")</f>
        <v>11月</v>
      </c>
      <c r="BM8" s="4" t="str">
        <f>IF(OR(MONTH(BM9)&lt;&gt;MONTH(BL9),YEAR(BM9)&lt;&gt;YEAR(BL9)),MONTH(BM9)&amp;"月","")</f>
        <v/>
      </c>
      <c r="BN8" s="4" t="str">
        <f>IF(OR(MONTH(BN9)&lt;&gt;MONTH(BM9),YEAR(BN9)&lt;&gt;YEAR(BM9)),MONTH(BN9)&amp;"月","")</f>
        <v/>
      </c>
      <c r="BO8" s="4" t="str">
        <f>IF(OR(MONTH(BO9)&lt;&gt;MONTH(BN9),YEAR(BO9)&lt;&gt;YEAR(BN9)),MONTH(BO9)&amp;"月","")</f>
        <v/>
      </c>
      <c r="BP8" s="4" t="str">
        <f>IF(OR(MONTH(BP9)&lt;&gt;MONTH(BO9),YEAR(BP9)&lt;&gt;YEAR(BO9)),MONTH(BP9)&amp;"月","")</f>
        <v/>
      </c>
      <c r="BQ8" s="4" t="str">
        <f>IF(OR(MONTH(BQ9)&lt;&gt;MONTH(BP9),YEAR(BQ9)&lt;&gt;YEAR(BP9)),MONTH(BQ9)&amp;"月","")</f>
        <v>12月</v>
      </c>
      <c r="BR8" s="4" t="str">
        <f>IF(OR(MONTH(BR9)&lt;&gt;MONTH(BQ9),YEAR(BR9)&lt;&gt;YEAR(BQ9)),MONTH(BR9)&amp;"月","")</f>
        <v/>
      </c>
      <c r="BS8" s="4" t="str">
        <f>IF(OR(MONTH(BS9)&lt;&gt;MONTH(BR9),YEAR(BS9)&lt;&gt;YEAR(BR9)),MONTH(BS9)&amp;"月","")</f>
        <v/>
      </c>
      <c r="BT8" s="4" t="str">
        <f>IF(OR(MONTH(BT9)&lt;&gt;MONTH(BS9),YEAR(BT9)&lt;&gt;YEAR(BS9)),MONTH(BT9)&amp;"月","")</f>
        <v/>
      </c>
      <c r="BU8" s="4" t="str">
        <f>IF(OR(MONTH(BU9)&lt;&gt;MONTH(BT9),YEAR(BU9)&lt;&gt;YEAR(BT9)),MONTH(BU9)&amp;"月","")</f>
        <v>1月</v>
      </c>
      <c r="BV8" s="4" t="str">
        <f>IF(OR(MONTH(BV9)&lt;&gt;MONTH(BU9),YEAR(BV9)&lt;&gt;YEAR(BU9)),MONTH(BV9)&amp;"月","")</f>
        <v/>
      </c>
      <c r="BW8" s="4" t="str">
        <f>IF(OR(MONTH(BW9)&lt;&gt;MONTH(BV9),YEAR(BW9)&lt;&gt;YEAR(BV9)),MONTH(BW9)&amp;"月","")</f>
        <v/>
      </c>
      <c r="BX8" s="4" t="str">
        <f>IF(OR(MONTH(BX9)&lt;&gt;MONTH(BW9),YEAR(BX9)&lt;&gt;YEAR(BW9)),MONTH(BX9)&amp;"月","")</f>
        <v/>
      </c>
      <c r="BY8" s="4" t="str">
        <f>IF(OR(MONTH(BY9)&lt;&gt;MONTH(BX9),YEAR(BY9)&lt;&gt;YEAR(BX9)),MONTH(BY9)&amp;"月","")</f>
        <v/>
      </c>
      <c r="BZ8" s="4" t="str">
        <f>IF(OR(MONTH(BZ9)&lt;&gt;MONTH(BY9),YEAR(BZ9)&lt;&gt;YEAR(BY9)),MONTH(BZ9)&amp;"月","")</f>
        <v>2月</v>
      </c>
      <c r="CA8" s="4" t="str">
        <f>IF(OR(MONTH(CA9)&lt;&gt;MONTH(BZ9),YEAR(CA9)&lt;&gt;YEAR(BZ9)),MONTH(CA9)&amp;"月","")</f>
        <v/>
      </c>
      <c r="CB8" s="4" t="str">
        <f>IF(OR(MONTH(CB9)&lt;&gt;MONTH(CA9),YEAR(CB9)&lt;&gt;YEAR(CA9)),MONTH(CB9)&amp;"月","")</f>
        <v/>
      </c>
      <c r="CC8" s="4" t="str">
        <f>IF(OR(MONTH(CC9)&lt;&gt;MONTH(CB9),YEAR(CC9)&lt;&gt;YEAR(CB9)),MONTH(CC9)&amp;"月","")</f>
        <v/>
      </c>
      <c r="CD8" s="4" t="str">
        <f>IF(OR(MONTH(CD9)&lt;&gt;MONTH(CC9),YEAR(CD9)&lt;&gt;YEAR(CC9)),MONTH(CD9)&amp;"月","")</f>
        <v>3月</v>
      </c>
      <c r="CE8" s="4" t="str">
        <f>IF(OR(MONTH(CE9)&lt;&gt;MONTH(CD9),YEAR(CE9)&lt;&gt;YEAR(CD9)),MONTH(CE9)&amp;"月","")</f>
        <v/>
      </c>
      <c r="CF8" s="4" t="str">
        <f>IF(OR(MONTH(CF9)&lt;&gt;MONTH(CE9),YEAR(CF9)&lt;&gt;YEAR(CE9)),MONTH(CF9)&amp;"月","")</f>
        <v/>
      </c>
      <c r="CG8" s="4" t="str">
        <f>IF(OR(MONTH(CG9)&lt;&gt;MONTH(CF9),YEAR(CG9)&lt;&gt;YEAR(CF9)),MONTH(CG9)&amp;"月","")</f>
        <v/>
      </c>
      <c r="CH8" s="4" t="str">
        <f>IF(OR(MONTH(CH9)&lt;&gt;MONTH(CG9),YEAR(CH9)&lt;&gt;YEAR(CG9)),MONTH(CH9)&amp;"月","")</f>
        <v>4月</v>
      </c>
      <c r="CI8" s="4" t="str">
        <f>IF(OR(MONTH(CI9)&lt;&gt;MONTH(CH9),YEAR(CI9)&lt;&gt;YEAR(CH9)),MONTH(CI9)&amp;"月","")</f>
        <v/>
      </c>
      <c r="CJ8" s="4" t="str">
        <f>IF(OR(MONTH(CJ9)&lt;&gt;MONTH(CI9),YEAR(CJ9)&lt;&gt;YEAR(CI9)),MONTH(CJ9)&amp;"月","")</f>
        <v/>
      </c>
      <c r="CK8" s="4" t="str">
        <f>IF(OR(MONTH(CK9)&lt;&gt;MONTH(CJ9),YEAR(CK9)&lt;&gt;YEAR(CJ9)),MONTH(CK9)&amp;"月","")</f>
        <v/>
      </c>
      <c r="CL8" s="4" t="str">
        <f>IF(OR(MONTH(CL9)&lt;&gt;MONTH(CK9),YEAR(CL9)&lt;&gt;YEAR(CK9)),MONTH(CL9)&amp;"月","")</f>
        <v>5月</v>
      </c>
      <c r="CM8" s="4" t="str">
        <f>IF(OR(MONTH(CM9)&lt;&gt;MONTH(CL9),YEAR(CM9)&lt;&gt;YEAR(CL9)),MONTH(CM9)&amp;"月","")</f>
        <v/>
      </c>
      <c r="CN8" s="4" t="str">
        <f>IF(OR(MONTH(CN9)&lt;&gt;MONTH(CM9),YEAR(CN9)&lt;&gt;YEAR(CM9)),MONTH(CN9)&amp;"月","")</f>
        <v/>
      </c>
      <c r="CO8" s="4" t="str">
        <f>IF(OR(MONTH(CO9)&lt;&gt;MONTH(CN9),YEAR(CO9)&lt;&gt;YEAR(CN9)),MONTH(CO9)&amp;"月","")</f>
        <v/>
      </c>
      <c r="CP8" s="4" t="str">
        <f>IF(OR(MONTH(CP9)&lt;&gt;MONTH(CO9),YEAR(CP9)&lt;&gt;YEAR(CO9)),MONTH(CP9)&amp;"月","")</f>
        <v/>
      </c>
      <c r="CQ8" s="4" t="str">
        <f>IF(OR(MONTH(CQ9)&lt;&gt;MONTH(CP9),YEAR(CQ9)&lt;&gt;YEAR(CP9)),MONTH(CQ9)&amp;"月","")</f>
        <v>6月</v>
      </c>
      <c r="CR8" s="4" t="str">
        <f>IF(OR(MONTH(CR9)&lt;&gt;MONTH(CQ9),YEAR(CR9)&lt;&gt;YEAR(CQ9)),MONTH(CR9)&amp;"月","")</f>
        <v/>
      </c>
      <c r="CS8" s="4" t="str">
        <f>IF(OR(MONTH(CS9)&lt;&gt;MONTH(CR9),YEAR(CS9)&lt;&gt;YEAR(CR9)),MONTH(CS9)&amp;"月","")</f>
        <v/>
      </c>
      <c r="CT8" s="4" t="str">
        <f>IF(OR(MONTH(CT9)&lt;&gt;MONTH(CS9),YEAR(CT9)&lt;&gt;YEAR(CS9)),MONTH(CT9)&amp;"月","")</f>
        <v/>
      </c>
      <c r="CU8" s="4" t="str">
        <f>IF(OR(MONTH(CU9)&lt;&gt;MONTH(CT9),YEAR(CU9)&lt;&gt;YEAR(CT9)),MONTH(CU9)&amp;"月","")</f>
        <v>7月</v>
      </c>
      <c r="CV8" s="4" t="str">
        <f>IF(OR(MONTH(CV9)&lt;&gt;MONTH(CU9),YEAR(CV9)&lt;&gt;YEAR(CU9)),MONTH(CV9)&amp;"月","")</f>
        <v/>
      </c>
      <c r="CW8" s="4" t="str">
        <f>IF(OR(MONTH(CW9)&lt;&gt;MONTH(CV9),YEAR(CW9)&lt;&gt;YEAR(CV9)),MONTH(CW9)&amp;"月","")</f>
        <v/>
      </c>
      <c r="CX8" s="4" t="str">
        <f>IF(OR(MONTH(CX9)&lt;&gt;MONTH(CW9),YEAR(CX9)&lt;&gt;YEAR(CW9)),MONTH(CX9)&amp;"月","")</f>
        <v/>
      </c>
      <c r="CY8" s="4" t="str">
        <f>IF(OR(MONTH(CY9)&lt;&gt;MONTH(CX9),YEAR(CY9)&lt;&gt;YEAR(CX9)),MONTH(CY9)&amp;"月","")</f>
        <v/>
      </c>
      <c r="CZ8" s="4" t="str">
        <f>IF(OR(MONTH(CZ9)&lt;&gt;MONTH(CY9),YEAR(CZ9)&lt;&gt;YEAR(CY9)),MONTH(CZ9)&amp;"月","")</f>
        <v>8月</v>
      </c>
      <c r="DA8" s="4" t="str">
        <f>IF(OR(MONTH(DA9)&lt;&gt;MONTH(CZ9),YEAR(DA9)&lt;&gt;YEAR(CZ9)),MONTH(DA9)&amp;"月","")</f>
        <v/>
      </c>
      <c r="DB8" s="4" t="str">
        <f>IF(OR(MONTH(DB9)&lt;&gt;MONTH(DA9),YEAR(DB9)&lt;&gt;YEAR(DA9)),MONTH(DB9)&amp;"月","")</f>
        <v/>
      </c>
      <c r="DC8" s="1"/>
      <c r="DD8" s="1"/>
      <c r="DE8" s="1"/>
      <c r="DF8" s="1"/>
      <c r="DG8" s="1"/>
      <c r="DH8" s="1"/>
      <c r="DI8" s="1"/>
      <c r="DJ8" s="1"/>
      <c r="DK8" s="1"/>
    </row>
    <row r="9" spans="1:115" ht="24.9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5">
        <f>IF($B$3="月",EDATE($DG$3,0),$DG$3+0*$DF$3)</f>
        <v>46321</v>
      </c>
      <c r="L9" s="5">
        <f>IF($B$3="月",EDATE($DG$3,1),$DG$3+1*$DF$3)</f>
        <v>46328</v>
      </c>
      <c r="M9" s="5">
        <f>IF($B$3="月",EDATE($DG$3,2),$DG$3+2*$DF$3)</f>
        <v>46335</v>
      </c>
      <c r="N9" s="5">
        <f>IF($B$3="月",EDATE($DG$3,3),$DG$3+3*$DF$3)</f>
        <v>46342</v>
      </c>
      <c r="O9" s="5">
        <f>IF($B$3="月",EDATE($DG$3,4),$DG$3+4*$DF$3)</f>
        <v>46349</v>
      </c>
      <c r="P9" s="5">
        <f>IF($B$3="月",EDATE($DG$3,5),$DG$3+5*$DF$3)</f>
        <v>46356</v>
      </c>
      <c r="Q9" s="5">
        <f>IF($B$3="月",EDATE($DG$3,6),$DG$3+6*$DF$3)</f>
        <v>46363</v>
      </c>
      <c r="R9" s="5">
        <f>IF($B$3="月",EDATE($DG$3,7),$DG$3+7*$DF$3)</f>
        <v>46370</v>
      </c>
      <c r="S9" s="5">
        <f>IF($B$3="月",EDATE($DG$3,8),$DG$3+8*$DF$3)</f>
        <v>46377</v>
      </c>
      <c r="T9" s="5">
        <f>IF($B$3="月",EDATE($DG$3,9),$DG$3+9*$DF$3)</f>
        <v>46384</v>
      </c>
      <c r="U9" s="5">
        <f>IF($B$3="月",EDATE($DG$3,10),$DG$3+10*$DF$3)</f>
        <v>46391</v>
      </c>
      <c r="V9" s="5">
        <f>IF($B$3="月",EDATE($DG$3,11),$DG$3+11*$DF$3)</f>
        <v>46398</v>
      </c>
      <c r="W9" s="5">
        <f>IF($B$3="月",EDATE($DG$3,12),$DG$3+12*$DF$3)</f>
        <v>46405</v>
      </c>
      <c r="X9" s="5">
        <f>IF($B$3="月",EDATE($DG$3,13),$DG$3+13*$DF$3)</f>
        <v>46412</v>
      </c>
      <c r="Y9" s="5">
        <f>IF($B$3="月",EDATE($DG$3,14),$DG$3+14*$DF$3)</f>
        <v>46419</v>
      </c>
      <c r="Z9" s="5">
        <f>IF($B$3="月",EDATE($DG$3,15),$DG$3+15*$DF$3)</f>
        <v>46426</v>
      </c>
      <c r="AA9" s="5">
        <f>IF($B$3="月",EDATE($DG$3,16),$DG$3+16*$DF$3)</f>
        <v>46433</v>
      </c>
      <c r="AB9" s="5">
        <f>IF($B$3="月",EDATE($DG$3,17),$DG$3+17*$DF$3)</f>
        <v>46440</v>
      </c>
      <c r="AC9" s="5">
        <f>IF($B$3="月",EDATE($DG$3,18),$DG$3+18*$DF$3)</f>
        <v>46447</v>
      </c>
      <c r="AD9" s="5">
        <f>IF($B$3="月",EDATE($DG$3,19),$DG$3+19*$DF$3)</f>
        <v>46454</v>
      </c>
      <c r="AE9" s="5">
        <f>IF($B$3="月",EDATE($DG$3,20),$DG$3+20*$DF$3)</f>
        <v>46461</v>
      </c>
      <c r="AF9" s="5">
        <f>IF($B$3="月",EDATE($DG$3,21),$DG$3+21*$DF$3)</f>
        <v>46468</v>
      </c>
      <c r="AG9" s="5">
        <f>IF($B$3="月",EDATE($DG$3,22),$DG$3+22*$DF$3)</f>
        <v>46475</v>
      </c>
      <c r="AH9" s="5">
        <f>IF($B$3="月",EDATE($DG$3,23),$DG$3+23*$DF$3)</f>
        <v>46482</v>
      </c>
      <c r="AI9" s="5">
        <f>IF($B$3="月",EDATE($DG$3,24),$DG$3+24*$DF$3)</f>
        <v>46489</v>
      </c>
      <c r="AJ9" s="5">
        <f>IF($B$3="月",EDATE($DG$3,25),$DG$3+25*$DF$3)</f>
        <v>46496</v>
      </c>
      <c r="AK9" s="5">
        <f>IF($B$3="月",EDATE($DG$3,26),$DG$3+26*$DF$3)</f>
        <v>46503</v>
      </c>
      <c r="AL9" s="5">
        <f>IF($B$3="月",EDATE($DG$3,27),$DG$3+27*$DF$3)</f>
        <v>46510</v>
      </c>
      <c r="AM9" s="5">
        <f>IF($B$3="月",EDATE($DG$3,28),$DG$3+28*$DF$3)</f>
        <v>46517</v>
      </c>
      <c r="AN9" s="5">
        <f>IF($B$3="月",EDATE($DG$3,29),$DG$3+29*$DF$3)</f>
        <v>46524</v>
      </c>
      <c r="AO9" s="5">
        <f>IF($B$3="月",EDATE($DG$3,30),$DG$3+30*$DF$3)</f>
        <v>46531</v>
      </c>
      <c r="AP9" s="5">
        <f>IF($B$3="月",EDATE($DG$3,31),$DG$3+31*$DF$3)</f>
        <v>46538</v>
      </c>
      <c r="AQ9" s="5">
        <f>IF($B$3="月",EDATE($DG$3,32),$DG$3+32*$DF$3)</f>
        <v>46545</v>
      </c>
      <c r="AR9" s="5">
        <f>IF($B$3="月",EDATE($DG$3,33),$DG$3+33*$DF$3)</f>
        <v>46552</v>
      </c>
      <c r="AS9" s="5">
        <f>IF($B$3="月",EDATE($DG$3,34),$DG$3+34*$DF$3)</f>
        <v>46559</v>
      </c>
      <c r="AT9" s="5">
        <f>IF($B$3="月",EDATE($DG$3,35),$DG$3+35*$DF$3)</f>
        <v>46566</v>
      </c>
      <c r="AU9" s="5">
        <f>IF($B$3="月",EDATE($DG$3,36),$DG$3+36*$DF$3)</f>
        <v>46573</v>
      </c>
      <c r="AV9" s="5">
        <f>IF($B$3="月",EDATE($DG$3,37),$DG$3+37*$DF$3)</f>
        <v>46580</v>
      </c>
      <c r="AW9" s="5">
        <f>IF($B$3="月",EDATE($DG$3,38),$DG$3+38*$DF$3)</f>
        <v>46587</v>
      </c>
      <c r="AX9" s="5">
        <f>IF($B$3="月",EDATE($DG$3,39),$DG$3+39*$DF$3)</f>
        <v>46594</v>
      </c>
      <c r="AY9" s="5">
        <f>IF($B$3="月",EDATE($DG$3,40),$DG$3+40*$DF$3)</f>
        <v>46601</v>
      </c>
      <c r="AZ9" s="5">
        <f>IF($B$3="月",EDATE($DG$3,41),$DG$3+41*$DF$3)</f>
        <v>46608</v>
      </c>
      <c r="BA9" s="5">
        <f>IF($B$3="月",EDATE($DG$3,42),$DG$3+42*$DF$3)</f>
        <v>46615</v>
      </c>
      <c r="BB9" s="5">
        <f>IF($B$3="月",EDATE($DG$3,43),$DG$3+43*$DF$3)</f>
        <v>46622</v>
      </c>
      <c r="BC9" s="5">
        <f>IF($B$3="月",EDATE($DG$3,44),$DG$3+44*$DF$3)</f>
        <v>46629</v>
      </c>
      <c r="BD9" s="5">
        <f>IF($B$3="月",EDATE($DG$3,45),$DG$3+45*$DF$3)</f>
        <v>46636</v>
      </c>
      <c r="BE9" s="5">
        <f>IF($B$3="月",EDATE($DG$3,46),$DG$3+46*$DF$3)</f>
        <v>46643</v>
      </c>
      <c r="BF9" s="5">
        <f>IF($B$3="月",EDATE($DG$3,47),$DG$3+47*$DF$3)</f>
        <v>46650</v>
      </c>
      <c r="BG9" s="5">
        <f>IF($B$3="月",EDATE($DG$3,48),$DG$3+48*$DF$3)</f>
        <v>46657</v>
      </c>
      <c r="BH9" s="5">
        <f>IF($B$3="月",EDATE($DG$3,49),$DG$3+49*$DF$3)</f>
        <v>46664</v>
      </c>
      <c r="BI9" s="5">
        <f>IF($B$3="月",EDATE($DG$3,50),$DG$3+50*$DF$3)</f>
        <v>46671</v>
      </c>
      <c r="BJ9" s="5">
        <f>IF($B$3="月",EDATE($DG$3,51),$DG$3+51*$DF$3)</f>
        <v>46678</v>
      </c>
      <c r="BK9" s="5">
        <f>IF($B$3="月",EDATE($DG$3,52),$DG$3+52*$DF$3)</f>
        <v>46685</v>
      </c>
      <c r="BL9" s="5">
        <f>IF($B$3="月",EDATE($DG$3,53),$DG$3+53*$DF$3)</f>
        <v>46692</v>
      </c>
      <c r="BM9" s="5">
        <f>IF($B$3="月",EDATE($DG$3,54),$DG$3+54*$DF$3)</f>
        <v>46699</v>
      </c>
      <c r="BN9" s="5">
        <f>IF($B$3="月",EDATE($DG$3,55),$DG$3+55*$DF$3)</f>
        <v>46706</v>
      </c>
      <c r="BO9" s="5">
        <f>IF($B$3="月",EDATE($DG$3,56),$DG$3+56*$DF$3)</f>
        <v>46713</v>
      </c>
      <c r="BP9" s="5">
        <f>IF($B$3="月",EDATE($DG$3,57),$DG$3+57*$DF$3)</f>
        <v>46720</v>
      </c>
      <c r="BQ9" s="5">
        <f>IF($B$3="月",EDATE($DG$3,58),$DG$3+58*$DF$3)</f>
        <v>46727</v>
      </c>
      <c r="BR9" s="5">
        <f>IF($B$3="月",EDATE($DG$3,59),$DG$3+59*$DF$3)</f>
        <v>46734</v>
      </c>
      <c r="BS9" s="5">
        <f>IF($B$3="月",EDATE($DG$3,60),$DG$3+60*$DF$3)</f>
        <v>46741</v>
      </c>
      <c r="BT9" s="5">
        <f>IF($B$3="月",EDATE($DG$3,61),$DG$3+61*$DF$3)</f>
        <v>46748</v>
      </c>
      <c r="BU9" s="5">
        <f>IF($B$3="月",EDATE($DG$3,62),$DG$3+62*$DF$3)</f>
        <v>46755</v>
      </c>
      <c r="BV9" s="5">
        <f>IF($B$3="月",EDATE($DG$3,63),$DG$3+63*$DF$3)</f>
        <v>46762</v>
      </c>
      <c r="BW9" s="5">
        <f>IF($B$3="月",EDATE($DG$3,64),$DG$3+64*$DF$3)</f>
        <v>46769</v>
      </c>
      <c r="BX9" s="5">
        <f>IF($B$3="月",EDATE($DG$3,65),$DG$3+65*$DF$3)</f>
        <v>46776</v>
      </c>
      <c r="BY9" s="5">
        <f>IF($B$3="月",EDATE($DG$3,66),$DG$3+66*$DF$3)</f>
        <v>46783</v>
      </c>
      <c r="BZ9" s="5">
        <f>IF($B$3="月",EDATE($DG$3,67),$DG$3+67*$DF$3)</f>
        <v>46790</v>
      </c>
      <c r="CA9" s="5">
        <f>IF($B$3="月",EDATE($DG$3,68),$DG$3+68*$DF$3)</f>
        <v>46797</v>
      </c>
      <c r="CB9" s="5">
        <f>IF($B$3="月",EDATE($DG$3,69),$DG$3+69*$DF$3)</f>
        <v>46804</v>
      </c>
      <c r="CC9" s="5">
        <f>IF($B$3="月",EDATE($DG$3,70),$DG$3+70*$DF$3)</f>
        <v>46811</v>
      </c>
      <c r="CD9" s="5">
        <f>IF($B$3="月",EDATE($DG$3,71),$DG$3+71*$DF$3)</f>
        <v>46818</v>
      </c>
      <c r="CE9" s="5">
        <f>IF($B$3="月",EDATE($DG$3,72),$DG$3+72*$DF$3)</f>
        <v>46825</v>
      </c>
      <c r="CF9" s="5">
        <f>IF($B$3="月",EDATE($DG$3,73),$DG$3+73*$DF$3)</f>
        <v>46832</v>
      </c>
      <c r="CG9" s="5">
        <f>IF($B$3="月",EDATE($DG$3,74),$DG$3+74*$DF$3)</f>
        <v>46839</v>
      </c>
      <c r="CH9" s="5">
        <f>IF($B$3="月",EDATE($DG$3,75),$DG$3+75*$DF$3)</f>
        <v>46846</v>
      </c>
      <c r="CI9" s="5">
        <f>IF($B$3="月",EDATE($DG$3,76),$DG$3+76*$DF$3)</f>
        <v>46853</v>
      </c>
      <c r="CJ9" s="5">
        <f>IF($B$3="月",EDATE($DG$3,77),$DG$3+77*$DF$3)</f>
        <v>46860</v>
      </c>
      <c r="CK9" s="5">
        <f>IF($B$3="月",EDATE($DG$3,78),$DG$3+78*$DF$3)</f>
        <v>46867</v>
      </c>
      <c r="CL9" s="5">
        <f>IF($B$3="月",EDATE($DG$3,79),$DG$3+79*$DF$3)</f>
        <v>46874</v>
      </c>
      <c r="CM9" s="5">
        <f>IF($B$3="月",EDATE($DG$3,80),$DG$3+80*$DF$3)</f>
        <v>46881</v>
      </c>
      <c r="CN9" s="5">
        <f>IF($B$3="月",EDATE($DG$3,81),$DG$3+81*$DF$3)</f>
        <v>46888</v>
      </c>
      <c r="CO9" s="5">
        <f>IF($B$3="月",EDATE($DG$3,82),$DG$3+82*$DF$3)</f>
        <v>46895</v>
      </c>
      <c r="CP9" s="5">
        <f>IF($B$3="月",EDATE($DG$3,83),$DG$3+83*$DF$3)</f>
        <v>46902</v>
      </c>
      <c r="CQ9" s="5">
        <f>IF($B$3="月",EDATE($DG$3,84),$DG$3+84*$DF$3)</f>
        <v>46909</v>
      </c>
      <c r="CR9" s="5">
        <f>IF($B$3="月",EDATE($DG$3,85),$DG$3+85*$DF$3)</f>
        <v>46916</v>
      </c>
      <c r="CS9" s="5">
        <f>IF($B$3="月",EDATE($DG$3,86),$DG$3+86*$DF$3)</f>
        <v>46923</v>
      </c>
      <c r="CT9" s="5">
        <f>IF($B$3="月",EDATE($DG$3,87),$DG$3+87*$DF$3)</f>
        <v>46930</v>
      </c>
      <c r="CU9" s="5">
        <f>IF($B$3="月",EDATE($DG$3,88),$DG$3+88*$DF$3)</f>
        <v>46937</v>
      </c>
      <c r="CV9" s="5">
        <f>IF($B$3="月",EDATE($DG$3,89),$DG$3+89*$DF$3)</f>
        <v>46944</v>
      </c>
      <c r="CW9" s="5">
        <f>IF($B$3="月",EDATE($DG$3,90),$DG$3+90*$DF$3)</f>
        <v>46951</v>
      </c>
      <c r="CX9" s="5">
        <f>IF($B$3="月",EDATE($DG$3,91),$DG$3+91*$DF$3)</f>
        <v>46958</v>
      </c>
      <c r="CY9" s="5">
        <f>IF($B$3="月",EDATE($DG$3,92),$DG$3+92*$DF$3)</f>
        <v>46965</v>
      </c>
      <c r="CZ9" s="5">
        <f>IF($B$3="月",EDATE($DG$3,93),$DG$3+93*$DF$3)</f>
        <v>46972</v>
      </c>
      <c r="DA9" s="5">
        <f>IF($B$3="月",EDATE($DG$3,94),$DG$3+94*$DF$3)</f>
        <v>46979</v>
      </c>
      <c r="DB9" s="5">
        <f>IF($B$3="月",EDATE($DG$3,95),$DG$3+95*$DF$3)</f>
        <v>46986</v>
      </c>
      <c r="DC9" s="1"/>
      <c r="DD9" s="1"/>
      <c r="DE9" s="1"/>
      <c r="DF9" s="1"/>
      <c r="DG9" s="1"/>
      <c r="DH9" s="1"/>
      <c r="DI9" s="1"/>
      <c r="DJ9" s="1"/>
      <c r="DK9" s="1"/>
    </row>
    <row r="10" spans="1:115" ht="24.95" customHeight="1">
      <c r="A10" s="9" t="str">
        <f>IF($DC10="","",IF(AND(INDEX(排期计算!$A$10:$A$109,$DC10)="",NOT(ISNUMBER(INDEX(排期计算!$A$10:$A$109,$DC10)))),"",INDEX(排期计算!$A$10:$A$109,$DC10)))</f>
        <v>1</v>
      </c>
      <c r="B10" s="1" t="str">
        <f>IF($DC10="","",REPT("　",$DD10-1)&amp;INDEX(排期计算!$B$10:$B$109,$DC10))</f>
        <v>设计开发</v>
      </c>
      <c r="C10" s="3">
        <f>IF($DC10="","",IF(AND(INDEX(排期计算!$M$10:$M$109,$DC10)="",NOT(ISNUMBER(INDEX(排期计算!$M$10:$M$109,$DC10)))),"",INDEX(排期计算!$M$10:$M$109,$DC10)))</f>
        <v>46321</v>
      </c>
      <c r="D10" s="3">
        <f>IF($DC10="","",IF(AND(INDEX(排期计算!$N$10:$N$109,$DC10)="",NOT(ISNUMBER(INDEX(排期计算!$N$10:$N$109,$DC10)))),"",INDEX(排期计算!$N$10:$N$109,$DC10)))</f>
        <v>46330</v>
      </c>
      <c r="E10" s="1">
        <f>IF(OR($C10="",$D10=""),"",IF($J10="里程碑",0,NETWORKDAYS($C10,$D10)))</f>
        <v>8</v>
      </c>
      <c r="F10" s="7">
        <f>IF($DC10="","",IF(AND(INDEX(排期计算!$O$10:$O$109,$DC10)="",NOT(ISNUMBER(INDEX(排期计算!$O$10:$O$109,$DC10)))),"",INDEX(排期计算!$O$10:$O$109,$DC10)))</f>
        <v>0.41</v>
      </c>
      <c r="G10" s="8" t="str">
        <f>IF($A10="","",IF(OR($C10="",$D10=""),"未排期",IF($F10&gt;=1,"已完成",IF($D10&lt;$B$4,"逾期",IF($C10&gt;$B$4,"未开始","进行中")))))</f>
        <v>进行中</v>
      </c>
      <c r="H10" s="1" t="str">
        <f>IF($DC10="","",IF(AND(INDEX(排期计算!$C$10:$C$109,$DC10)="",NOT(ISNUMBER(INDEX(排期计算!$C$10:$C$109,$DC10)))),"",INDEX(排期计算!$C$10:$C$109,$DC10)))</f>
        <v>张工</v>
      </c>
      <c r="I10" s="1" t="str">
        <f>IF($DC10="","",IF(AND(INDEX(排期计算!$H$10:$H$109,$DC10)="",NOT(ISNUMBER(INDEX(排期计算!$H$10:$H$109,$DC10)))),"",INDEX(排期计算!$H$10:$H$109,$DC10)))</f>
        <v/>
      </c>
      <c r="J10" s="1" t="str">
        <f>IF($DC10="","",IF(AND(INDEX(排期计算!$K$10:$K$109,$DC10)="",NOT(ISNUMBER(INDEX(排期计算!$K$10:$K$109,$DC10)))),"",INDEX(排期计算!$K$10:$K$109,$DC10)))</f>
        <v>汇总</v>
      </c>
      <c r="K10" s="8" t="str">
        <f>IF(OR($A10="",$C10="",$D10="",$C10&gt;K$6,$D10&lt;K$9),"",IF($J10="里程碑","◆",""))</f>
        <v/>
      </c>
      <c r="L10" s="8" t="str">
        <f>IF(OR($A10="",$C10="",$D10="",$C10&gt;L$6,$D10&lt;L$9),"",IF($J10="里程碑","◆",""))</f>
        <v/>
      </c>
      <c r="M10" s="8" t="str">
        <f>IF(OR($A10="",$C10="",$D10="",$C10&gt;M$6,$D10&lt;M$9),"",IF($J10="里程碑","◆",""))</f>
        <v/>
      </c>
      <c r="N10" s="8" t="str">
        <f>IF(OR($A10="",$C10="",$D10="",$C10&gt;N$6,$D10&lt;N$9),"",IF($J10="里程碑","◆",""))</f>
        <v/>
      </c>
      <c r="O10" s="8" t="str">
        <f>IF(OR($A10="",$C10="",$D10="",$C10&gt;O$6,$D10&lt;O$9),"",IF($J10="里程碑","◆",""))</f>
        <v/>
      </c>
      <c r="P10" s="8" t="str">
        <f>IF(OR($A10="",$C10="",$D10="",$C10&gt;P$6,$D10&lt;P$9),"",IF($J10="里程碑","◆",""))</f>
        <v/>
      </c>
      <c r="Q10" s="8" t="str">
        <f>IF(OR($A10="",$C10="",$D10="",$C10&gt;Q$6,$D10&lt;Q$9),"",IF($J10="里程碑","◆",""))</f>
        <v/>
      </c>
      <c r="R10" s="8" t="str">
        <f>IF(OR($A10="",$C10="",$D10="",$C10&gt;R$6,$D10&lt;R$9),"",IF($J10="里程碑","◆",""))</f>
        <v/>
      </c>
      <c r="S10" s="8" t="str">
        <f>IF(OR($A10="",$C10="",$D10="",$C10&gt;S$6,$D10&lt;S$9),"",IF($J10="里程碑","◆",""))</f>
        <v/>
      </c>
      <c r="T10" s="8" t="str">
        <f>IF(OR($A10="",$C10="",$D10="",$C10&gt;T$6,$D10&lt;T$9),"",IF($J10="里程碑","◆",""))</f>
        <v/>
      </c>
      <c r="U10" s="8" t="str">
        <f>IF(OR($A10="",$C10="",$D10="",$C10&gt;U$6,$D10&lt;U$9),"",IF($J10="里程碑","◆",""))</f>
        <v/>
      </c>
      <c r="V10" s="8" t="str">
        <f>IF(OR($A10="",$C10="",$D10="",$C10&gt;V$6,$D10&lt;V$9),"",IF($J10="里程碑","◆",""))</f>
        <v/>
      </c>
      <c r="W10" s="8" t="str">
        <f>IF(OR($A10="",$C10="",$D10="",$C10&gt;W$6,$D10&lt;W$9),"",IF($J10="里程碑","◆",""))</f>
        <v/>
      </c>
      <c r="X10" s="8" t="str">
        <f>IF(OR($A10="",$C10="",$D10="",$C10&gt;X$6,$D10&lt;X$9),"",IF($J10="里程碑","◆",""))</f>
        <v/>
      </c>
      <c r="Y10" s="8" t="str">
        <f>IF(OR($A10="",$C10="",$D10="",$C10&gt;Y$6,$D10&lt;Y$9),"",IF($J10="里程碑","◆",""))</f>
        <v/>
      </c>
      <c r="Z10" s="8" t="str">
        <f>IF(OR($A10="",$C10="",$D10="",$C10&gt;Z$6,$D10&lt;Z$9),"",IF($J10="里程碑","◆",""))</f>
        <v/>
      </c>
      <c r="AA10" s="8" t="str">
        <f>IF(OR($A10="",$C10="",$D10="",$C10&gt;AA$6,$D10&lt;AA$9),"",IF($J10="里程碑","◆",""))</f>
        <v/>
      </c>
      <c r="AB10" s="8" t="str">
        <f>IF(OR($A10="",$C10="",$D10="",$C10&gt;AB$6,$D10&lt;AB$9),"",IF($J10="里程碑","◆",""))</f>
        <v/>
      </c>
      <c r="AC10" s="8" t="str">
        <f>IF(OR($A10="",$C10="",$D10="",$C10&gt;AC$6,$D10&lt;AC$9),"",IF($J10="里程碑","◆",""))</f>
        <v/>
      </c>
      <c r="AD10" s="8" t="str">
        <f>IF(OR($A10="",$C10="",$D10="",$C10&gt;AD$6,$D10&lt;AD$9),"",IF($J10="里程碑","◆",""))</f>
        <v/>
      </c>
      <c r="AE10" s="8" t="str">
        <f>IF(OR($A10="",$C10="",$D10="",$C10&gt;AE$6,$D10&lt;AE$9),"",IF($J10="里程碑","◆",""))</f>
        <v/>
      </c>
      <c r="AF10" s="8" t="str">
        <f>IF(OR($A10="",$C10="",$D10="",$C10&gt;AF$6,$D10&lt;AF$9),"",IF($J10="里程碑","◆",""))</f>
        <v/>
      </c>
      <c r="AG10" s="8" t="str">
        <f>IF(OR($A10="",$C10="",$D10="",$C10&gt;AG$6,$D10&lt;AG$9),"",IF($J10="里程碑","◆",""))</f>
        <v/>
      </c>
      <c r="AH10" s="8" t="str">
        <f>IF(OR($A10="",$C10="",$D10="",$C10&gt;AH$6,$D10&lt;AH$9),"",IF($J10="里程碑","◆",""))</f>
        <v/>
      </c>
      <c r="AI10" s="8" t="str">
        <f>IF(OR($A10="",$C10="",$D10="",$C10&gt;AI$6,$D10&lt;AI$9),"",IF($J10="里程碑","◆",""))</f>
        <v/>
      </c>
      <c r="AJ10" s="8" t="str">
        <f>IF(OR($A10="",$C10="",$D10="",$C10&gt;AJ$6,$D10&lt;AJ$9),"",IF($J10="里程碑","◆",""))</f>
        <v/>
      </c>
      <c r="AK10" s="8" t="str">
        <f>IF(OR($A10="",$C10="",$D10="",$C10&gt;AK$6,$D10&lt;AK$9),"",IF($J10="里程碑","◆",""))</f>
        <v/>
      </c>
      <c r="AL10" s="8" t="str">
        <f>IF(OR($A10="",$C10="",$D10="",$C10&gt;AL$6,$D10&lt;AL$9),"",IF($J10="里程碑","◆",""))</f>
        <v/>
      </c>
      <c r="AM10" s="8" t="str">
        <f>IF(OR($A10="",$C10="",$D10="",$C10&gt;AM$6,$D10&lt;AM$9),"",IF($J10="里程碑","◆",""))</f>
        <v/>
      </c>
      <c r="AN10" s="8" t="str">
        <f>IF(OR($A10="",$C10="",$D10="",$C10&gt;AN$6,$D10&lt;AN$9),"",IF($J10="里程碑","◆",""))</f>
        <v/>
      </c>
      <c r="AO10" s="8" t="str">
        <f>IF(OR($A10="",$C10="",$D10="",$C10&gt;AO$6,$D10&lt;AO$9),"",IF($J10="里程碑","◆",""))</f>
        <v/>
      </c>
      <c r="AP10" s="8" t="str">
        <f>IF(OR($A10="",$C10="",$D10="",$C10&gt;AP$6,$D10&lt;AP$9),"",IF($J10="里程碑","◆",""))</f>
        <v/>
      </c>
      <c r="AQ10" s="8" t="str">
        <f>IF(OR($A10="",$C10="",$D10="",$C10&gt;AQ$6,$D10&lt;AQ$9),"",IF($J10="里程碑","◆",""))</f>
        <v/>
      </c>
      <c r="AR10" s="8" t="str">
        <f>IF(OR($A10="",$C10="",$D10="",$C10&gt;AR$6,$D10&lt;AR$9),"",IF($J10="里程碑","◆",""))</f>
        <v/>
      </c>
      <c r="AS10" s="8" t="str">
        <f>IF(OR($A10="",$C10="",$D10="",$C10&gt;AS$6,$D10&lt;AS$9),"",IF($J10="里程碑","◆",""))</f>
        <v/>
      </c>
      <c r="AT10" s="8" t="str">
        <f>IF(OR($A10="",$C10="",$D10="",$C10&gt;AT$6,$D10&lt;AT$9),"",IF($J10="里程碑","◆",""))</f>
        <v/>
      </c>
      <c r="AU10" s="8" t="str">
        <f>IF(OR($A10="",$C10="",$D10="",$C10&gt;AU$6,$D10&lt;AU$9),"",IF($J10="里程碑","◆",""))</f>
        <v/>
      </c>
      <c r="AV10" s="8" t="str">
        <f>IF(OR($A10="",$C10="",$D10="",$C10&gt;AV$6,$D10&lt;AV$9),"",IF($J10="里程碑","◆",""))</f>
        <v/>
      </c>
      <c r="AW10" s="8" t="str">
        <f>IF(OR($A10="",$C10="",$D10="",$C10&gt;AW$6,$D10&lt;AW$9),"",IF($J10="里程碑","◆",""))</f>
        <v/>
      </c>
      <c r="AX10" s="8" t="str">
        <f>IF(OR($A10="",$C10="",$D10="",$C10&gt;AX$6,$D10&lt;AX$9),"",IF($J10="里程碑","◆",""))</f>
        <v/>
      </c>
      <c r="AY10" s="8" t="str">
        <f>IF(OR($A10="",$C10="",$D10="",$C10&gt;AY$6,$D10&lt;AY$9),"",IF($J10="里程碑","◆",""))</f>
        <v/>
      </c>
      <c r="AZ10" s="8" t="str">
        <f>IF(OR($A10="",$C10="",$D10="",$C10&gt;AZ$6,$D10&lt;AZ$9),"",IF($J10="里程碑","◆",""))</f>
        <v/>
      </c>
      <c r="BA10" s="8" t="str">
        <f>IF(OR($A10="",$C10="",$D10="",$C10&gt;BA$6,$D10&lt;BA$9),"",IF($J10="里程碑","◆",""))</f>
        <v/>
      </c>
      <c r="BB10" s="8" t="str">
        <f>IF(OR($A10="",$C10="",$D10="",$C10&gt;BB$6,$D10&lt;BB$9),"",IF($J10="里程碑","◆",""))</f>
        <v/>
      </c>
      <c r="BC10" s="8" t="str">
        <f>IF(OR($A10="",$C10="",$D10="",$C10&gt;BC$6,$D10&lt;BC$9),"",IF($J10="里程碑","◆",""))</f>
        <v/>
      </c>
      <c r="BD10" s="8" t="str">
        <f>IF(OR($A10="",$C10="",$D10="",$C10&gt;BD$6,$D10&lt;BD$9),"",IF($J10="里程碑","◆",""))</f>
        <v/>
      </c>
      <c r="BE10" s="8" t="str">
        <f>IF(OR($A10="",$C10="",$D10="",$C10&gt;BE$6,$D10&lt;BE$9),"",IF($J10="里程碑","◆",""))</f>
        <v/>
      </c>
      <c r="BF10" s="8" t="str">
        <f>IF(OR($A10="",$C10="",$D10="",$C10&gt;BF$6,$D10&lt;BF$9),"",IF($J10="里程碑","◆",""))</f>
        <v/>
      </c>
      <c r="BG10" s="8" t="str">
        <f>IF(OR($A10="",$C10="",$D10="",$C10&gt;BG$6,$D10&lt;BG$9),"",IF($J10="里程碑","◆",""))</f>
        <v/>
      </c>
      <c r="BH10" s="8" t="str">
        <f>IF(OR($A10="",$C10="",$D10="",$C10&gt;BH$6,$D10&lt;BH$9),"",IF($J10="里程碑","◆",""))</f>
        <v/>
      </c>
      <c r="BI10" s="8" t="str">
        <f>IF(OR($A10="",$C10="",$D10="",$C10&gt;BI$6,$D10&lt;BI$9),"",IF($J10="里程碑","◆",""))</f>
        <v/>
      </c>
      <c r="BJ10" s="8" t="str">
        <f>IF(OR($A10="",$C10="",$D10="",$C10&gt;BJ$6,$D10&lt;BJ$9),"",IF($J10="里程碑","◆",""))</f>
        <v/>
      </c>
      <c r="BK10" s="8" t="str">
        <f>IF(OR($A10="",$C10="",$D10="",$C10&gt;BK$6,$D10&lt;BK$9),"",IF($J10="里程碑","◆",""))</f>
        <v/>
      </c>
      <c r="BL10" s="8" t="str">
        <f>IF(OR($A10="",$C10="",$D10="",$C10&gt;BL$6,$D10&lt;BL$9),"",IF($J10="里程碑","◆",""))</f>
        <v/>
      </c>
      <c r="BM10" s="8" t="str">
        <f>IF(OR($A10="",$C10="",$D10="",$C10&gt;BM$6,$D10&lt;BM$9),"",IF($J10="里程碑","◆",""))</f>
        <v/>
      </c>
      <c r="BN10" s="8" t="str">
        <f>IF(OR($A10="",$C10="",$D10="",$C10&gt;BN$6,$D10&lt;BN$9),"",IF($J10="里程碑","◆",""))</f>
        <v/>
      </c>
      <c r="BO10" s="8" t="str">
        <f>IF(OR($A10="",$C10="",$D10="",$C10&gt;BO$6,$D10&lt;BO$9),"",IF($J10="里程碑","◆",""))</f>
        <v/>
      </c>
      <c r="BP10" s="8" t="str">
        <f>IF(OR($A10="",$C10="",$D10="",$C10&gt;BP$6,$D10&lt;BP$9),"",IF($J10="里程碑","◆",""))</f>
        <v/>
      </c>
      <c r="BQ10" s="8" t="str">
        <f>IF(OR($A10="",$C10="",$D10="",$C10&gt;BQ$6,$D10&lt;BQ$9),"",IF($J10="里程碑","◆",""))</f>
        <v/>
      </c>
      <c r="BR10" s="8" t="str">
        <f>IF(OR($A10="",$C10="",$D10="",$C10&gt;BR$6,$D10&lt;BR$9),"",IF($J10="里程碑","◆",""))</f>
        <v/>
      </c>
      <c r="BS10" s="8" t="str">
        <f>IF(OR($A10="",$C10="",$D10="",$C10&gt;BS$6,$D10&lt;BS$9),"",IF($J10="里程碑","◆",""))</f>
        <v/>
      </c>
      <c r="BT10" s="8" t="str">
        <f>IF(OR($A10="",$C10="",$D10="",$C10&gt;BT$6,$D10&lt;BT$9),"",IF($J10="里程碑","◆",""))</f>
        <v/>
      </c>
      <c r="BU10" s="8" t="str">
        <f>IF(OR($A10="",$C10="",$D10="",$C10&gt;BU$6,$D10&lt;BU$9),"",IF($J10="里程碑","◆",""))</f>
        <v/>
      </c>
      <c r="BV10" s="8" t="str">
        <f>IF(OR($A10="",$C10="",$D10="",$C10&gt;BV$6,$D10&lt;BV$9),"",IF($J10="里程碑","◆",""))</f>
        <v/>
      </c>
      <c r="BW10" s="8" t="str">
        <f>IF(OR($A10="",$C10="",$D10="",$C10&gt;BW$6,$D10&lt;BW$9),"",IF($J10="里程碑","◆",""))</f>
        <v/>
      </c>
      <c r="BX10" s="8" t="str">
        <f>IF(OR($A10="",$C10="",$D10="",$C10&gt;BX$6,$D10&lt;BX$9),"",IF($J10="里程碑","◆",""))</f>
        <v/>
      </c>
      <c r="BY10" s="8" t="str">
        <f>IF(OR($A10="",$C10="",$D10="",$C10&gt;BY$6,$D10&lt;BY$9),"",IF($J10="里程碑","◆",""))</f>
        <v/>
      </c>
      <c r="BZ10" s="8" t="str">
        <f>IF(OR($A10="",$C10="",$D10="",$C10&gt;BZ$6,$D10&lt;BZ$9),"",IF($J10="里程碑","◆",""))</f>
        <v/>
      </c>
      <c r="CA10" s="8" t="str">
        <f>IF(OR($A10="",$C10="",$D10="",$C10&gt;CA$6,$D10&lt;CA$9),"",IF($J10="里程碑","◆",""))</f>
        <v/>
      </c>
      <c r="CB10" s="8" t="str">
        <f>IF(OR($A10="",$C10="",$D10="",$C10&gt;CB$6,$D10&lt;CB$9),"",IF($J10="里程碑","◆",""))</f>
        <v/>
      </c>
      <c r="CC10" s="8" t="str">
        <f>IF(OR($A10="",$C10="",$D10="",$C10&gt;CC$6,$D10&lt;CC$9),"",IF($J10="里程碑","◆",""))</f>
        <v/>
      </c>
      <c r="CD10" s="8" t="str">
        <f>IF(OR($A10="",$C10="",$D10="",$C10&gt;CD$6,$D10&lt;CD$9),"",IF($J10="里程碑","◆",""))</f>
        <v/>
      </c>
      <c r="CE10" s="8" t="str">
        <f>IF(OR($A10="",$C10="",$D10="",$C10&gt;CE$6,$D10&lt;CE$9),"",IF($J10="里程碑","◆",""))</f>
        <v/>
      </c>
      <c r="CF10" s="8" t="str">
        <f>IF(OR($A10="",$C10="",$D10="",$C10&gt;CF$6,$D10&lt;CF$9),"",IF($J10="里程碑","◆",""))</f>
        <v/>
      </c>
      <c r="CG10" s="8" t="str">
        <f>IF(OR($A10="",$C10="",$D10="",$C10&gt;CG$6,$D10&lt;CG$9),"",IF($J10="里程碑","◆",""))</f>
        <v/>
      </c>
      <c r="CH10" s="8" t="str">
        <f>IF(OR($A10="",$C10="",$D10="",$C10&gt;CH$6,$D10&lt;CH$9),"",IF($J10="里程碑","◆",""))</f>
        <v/>
      </c>
      <c r="CI10" s="8" t="str">
        <f>IF(OR($A10="",$C10="",$D10="",$C10&gt;CI$6,$D10&lt;CI$9),"",IF($J10="里程碑","◆",""))</f>
        <v/>
      </c>
      <c r="CJ10" s="8" t="str">
        <f>IF(OR($A10="",$C10="",$D10="",$C10&gt;CJ$6,$D10&lt;CJ$9),"",IF($J10="里程碑","◆",""))</f>
        <v/>
      </c>
      <c r="CK10" s="8" t="str">
        <f>IF(OR($A10="",$C10="",$D10="",$C10&gt;CK$6,$D10&lt;CK$9),"",IF($J10="里程碑","◆",""))</f>
        <v/>
      </c>
      <c r="CL10" s="8" t="str">
        <f>IF(OR($A10="",$C10="",$D10="",$C10&gt;CL$6,$D10&lt;CL$9),"",IF($J10="里程碑","◆",""))</f>
        <v/>
      </c>
      <c r="CM10" s="8" t="str">
        <f>IF(OR($A10="",$C10="",$D10="",$C10&gt;CM$6,$D10&lt;CM$9),"",IF($J10="里程碑","◆",""))</f>
        <v/>
      </c>
      <c r="CN10" s="8" t="str">
        <f>IF(OR($A10="",$C10="",$D10="",$C10&gt;CN$6,$D10&lt;CN$9),"",IF($J10="里程碑","◆",""))</f>
        <v/>
      </c>
      <c r="CO10" s="8" t="str">
        <f>IF(OR($A10="",$C10="",$D10="",$C10&gt;CO$6,$D10&lt;CO$9),"",IF($J10="里程碑","◆",""))</f>
        <v/>
      </c>
      <c r="CP10" s="8" t="str">
        <f>IF(OR($A10="",$C10="",$D10="",$C10&gt;CP$6,$D10&lt;CP$9),"",IF($J10="里程碑","◆",""))</f>
        <v/>
      </c>
      <c r="CQ10" s="8" t="str">
        <f>IF(OR($A10="",$C10="",$D10="",$C10&gt;CQ$6,$D10&lt;CQ$9),"",IF($J10="里程碑","◆",""))</f>
        <v/>
      </c>
      <c r="CR10" s="8" t="str">
        <f>IF(OR($A10="",$C10="",$D10="",$C10&gt;CR$6,$D10&lt;CR$9),"",IF($J10="里程碑","◆",""))</f>
        <v/>
      </c>
      <c r="CS10" s="8" t="str">
        <f>IF(OR($A10="",$C10="",$D10="",$C10&gt;CS$6,$D10&lt;CS$9),"",IF($J10="里程碑","◆",""))</f>
        <v/>
      </c>
      <c r="CT10" s="8" t="str">
        <f>IF(OR($A10="",$C10="",$D10="",$C10&gt;CT$6,$D10&lt;CT$9),"",IF($J10="里程碑","◆",""))</f>
        <v/>
      </c>
      <c r="CU10" s="8" t="str">
        <f>IF(OR($A10="",$C10="",$D10="",$C10&gt;CU$6,$D10&lt;CU$9),"",IF($J10="里程碑","◆",""))</f>
        <v/>
      </c>
      <c r="CV10" s="8" t="str">
        <f>IF(OR($A10="",$C10="",$D10="",$C10&gt;CV$6,$D10&lt;CV$9),"",IF($J10="里程碑","◆",""))</f>
        <v/>
      </c>
      <c r="CW10" s="8" t="str">
        <f>IF(OR($A10="",$C10="",$D10="",$C10&gt;CW$6,$D10&lt;CW$9),"",IF($J10="里程碑","◆",""))</f>
        <v/>
      </c>
      <c r="CX10" s="8" t="str">
        <f>IF(OR($A10="",$C10="",$D10="",$C10&gt;CX$6,$D10&lt;CX$9),"",IF($J10="里程碑","◆",""))</f>
        <v/>
      </c>
      <c r="CY10" s="8" t="str">
        <f>IF(OR($A10="",$C10="",$D10="",$C10&gt;CY$6,$D10&lt;CY$9),"",IF($J10="里程碑","◆",""))</f>
        <v/>
      </c>
      <c r="CZ10" s="8" t="str">
        <f>IF(OR($A10="",$C10="",$D10="",$C10&gt;CZ$6,$D10&lt;CZ$9),"",IF($J10="里程碑","◆",""))</f>
        <v/>
      </c>
      <c r="DA10" s="8" t="str">
        <f>IF(OR($A10="",$C10="",$D10="",$C10&gt;DA$6,$D10&lt;DA$9),"",IF($J10="里程碑","◆",""))</f>
        <v/>
      </c>
      <c r="DB10" s="8" t="str">
        <f>IF(OR($A10="",$C10="",$D10="",$C10&gt;DB$6,$D10&lt;DB$9),"",IF($J10="里程碑","◆",""))</f>
        <v/>
      </c>
      <c r="DC10" s="1">
        <f>IF(ROW()-9&gt;$DH$3,"",MATCH(ROW()-9,排期计算!$U$10:$U$109,0))</f>
        <v>1</v>
      </c>
      <c r="DD10" s="1">
        <f>IF($DC10="","",INDEX(排期计算!$L$10:$L$109,$DC10))</f>
        <v>1</v>
      </c>
      <c r="DE10" s="1"/>
      <c r="DF10" s="1"/>
      <c r="DG10" s="1"/>
      <c r="DH10" s="1"/>
      <c r="DI10" s="1"/>
      <c r="DJ10" s="1"/>
      <c r="DK10" s="1"/>
    </row>
    <row r="11" spans="1:115" ht="24.95" customHeight="1">
      <c r="A11" s="9" t="str">
        <f>IF($DC11="","",IF(AND(INDEX(排期计算!$A$10:$A$109,$DC11)="",NOT(ISNUMBER(INDEX(排期计算!$A$10:$A$109,$DC11)))),"",INDEX(排期计算!$A$10:$A$109,$DC11)))</f>
        <v>1.1</v>
      </c>
      <c r="B11" s="1" t="str">
        <f>IF($DC11="","",REPT("　",$DD11-1)&amp;INDEX(排期计算!$B$10:$B$109,$DC11))</f>
        <v>　需求与接口确认</v>
      </c>
      <c r="C11" s="3">
        <f>IF($DC11="","",IF(AND(INDEX(排期计算!$M$10:$M$109,$DC11)="",NOT(ISNUMBER(INDEX(排期计算!$M$10:$M$109,$DC11)))),"",INDEX(排期计算!$M$10:$M$109,$DC11)))</f>
        <v>46321</v>
      </c>
      <c r="D11" s="3">
        <f>IF($DC11="","",IF(AND(INDEX(排期计算!$N$10:$N$109,$DC11)="",NOT(ISNUMBER(INDEX(排期计算!$N$10:$N$109,$DC11)))),"",INDEX(排期计算!$N$10:$N$109,$DC11)))</f>
        <v>46322</v>
      </c>
      <c r="E11" s="1">
        <f>IF(OR($C11="",$D11=""),"",IF($J11="里程碑",0,NETWORKDAYS($C11,$D11)))</f>
        <v>2</v>
      </c>
      <c r="F11" s="7">
        <f>IF($DC11="","",IF(AND(INDEX(排期计算!$O$10:$O$109,$DC11)="",NOT(ISNUMBER(INDEX(排期计算!$O$10:$O$109,$DC11)))),"",INDEX(排期计算!$O$10:$O$109,$DC11)))</f>
        <v>1</v>
      </c>
      <c r="G11" s="8" t="str">
        <f>IF($A11="","",IF(OR($C11="",$D11=""),"未排期",IF($F11&gt;=1,"已完成",IF($D11&lt;$B$4,"逾期",IF($C11&gt;$B$4,"未开始","进行中")))))</f>
        <v>已完成</v>
      </c>
      <c r="H11" s="1" t="str">
        <f>IF($DC11="","",IF(AND(INDEX(排期计算!$C$10:$C$109,$DC11)="",NOT(ISNUMBER(INDEX(排期计算!$C$10:$C$109,$DC11)))),"",INDEX(排期计算!$C$10:$C$109,$DC11)))</f>
        <v>张工</v>
      </c>
      <c r="I11" s="1" t="str">
        <f>IF($DC11="","",IF(AND(INDEX(排期计算!$H$10:$H$109,$DC11)="",NOT(ISNUMBER(INDEX(排期计算!$H$10:$H$109,$DC11)))),"",INDEX(排期计算!$H$10:$H$109,$DC11)))</f>
        <v/>
      </c>
      <c r="J11" s="1" t="str">
        <f>IF($DC11="","",IF(AND(INDEX(排期计算!$K$10:$K$109,$DC11)="",NOT(ISNUMBER(INDEX(排期计算!$K$10:$K$109,$DC11)))),"",INDEX(排期计算!$K$10:$K$109,$DC11)))</f>
        <v>普通任务</v>
      </c>
      <c r="K11" s="8" t="str">
        <f>IF(OR($A11="",$C11="",$D11="",$C11&gt;K$6,$D11&lt;K$9),"",IF($J11="里程碑","◆",""))</f>
        <v/>
      </c>
      <c r="L11" s="8" t="str">
        <f>IF(OR($A11="",$C11="",$D11="",$C11&gt;L$6,$D11&lt;L$9),"",IF($J11="里程碑","◆",""))</f>
        <v/>
      </c>
      <c r="M11" s="8" t="str">
        <f>IF(OR($A11="",$C11="",$D11="",$C11&gt;M$6,$D11&lt;M$9),"",IF($J11="里程碑","◆",""))</f>
        <v/>
      </c>
      <c r="N11" s="8" t="str">
        <f>IF(OR($A11="",$C11="",$D11="",$C11&gt;N$6,$D11&lt;N$9),"",IF($J11="里程碑","◆",""))</f>
        <v/>
      </c>
      <c r="O11" s="8" t="str">
        <f>IF(OR($A11="",$C11="",$D11="",$C11&gt;O$6,$D11&lt;O$9),"",IF($J11="里程碑","◆",""))</f>
        <v/>
      </c>
      <c r="P11" s="8" t="str">
        <f>IF(OR($A11="",$C11="",$D11="",$C11&gt;P$6,$D11&lt;P$9),"",IF($J11="里程碑","◆",""))</f>
        <v/>
      </c>
      <c r="Q11" s="8" t="str">
        <f>IF(OR($A11="",$C11="",$D11="",$C11&gt;Q$6,$D11&lt;Q$9),"",IF($J11="里程碑","◆",""))</f>
        <v/>
      </c>
      <c r="R11" s="8" t="str">
        <f>IF(OR($A11="",$C11="",$D11="",$C11&gt;R$6,$D11&lt;R$9),"",IF($J11="里程碑","◆",""))</f>
        <v/>
      </c>
      <c r="S11" s="8" t="str">
        <f>IF(OR($A11="",$C11="",$D11="",$C11&gt;S$6,$D11&lt;S$9),"",IF($J11="里程碑","◆",""))</f>
        <v/>
      </c>
      <c r="T11" s="8" t="str">
        <f>IF(OR($A11="",$C11="",$D11="",$C11&gt;T$6,$D11&lt;T$9),"",IF($J11="里程碑","◆",""))</f>
        <v/>
      </c>
      <c r="U11" s="8" t="str">
        <f>IF(OR($A11="",$C11="",$D11="",$C11&gt;U$6,$D11&lt;U$9),"",IF($J11="里程碑","◆",""))</f>
        <v/>
      </c>
      <c r="V11" s="8" t="str">
        <f>IF(OR($A11="",$C11="",$D11="",$C11&gt;V$6,$D11&lt;V$9),"",IF($J11="里程碑","◆",""))</f>
        <v/>
      </c>
      <c r="W11" s="8" t="str">
        <f>IF(OR($A11="",$C11="",$D11="",$C11&gt;W$6,$D11&lt;W$9),"",IF($J11="里程碑","◆",""))</f>
        <v/>
      </c>
      <c r="X11" s="8" t="str">
        <f>IF(OR($A11="",$C11="",$D11="",$C11&gt;X$6,$D11&lt;X$9),"",IF($J11="里程碑","◆",""))</f>
        <v/>
      </c>
      <c r="Y11" s="8" t="str">
        <f>IF(OR($A11="",$C11="",$D11="",$C11&gt;Y$6,$D11&lt;Y$9),"",IF($J11="里程碑","◆",""))</f>
        <v/>
      </c>
      <c r="Z11" s="8" t="str">
        <f>IF(OR($A11="",$C11="",$D11="",$C11&gt;Z$6,$D11&lt;Z$9),"",IF($J11="里程碑","◆",""))</f>
        <v/>
      </c>
      <c r="AA11" s="8" t="str">
        <f>IF(OR($A11="",$C11="",$D11="",$C11&gt;AA$6,$D11&lt;AA$9),"",IF($J11="里程碑","◆",""))</f>
        <v/>
      </c>
      <c r="AB11" s="8" t="str">
        <f>IF(OR($A11="",$C11="",$D11="",$C11&gt;AB$6,$D11&lt;AB$9),"",IF($J11="里程碑","◆",""))</f>
        <v/>
      </c>
      <c r="AC11" s="8" t="str">
        <f>IF(OR($A11="",$C11="",$D11="",$C11&gt;AC$6,$D11&lt;AC$9),"",IF($J11="里程碑","◆",""))</f>
        <v/>
      </c>
      <c r="AD11" s="8" t="str">
        <f>IF(OR($A11="",$C11="",$D11="",$C11&gt;AD$6,$D11&lt;AD$9),"",IF($J11="里程碑","◆",""))</f>
        <v/>
      </c>
      <c r="AE11" s="8" t="str">
        <f>IF(OR($A11="",$C11="",$D11="",$C11&gt;AE$6,$D11&lt;AE$9),"",IF($J11="里程碑","◆",""))</f>
        <v/>
      </c>
      <c r="AF11" s="8" t="str">
        <f>IF(OR($A11="",$C11="",$D11="",$C11&gt;AF$6,$D11&lt;AF$9),"",IF($J11="里程碑","◆",""))</f>
        <v/>
      </c>
      <c r="AG11" s="8" t="str">
        <f>IF(OR($A11="",$C11="",$D11="",$C11&gt;AG$6,$D11&lt;AG$9),"",IF($J11="里程碑","◆",""))</f>
        <v/>
      </c>
      <c r="AH11" s="8" t="str">
        <f>IF(OR($A11="",$C11="",$D11="",$C11&gt;AH$6,$D11&lt;AH$9),"",IF($J11="里程碑","◆",""))</f>
        <v/>
      </c>
      <c r="AI11" s="8" t="str">
        <f>IF(OR($A11="",$C11="",$D11="",$C11&gt;AI$6,$D11&lt;AI$9),"",IF($J11="里程碑","◆",""))</f>
        <v/>
      </c>
      <c r="AJ11" s="8" t="str">
        <f>IF(OR($A11="",$C11="",$D11="",$C11&gt;AJ$6,$D11&lt;AJ$9),"",IF($J11="里程碑","◆",""))</f>
        <v/>
      </c>
      <c r="AK11" s="8" t="str">
        <f>IF(OR($A11="",$C11="",$D11="",$C11&gt;AK$6,$D11&lt;AK$9),"",IF($J11="里程碑","◆",""))</f>
        <v/>
      </c>
      <c r="AL11" s="8" t="str">
        <f>IF(OR($A11="",$C11="",$D11="",$C11&gt;AL$6,$D11&lt;AL$9),"",IF($J11="里程碑","◆",""))</f>
        <v/>
      </c>
      <c r="AM11" s="8" t="str">
        <f>IF(OR($A11="",$C11="",$D11="",$C11&gt;AM$6,$D11&lt;AM$9),"",IF($J11="里程碑","◆",""))</f>
        <v/>
      </c>
      <c r="AN11" s="8" t="str">
        <f>IF(OR($A11="",$C11="",$D11="",$C11&gt;AN$6,$D11&lt;AN$9),"",IF($J11="里程碑","◆",""))</f>
        <v/>
      </c>
      <c r="AO11" s="8" t="str">
        <f>IF(OR($A11="",$C11="",$D11="",$C11&gt;AO$6,$D11&lt;AO$9),"",IF($J11="里程碑","◆",""))</f>
        <v/>
      </c>
      <c r="AP11" s="8" t="str">
        <f>IF(OR($A11="",$C11="",$D11="",$C11&gt;AP$6,$D11&lt;AP$9),"",IF($J11="里程碑","◆",""))</f>
        <v/>
      </c>
      <c r="AQ11" s="8" t="str">
        <f>IF(OR($A11="",$C11="",$D11="",$C11&gt;AQ$6,$D11&lt;AQ$9),"",IF($J11="里程碑","◆",""))</f>
        <v/>
      </c>
      <c r="AR11" s="8" t="str">
        <f>IF(OR($A11="",$C11="",$D11="",$C11&gt;AR$6,$D11&lt;AR$9),"",IF($J11="里程碑","◆",""))</f>
        <v/>
      </c>
      <c r="AS11" s="8" t="str">
        <f>IF(OR($A11="",$C11="",$D11="",$C11&gt;AS$6,$D11&lt;AS$9),"",IF($J11="里程碑","◆",""))</f>
        <v/>
      </c>
      <c r="AT11" s="8" t="str">
        <f>IF(OR($A11="",$C11="",$D11="",$C11&gt;AT$6,$D11&lt;AT$9),"",IF($J11="里程碑","◆",""))</f>
        <v/>
      </c>
      <c r="AU11" s="8" t="str">
        <f>IF(OR($A11="",$C11="",$D11="",$C11&gt;AU$6,$D11&lt;AU$9),"",IF($J11="里程碑","◆",""))</f>
        <v/>
      </c>
      <c r="AV11" s="8" t="str">
        <f>IF(OR($A11="",$C11="",$D11="",$C11&gt;AV$6,$D11&lt;AV$9),"",IF($J11="里程碑","◆",""))</f>
        <v/>
      </c>
      <c r="AW11" s="8" t="str">
        <f>IF(OR($A11="",$C11="",$D11="",$C11&gt;AW$6,$D11&lt;AW$9),"",IF($J11="里程碑","◆",""))</f>
        <v/>
      </c>
      <c r="AX11" s="8" t="str">
        <f>IF(OR($A11="",$C11="",$D11="",$C11&gt;AX$6,$D11&lt;AX$9),"",IF($J11="里程碑","◆",""))</f>
        <v/>
      </c>
      <c r="AY11" s="8" t="str">
        <f>IF(OR($A11="",$C11="",$D11="",$C11&gt;AY$6,$D11&lt;AY$9),"",IF($J11="里程碑","◆",""))</f>
        <v/>
      </c>
      <c r="AZ11" s="8" t="str">
        <f>IF(OR($A11="",$C11="",$D11="",$C11&gt;AZ$6,$D11&lt;AZ$9),"",IF($J11="里程碑","◆",""))</f>
        <v/>
      </c>
      <c r="BA11" s="8" t="str">
        <f>IF(OR($A11="",$C11="",$D11="",$C11&gt;BA$6,$D11&lt;BA$9),"",IF($J11="里程碑","◆",""))</f>
        <v/>
      </c>
      <c r="BB11" s="8" t="str">
        <f>IF(OR($A11="",$C11="",$D11="",$C11&gt;BB$6,$D11&lt;BB$9),"",IF($J11="里程碑","◆",""))</f>
        <v/>
      </c>
      <c r="BC11" s="8" t="str">
        <f>IF(OR($A11="",$C11="",$D11="",$C11&gt;BC$6,$D11&lt;BC$9),"",IF($J11="里程碑","◆",""))</f>
        <v/>
      </c>
      <c r="BD11" s="8" t="str">
        <f>IF(OR($A11="",$C11="",$D11="",$C11&gt;BD$6,$D11&lt;BD$9),"",IF($J11="里程碑","◆",""))</f>
        <v/>
      </c>
      <c r="BE11" s="8" t="str">
        <f>IF(OR($A11="",$C11="",$D11="",$C11&gt;BE$6,$D11&lt;BE$9),"",IF($J11="里程碑","◆",""))</f>
        <v/>
      </c>
      <c r="BF11" s="8" t="str">
        <f>IF(OR($A11="",$C11="",$D11="",$C11&gt;BF$6,$D11&lt;BF$9),"",IF($J11="里程碑","◆",""))</f>
        <v/>
      </c>
      <c r="BG11" s="8" t="str">
        <f>IF(OR($A11="",$C11="",$D11="",$C11&gt;BG$6,$D11&lt;BG$9),"",IF($J11="里程碑","◆",""))</f>
        <v/>
      </c>
      <c r="BH11" s="8" t="str">
        <f>IF(OR($A11="",$C11="",$D11="",$C11&gt;BH$6,$D11&lt;BH$9),"",IF($J11="里程碑","◆",""))</f>
        <v/>
      </c>
      <c r="BI11" s="8" t="str">
        <f>IF(OR($A11="",$C11="",$D11="",$C11&gt;BI$6,$D11&lt;BI$9),"",IF($J11="里程碑","◆",""))</f>
        <v/>
      </c>
      <c r="BJ11" s="8" t="str">
        <f>IF(OR($A11="",$C11="",$D11="",$C11&gt;BJ$6,$D11&lt;BJ$9),"",IF($J11="里程碑","◆",""))</f>
        <v/>
      </c>
      <c r="BK11" s="8" t="str">
        <f>IF(OR($A11="",$C11="",$D11="",$C11&gt;BK$6,$D11&lt;BK$9),"",IF($J11="里程碑","◆",""))</f>
        <v/>
      </c>
      <c r="BL11" s="8" t="str">
        <f>IF(OR($A11="",$C11="",$D11="",$C11&gt;BL$6,$D11&lt;BL$9),"",IF($J11="里程碑","◆",""))</f>
        <v/>
      </c>
      <c r="BM11" s="8" t="str">
        <f>IF(OR($A11="",$C11="",$D11="",$C11&gt;BM$6,$D11&lt;BM$9),"",IF($J11="里程碑","◆",""))</f>
        <v/>
      </c>
      <c r="BN11" s="8" t="str">
        <f>IF(OR($A11="",$C11="",$D11="",$C11&gt;BN$6,$D11&lt;BN$9),"",IF($J11="里程碑","◆",""))</f>
        <v/>
      </c>
      <c r="BO11" s="8" t="str">
        <f>IF(OR($A11="",$C11="",$D11="",$C11&gt;BO$6,$D11&lt;BO$9),"",IF($J11="里程碑","◆",""))</f>
        <v/>
      </c>
      <c r="BP11" s="8" t="str">
        <f>IF(OR($A11="",$C11="",$D11="",$C11&gt;BP$6,$D11&lt;BP$9),"",IF($J11="里程碑","◆",""))</f>
        <v/>
      </c>
      <c r="BQ11" s="8" t="str">
        <f>IF(OR($A11="",$C11="",$D11="",$C11&gt;BQ$6,$D11&lt;BQ$9),"",IF($J11="里程碑","◆",""))</f>
        <v/>
      </c>
      <c r="BR11" s="8" t="str">
        <f>IF(OR($A11="",$C11="",$D11="",$C11&gt;BR$6,$D11&lt;BR$9),"",IF($J11="里程碑","◆",""))</f>
        <v/>
      </c>
      <c r="BS11" s="8" t="str">
        <f>IF(OR($A11="",$C11="",$D11="",$C11&gt;BS$6,$D11&lt;BS$9),"",IF($J11="里程碑","◆",""))</f>
        <v/>
      </c>
      <c r="BT11" s="8" t="str">
        <f>IF(OR($A11="",$C11="",$D11="",$C11&gt;BT$6,$D11&lt;BT$9),"",IF($J11="里程碑","◆",""))</f>
        <v/>
      </c>
      <c r="BU11" s="8" t="str">
        <f>IF(OR($A11="",$C11="",$D11="",$C11&gt;BU$6,$D11&lt;BU$9),"",IF($J11="里程碑","◆",""))</f>
        <v/>
      </c>
      <c r="BV11" s="8" t="str">
        <f>IF(OR($A11="",$C11="",$D11="",$C11&gt;BV$6,$D11&lt;BV$9),"",IF($J11="里程碑","◆",""))</f>
        <v/>
      </c>
      <c r="BW11" s="8" t="str">
        <f>IF(OR($A11="",$C11="",$D11="",$C11&gt;BW$6,$D11&lt;BW$9),"",IF($J11="里程碑","◆",""))</f>
        <v/>
      </c>
      <c r="BX11" s="8" t="str">
        <f>IF(OR($A11="",$C11="",$D11="",$C11&gt;BX$6,$D11&lt;BX$9),"",IF($J11="里程碑","◆",""))</f>
        <v/>
      </c>
      <c r="BY11" s="8" t="str">
        <f>IF(OR($A11="",$C11="",$D11="",$C11&gt;BY$6,$D11&lt;BY$9),"",IF($J11="里程碑","◆",""))</f>
        <v/>
      </c>
      <c r="BZ11" s="8" t="str">
        <f>IF(OR($A11="",$C11="",$D11="",$C11&gt;BZ$6,$D11&lt;BZ$9),"",IF($J11="里程碑","◆",""))</f>
        <v/>
      </c>
      <c r="CA11" s="8" t="str">
        <f>IF(OR($A11="",$C11="",$D11="",$C11&gt;CA$6,$D11&lt;CA$9),"",IF($J11="里程碑","◆",""))</f>
        <v/>
      </c>
      <c r="CB11" s="8" t="str">
        <f>IF(OR($A11="",$C11="",$D11="",$C11&gt;CB$6,$D11&lt;CB$9),"",IF($J11="里程碑","◆",""))</f>
        <v/>
      </c>
      <c r="CC11" s="8" t="str">
        <f>IF(OR($A11="",$C11="",$D11="",$C11&gt;CC$6,$D11&lt;CC$9),"",IF($J11="里程碑","◆",""))</f>
        <v/>
      </c>
      <c r="CD11" s="8" t="str">
        <f>IF(OR($A11="",$C11="",$D11="",$C11&gt;CD$6,$D11&lt;CD$9),"",IF($J11="里程碑","◆",""))</f>
        <v/>
      </c>
      <c r="CE11" s="8" t="str">
        <f>IF(OR($A11="",$C11="",$D11="",$C11&gt;CE$6,$D11&lt;CE$9),"",IF($J11="里程碑","◆",""))</f>
        <v/>
      </c>
      <c r="CF11" s="8" t="str">
        <f>IF(OR($A11="",$C11="",$D11="",$C11&gt;CF$6,$D11&lt;CF$9),"",IF($J11="里程碑","◆",""))</f>
        <v/>
      </c>
      <c r="CG11" s="8" t="str">
        <f>IF(OR($A11="",$C11="",$D11="",$C11&gt;CG$6,$D11&lt;CG$9),"",IF($J11="里程碑","◆",""))</f>
        <v/>
      </c>
      <c r="CH11" s="8" t="str">
        <f>IF(OR($A11="",$C11="",$D11="",$C11&gt;CH$6,$D11&lt;CH$9),"",IF($J11="里程碑","◆",""))</f>
        <v/>
      </c>
      <c r="CI11" s="8" t="str">
        <f>IF(OR($A11="",$C11="",$D11="",$C11&gt;CI$6,$D11&lt;CI$9),"",IF($J11="里程碑","◆",""))</f>
        <v/>
      </c>
      <c r="CJ11" s="8" t="str">
        <f>IF(OR($A11="",$C11="",$D11="",$C11&gt;CJ$6,$D11&lt;CJ$9),"",IF($J11="里程碑","◆",""))</f>
        <v/>
      </c>
      <c r="CK11" s="8" t="str">
        <f>IF(OR($A11="",$C11="",$D11="",$C11&gt;CK$6,$D11&lt;CK$9),"",IF($J11="里程碑","◆",""))</f>
        <v/>
      </c>
      <c r="CL11" s="8" t="str">
        <f>IF(OR($A11="",$C11="",$D11="",$C11&gt;CL$6,$D11&lt;CL$9),"",IF($J11="里程碑","◆",""))</f>
        <v/>
      </c>
      <c r="CM11" s="8" t="str">
        <f>IF(OR($A11="",$C11="",$D11="",$C11&gt;CM$6,$D11&lt;CM$9),"",IF($J11="里程碑","◆",""))</f>
        <v/>
      </c>
      <c r="CN11" s="8" t="str">
        <f>IF(OR($A11="",$C11="",$D11="",$C11&gt;CN$6,$D11&lt;CN$9),"",IF($J11="里程碑","◆",""))</f>
        <v/>
      </c>
      <c r="CO11" s="8" t="str">
        <f>IF(OR($A11="",$C11="",$D11="",$C11&gt;CO$6,$D11&lt;CO$9),"",IF($J11="里程碑","◆",""))</f>
        <v/>
      </c>
      <c r="CP11" s="8" t="str">
        <f>IF(OR($A11="",$C11="",$D11="",$C11&gt;CP$6,$D11&lt;CP$9),"",IF($J11="里程碑","◆",""))</f>
        <v/>
      </c>
      <c r="CQ11" s="8" t="str">
        <f>IF(OR($A11="",$C11="",$D11="",$C11&gt;CQ$6,$D11&lt;CQ$9),"",IF($J11="里程碑","◆",""))</f>
        <v/>
      </c>
      <c r="CR11" s="8" t="str">
        <f>IF(OR($A11="",$C11="",$D11="",$C11&gt;CR$6,$D11&lt;CR$9),"",IF($J11="里程碑","◆",""))</f>
        <v/>
      </c>
      <c r="CS11" s="8" t="str">
        <f>IF(OR($A11="",$C11="",$D11="",$C11&gt;CS$6,$D11&lt;CS$9),"",IF($J11="里程碑","◆",""))</f>
        <v/>
      </c>
      <c r="CT11" s="8" t="str">
        <f>IF(OR($A11="",$C11="",$D11="",$C11&gt;CT$6,$D11&lt;CT$9),"",IF($J11="里程碑","◆",""))</f>
        <v/>
      </c>
      <c r="CU11" s="8" t="str">
        <f>IF(OR($A11="",$C11="",$D11="",$C11&gt;CU$6,$D11&lt;CU$9),"",IF($J11="里程碑","◆",""))</f>
        <v/>
      </c>
      <c r="CV11" s="8" t="str">
        <f>IF(OR($A11="",$C11="",$D11="",$C11&gt;CV$6,$D11&lt;CV$9),"",IF($J11="里程碑","◆",""))</f>
        <v/>
      </c>
      <c r="CW11" s="8" t="str">
        <f>IF(OR($A11="",$C11="",$D11="",$C11&gt;CW$6,$D11&lt;CW$9),"",IF($J11="里程碑","◆",""))</f>
        <v/>
      </c>
      <c r="CX11" s="8" t="str">
        <f>IF(OR($A11="",$C11="",$D11="",$C11&gt;CX$6,$D11&lt;CX$9),"",IF($J11="里程碑","◆",""))</f>
        <v/>
      </c>
      <c r="CY11" s="8" t="str">
        <f>IF(OR($A11="",$C11="",$D11="",$C11&gt;CY$6,$D11&lt;CY$9),"",IF($J11="里程碑","◆",""))</f>
        <v/>
      </c>
      <c r="CZ11" s="8" t="str">
        <f>IF(OR($A11="",$C11="",$D11="",$C11&gt;CZ$6,$D11&lt;CZ$9),"",IF($J11="里程碑","◆",""))</f>
        <v/>
      </c>
      <c r="DA11" s="8" t="str">
        <f>IF(OR($A11="",$C11="",$D11="",$C11&gt;DA$6,$D11&lt;DA$9),"",IF($J11="里程碑","◆",""))</f>
        <v/>
      </c>
      <c r="DB11" s="8" t="str">
        <f>IF(OR($A11="",$C11="",$D11="",$C11&gt;DB$6,$D11&lt;DB$9),"",IF($J11="里程碑","◆",""))</f>
        <v/>
      </c>
      <c r="DC11" s="1">
        <f>IF(ROW()-9&gt;$DH$3,"",MATCH(ROW()-9,排期计算!$U$10:$U$109,0))</f>
        <v>2</v>
      </c>
      <c r="DD11" s="1">
        <f>IF($DC11="","",INDEX(排期计算!$L$10:$L$109,$DC11))</f>
        <v>2</v>
      </c>
      <c r="DE11" s="1"/>
      <c r="DF11" s="1"/>
      <c r="DG11" s="1"/>
      <c r="DH11" s="1"/>
      <c r="DI11" s="1"/>
      <c r="DJ11" s="1"/>
      <c r="DK11" s="1"/>
    </row>
    <row r="12" spans="1:115" ht="24.95" customHeight="1">
      <c r="A12" s="9" t="str">
        <f>IF($DC12="","",IF(AND(INDEX(排期计算!$A$10:$A$109,$DC12)="",NOT(ISNUMBER(INDEX(排期计算!$A$10:$A$109,$DC12)))),"",INDEX(排期计算!$A$10:$A$109,$DC12)))</f>
        <v>1.2</v>
      </c>
      <c r="B12" s="1" t="str">
        <f>IF($DC12="","",REPT("　",$DD12-1)&amp;INDEX(排期计算!$B$10:$B$109,$DC12))</f>
        <v>　结构方案及设计评审</v>
      </c>
      <c r="C12" s="3">
        <f>IF($DC12="","",IF(AND(INDEX(排期计算!$M$10:$M$109,$DC12)="",NOT(ISNUMBER(INDEX(排期计算!$M$10:$M$109,$DC12)))),"",INDEX(排期计算!$M$10:$M$109,$DC12)))</f>
        <v>46323</v>
      </c>
      <c r="D12" s="3">
        <f>IF($DC12="","",IF(AND(INDEX(排期计算!$N$10:$N$109,$DC12)="",NOT(ISNUMBER(INDEX(排期计算!$N$10:$N$109,$DC12)))),"",INDEX(排期计算!$N$10:$N$109,$DC12)))</f>
        <v>46329</v>
      </c>
      <c r="E12" s="1">
        <f>IF(OR($C12="",$D12=""),"",IF($J12="里程碑",0,NETWORKDAYS($C12,$D12)))</f>
        <v>5</v>
      </c>
      <c r="F12" s="7">
        <f>IF($DC12="","",IF(AND(INDEX(排期计算!$O$10:$O$109,$DC12)="",NOT(ISNUMBER(INDEX(排期计算!$O$10:$O$109,$DC12)))),"",INDEX(排期计算!$O$10:$O$109,$DC12)))</f>
        <v>0.25</v>
      </c>
      <c r="G12" s="8" t="str">
        <f>IF($A12="","",IF(OR($C12="",$D12=""),"未排期",IF($F12&gt;=1,"已完成",IF($D12&lt;$B$4,"逾期",IF($C12&gt;$B$4,"未开始","进行中")))))</f>
        <v>未开始</v>
      </c>
      <c r="H12" s="1" t="str">
        <f>IF($DC12="","",IF(AND(INDEX(排期计算!$C$10:$C$109,$DC12)="",NOT(ISNUMBER(INDEX(排期计算!$C$10:$C$109,$DC12)))),"",INDEX(排期计算!$C$10:$C$109,$DC12)))</f>
        <v>张工</v>
      </c>
      <c r="I12" s="1" t="str">
        <f>IF($DC12="","",IF(AND(INDEX(排期计算!$H$10:$H$109,$DC12)="",NOT(ISNUMBER(INDEX(排期计算!$H$10:$H$109,$DC12)))),"",INDEX(排期计算!$H$10:$H$109,$DC12)))</f>
        <v>1.1</v>
      </c>
      <c r="J12" s="1" t="str">
        <f>IF($DC12="","",IF(AND(INDEX(排期计算!$K$10:$K$109,$DC12)="",NOT(ISNUMBER(INDEX(排期计算!$K$10:$K$109,$DC12)))),"",INDEX(排期计算!$K$10:$K$109,$DC12)))</f>
        <v>普通任务</v>
      </c>
      <c r="K12" s="8" t="str">
        <f>IF(OR($A12="",$C12="",$D12="",$C12&gt;K$6,$D12&lt;K$9),"",IF($J12="里程碑","◆",""))</f>
        <v/>
      </c>
      <c r="L12" s="8" t="str">
        <f>IF(OR($A12="",$C12="",$D12="",$C12&gt;L$6,$D12&lt;L$9),"",IF($J12="里程碑","◆",""))</f>
        <v/>
      </c>
      <c r="M12" s="8" t="str">
        <f>IF(OR($A12="",$C12="",$D12="",$C12&gt;M$6,$D12&lt;M$9),"",IF($J12="里程碑","◆",""))</f>
        <v/>
      </c>
      <c r="N12" s="8" t="str">
        <f>IF(OR($A12="",$C12="",$D12="",$C12&gt;N$6,$D12&lt;N$9),"",IF($J12="里程碑","◆",""))</f>
        <v/>
      </c>
      <c r="O12" s="8" t="str">
        <f>IF(OR($A12="",$C12="",$D12="",$C12&gt;O$6,$D12&lt;O$9),"",IF($J12="里程碑","◆",""))</f>
        <v/>
      </c>
      <c r="P12" s="8" t="str">
        <f>IF(OR($A12="",$C12="",$D12="",$C12&gt;P$6,$D12&lt;P$9),"",IF($J12="里程碑","◆",""))</f>
        <v/>
      </c>
      <c r="Q12" s="8" t="str">
        <f>IF(OR($A12="",$C12="",$D12="",$C12&gt;Q$6,$D12&lt;Q$9),"",IF($J12="里程碑","◆",""))</f>
        <v/>
      </c>
      <c r="R12" s="8" t="str">
        <f>IF(OR($A12="",$C12="",$D12="",$C12&gt;R$6,$D12&lt;R$9),"",IF($J12="里程碑","◆",""))</f>
        <v/>
      </c>
      <c r="S12" s="8" t="str">
        <f>IF(OR($A12="",$C12="",$D12="",$C12&gt;S$6,$D12&lt;S$9),"",IF($J12="里程碑","◆",""))</f>
        <v/>
      </c>
      <c r="T12" s="8" t="str">
        <f>IF(OR($A12="",$C12="",$D12="",$C12&gt;T$6,$D12&lt;T$9),"",IF($J12="里程碑","◆",""))</f>
        <v/>
      </c>
      <c r="U12" s="8" t="str">
        <f>IF(OR($A12="",$C12="",$D12="",$C12&gt;U$6,$D12&lt;U$9),"",IF($J12="里程碑","◆",""))</f>
        <v/>
      </c>
      <c r="V12" s="8" t="str">
        <f>IF(OR($A12="",$C12="",$D12="",$C12&gt;V$6,$D12&lt;V$9),"",IF($J12="里程碑","◆",""))</f>
        <v/>
      </c>
      <c r="W12" s="8" t="str">
        <f>IF(OR($A12="",$C12="",$D12="",$C12&gt;W$6,$D12&lt;W$9),"",IF($J12="里程碑","◆",""))</f>
        <v/>
      </c>
      <c r="X12" s="8" t="str">
        <f>IF(OR($A12="",$C12="",$D12="",$C12&gt;X$6,$D12&lt;X$9),"",IF($J12="里程碑","◆",""))</f>
        <v/>
      </c>
      <c r="Y12" s="8" t="str">
        <f>IF(OR($A12="",$C12="",$D12="",$C12&gt;Y$6,$D12&lt;Y$9),"",IF($J12="里程碑","◆",""))</f>
        <v/>
      </c>
      <c r="Z12" s="8" t="str">
        <f>IF(OR($A12="",$C12="",$D12="",$C12&gt;Z$6,$D12&lt;Z$9),"",IF($J12="里程碑","◆",""))</f>
        <v/>
      </c>
      <c r="AA12" s="8" t="str">
        <f>IF(OR($A12="",$C12="",$D12="",$C12&gt;AA$6,$D12&lt;AA$9),"",IF($J12="里程碑","◆",""))</f>
        <v/>
      </c>
      <c r="AB12" s="8" t="str">
        <f>IF(OR($A12="",$C12="",$D12="",$C12&gt;AB$6,$D12&lt;AB$9),"",IF($J12="里程碑","◆",""))</f>
        <v/>
      </c>
      <c r="AC12" s="8" t="str">
        <f>IF(OR($A12="",$C12="",$D12="",$C12&gt;AC$6,$D12&lt;AC$9),"",IF($J12="里程碑","◆",""))</f>
        <v/>
      </c>
      <c r="AD12" s="8" t="str">
        <f>IF(OR($A12="",$C12="",$D12="",$C12&gt;AD$6,$D12&lt;AD$9),"",IF($J12="里程碑","◆",""))</f>
        <v/>
      </c>
      <c r="AE12" s="8" t="str">
        <f>IF(OR($A12="",$C12="",$D12="",$C12&gt;AE$6,$D12&lt;AE$9),"",IF($J12="里程碑","◆",""))</f>
        <v/>
      </c>
      <c r="AF12" s="8" t="str">
        <f>IF(OR($A12="",$C12="",$D12="",$C12&gt;AF$6,$D12&lt;AF$9),"",IF($J12="里程碑","◆",""))</f>
        <v/>
      </c>
      <c r="AG12" s="8" t="str">
        <f>IF(OR($A12="",$C12="",$D12="",$C12&gt;AG$6,$D12&lt;AG$9),"",IF($J12="里程碑","◆",""))</f>
        <v/>
      </c>
      <c r="AH12" s="8" t="str">
        <f>IF(OR($A12="",$C12="",$D12="",$C12&gt;AH$6,$D12&lt;AH$9),"",IF($J12="里程碑","◆",""))</f>
        <v/>
      </c>
      <c r="AI12" s="8" t="str">
        <f>IF(OR($A12="",$C12="",$D12="",$C12&gt;AI$6,$D12&lt;AI$9),"",IF($J12="里程碑","◆",""))</f>
        <v/>
      </c>
      <c r="AJ12" s="8" t="str">
        <f>IF(OR($A12="",$C12="",$D12="",$C12&gt;AJ$6,$D12&lt;AJ$9),"",IF($J12="里程碑","◆",""))</f>
        <v/>
      </c>
      <c r="AK12" s="8" t="str">
        <f>IF(OR($A12="",$C12="",$D12="",$C12&gt;AK$6,$D12&lt;AK$9),"",IF($J12="里程碑","◆",""))</f>
        <v/>
      </c>
      <c r="AL12" s="8" t="str">
        <f>IF(OR($A12="",$C12="",$D12="",$C12&gt;AL$6,$D12&lt;AL$9),"",IF($J12="里程碑","◆",""))</f>
        <v/>
      </c>
      <c r="AM12" s="8" t="str">
        <f>IF(OR($A12="",$C12="",$D12="",$C12&gt;AM$6,$D12&lt;AM$9),"",IF($J12="里程碑","◆",""))</f>
        <v/>
      </c>
      <c r="AN12" s="8" t="str">
        <f>IF(OR($A12="",$C12="",$D12="",$C12&gt;AN$6,$D12&lt;AN$9),"",IF($J12="里程碑","◆",""))</f>
        <v/>
      </c>
      <c r="AO12" s="8" t="str">
        <f>IF(OR($A12="",$C12="",$D12="",$C12&gt;AO$6,$D12&lt;AO$9),"",IF($J12="里程碑","◆",""))</f>
        <v/>
      </c>
      <c r="AP12" s="8" t="str">
        <f>IF(OR($A12="",$C12="",$D12="",$C12&gt;AP$6,$D12&lt;AP$9),"",IF($J12="里程碑","◆",""))</f>
        <v/>
      </c>
      <c r="AQ12" s="8" t="str">
        <f>IF(OR($A12="",$C12="",$D12="",$C12&gt;AQ$6,$D12&lt;AQ$9),"",IF($J12="里程碑","◆",""))</f>
        <v/>
      </c>
      <c r="AR12" s="8" t="str">
        <f>IF(OR($A12="",$C12="",$D12="",$C12&gt;AR$6,$D12&lt;AR$9),"",IF($J12="里程碑","◆",""))</f>
        <v/>
      </c>
      <c r="AS12" s="8" t="str">
        <f>IF(OR($A12="",$C12="",$D12="",$C12&gt;AS$6,$D12&lt;AS$9),"",IF($J12="里程碑","◆",""))</f>
        <v/>
      </c>
      <c r="AT12" s="8" t="str">
        <f>IF(OR($A12="",$C12="",$D12="",$C12&gt;AT$6,$D12&lt;AT$9),"",IF($J12="里程碑","◆",""))</f>
        <v/>
      </c>
      <c r="AU12" s="8" t="str">
        <f>IF(OR($A12="",$C12="",$D12="",$C12&gt;AU$6,$D12&lt;AU$9),"",IF($J12="里程碑","◆",""))</f>
        <v/>
      </c>
      <c r="AV12" s="8" t="str">
        <f>IF(OR($A12="",$C12="",$D12="",$C12&gt;AV$6,$D12&lt;AV$9),"",IF($J12="里程碑","◆",""))</f>
        <v/>
      </c>
      <c r="AW12" s="8" t="str">
        <f>IF(OR($A12="",$C12="",$D12="",$C12&gt;AW$6,$D12&lt;AW$9),"",IF($J12="里程碑","◆",""))</f>
        <v/>
      </c>
      <c r="AX12" s="8" t="str">
        <f>IF(OR($A12="",$C12="",$D12="",$C12&gt;AX$6,$D12&lt;AX$9),"",IF($J12="里程碑","◆",""))</f>
        <v/>
      </c>
      <c r="AY12" s="8" t="str">
        <f>IF(OR($A12="",$C12="",$D12="",$C12&gt;AY$6,$D12&lt;AY$9),"",IF($J12="里程碑","◆",""))</f>
        <v/>
      </c>
      <c r="AZ12" s="8" t="str">
        <f>IF(OR($A12="",$C12="",$D12="",$C12&gt;AZ$6,$D12&lt;AZ$9),"",IF($J12="里程碑","◆",""))</f>
        <v/>
      </c>
      <c r="BA12" s="8" t="str">
        <f>IF(OR($A12="",$C12="",$D12="",$C12&gt;BA$6,$D12&lt;BA$9),"",IF($J12="里程碑","◆",""))</f>
        <v/>
      </c>
      <c r="BB12" s="8" t="str">
        <f>IF(OR($A12="",$C12="",$D12="",$C12&gt;BB$6,$D12&lt;BB$9),"",IF($J12="里程碑","◆",""))</f>
        <v/>
      </c>
      <c r="BC12" s="8" t="str">
        <f>IF(OR($A12="",$C12="",$D12="",$C12&gt;BC$6,$D12&lt;BC$9),"",IF($J12="里程碑","◆",""))</f>
        <v/>
      </c>
      <c r="BD12" s="8" t="str">
        <f>IF(OR($A12="",$C12="",$D12="",$C12&gt;BD$6,$D12&lt;BD$9),"",IF($J12="里程碑","◆",""))</f>
        <v/>
      </c>
      <c r="BE12" s="8" t="str">
        <f>IF(OR($A12="",$C12="",$D12="",$C12&gt;BE$6,$D12&lt;BE$9),"",IF($J12="里程碑","◆",""))</f>
        <v/>
      </c>
      <c r="BF12" s="8" t="str">
        <f>IF(OR($A12="",$C12="",$D12="",$C12&gt;BF$6,$D12&lt;BF$9),"",IF($J12="里程碑","◆",""))</f>
        <v/>
      </c>
      <c r="BG12" s="8" t="str">
        <f>IF(OR($A12="",$C12="",$D12="",$C12&gt;BG$6,$D12&lt;BG$9),"",IF($J12="里程碑","◆",""))</f>
        <v/>
      </c>
      <c r="BH12" s="8" t="str">
        <f>IF(OR($A12="",$C12="",$D12="",$C12&gt;BH$6,$D12&lt;BH$9),"",IF($J12="里程碑","◆",""))</f>
        <v/>
      </c>
      <c r="BI12" s="8" t="str">
        <f>IF(OR($A12="",$C12="",$D12="",$C12&gt;BI$6,$D12&lt;BI$9),"",IF($J12="里程碑","◆",""))</f>
        <v/>
      </c>
      <c r="BJ12" s="8" t="str">
        <f>IF(OR($A12="",$C12="",$D12="",$C12&gt;BJ$6,$D12&lt;BJ$9),"",IF($J12="里程碑","◆",""))</f>
        <v/>
      </c>
      <c r="BK12" s="8" t="str">
        <f>IF(OR($A12="",$C12="",$D12="",$C12&gt;BK$6,$D12&lt;BK$9),"",IF($J12="里程碑","◆",""))</f>
        <v/>
      </c>
      <c r="BL12" s="8" t="str">
        <f>IF(OR($A12="",$C12="",$D12="",$C12&gt;BL$6,$D12&lt;BL$9),"",IF($J12="里程碑","◆",""))</f>
        <v/>
      </c>
      <c r="BM12" s="8" t="str">
        <f>IF(OR($A12="",$C12="",$D12="",$C12&gt;BM$6,$D12&lt;BM$9),"",IF($J12="里程碑","◆",""))</f>
        <v/>
      </c>
      <c r="BN12" s="8" t="str">
        <f>IF(OR($A12="",$C12="",$D12="",$C12&gt;BN$6,$D12&lt;BN$9),"",IF($J12="里程碑","◆",""))</f>
        <v/>
      </c>
      <c r="BO12" s="8" t="str">
        <f>IF(OR($A12="",$C12="",$D12="",$C12&gt;BO$6,$D12&lt;BO$9),"",IF($J12="里程碑","◆",""))</f>
        <v/>
      </c>
      <c r="BP12" s="8" t="str">
        <f>IF(OR($A12="",$C12="",$D12="",$C12&gt;BP$6,$D12&lt;BP$9),"",IF($J12="里程碑","◆",""))</f>
        <v/>
      </c>
      <c r="BQ12" s="8" t="str">
        <f>IF(OR($A12="",$C12="",$D12="",$C12&gt;BQ$6,$D12&lt;BQ$9),"",IF($J12="里程碑","◆",""))</f>
        <v/>
      </c>
      <c r="BR12" s="8" t="str">
        <f>IF(OR($A12="",$C12="",$D12="",$C12&gt;BR$6,$D12&lt;BR$9),"",IF($J12="里程碑","◆",""))</f>
        <v/>
      </c>
      <c r="BS12" s="8" t="str">
        <f>IF(OR($A12="",$C12="",$D12="",$C12&gt;BS$6,$D12&lt;BS$9),"",IF($J12="里程碑","◆",""))</f>
        <v/>
      </c>
      <c r="BT12" s="8" t="str">
        <f>IF(OR($A12="",$C12="",$D12="",$C12&gt;BT$6,$D12&lt;BT$9),"",IF($J12="里程碑","◆",""))</f>
        <v/>
      </c>
      <c r="BU12" s="8" t="str">
        <f>IF(OR($A12="",$C12="",$D12="",$C12&gt;BU$6,$D12&lt;BU$9),"",IF($J12="里程碑","◆",""))</f>
        <v/>
      </c>
      <c r="BV12" s="8" t="str">
        <f>IF(OR($A12="",$C12="",$D12="",$C12&gt;BV$6,$D12&lt;BV$9),"",IF($J12="里程碑","◆",""))</f>
        <v/>
      </c>
      <c r="BW12" s="8" t="str">
        <f>IF(OR($A12="",$C12="",$D12="",$C12&gt;BW$6,$D12&lt;BW$9),"",IF($J12="里程碑","◆",""))</f>
        <v/>
      </c>
      <c r="BX12" s="8" t="str">
        <f>IF(OR($A12="",$C12="",$D12="",$C12&gt;BX$6,$D12&lt;BX$9),"",IF($J12="里程碑","◆",""))</f>
        <v/>
      </c>
      <c r="BY12" s="8" t="str">
        <f>IF(OR($A12="",$C12="",$D12="",$C12&gt;BY$6,$D12&lt;BY$9),"",IF($J12="里程碑","◆",""))</f>
        <v/>
      </c>
      <c r="BZ12" s="8" t="str">
        <f>IF(OR($A12="",$C12="",$D12="",$C12&gt;BZ$6,$D12&lt;BZ$9),"",IF($J12="里程碑","◆",""))</f>
        <v/>
      </c>
      <c r="CA12" s="8" t="str">
        <f>IF(OR($A12="",$C12="",$D12="",$C12&gt;CA$6,$D12&lt;CA$9),"",IF($J12="里程碑","◆",""))</f>
        <v/>
      </c>
      <c r="CB12" s="8" t="str">
        <f>IF(OR($A12="",$C12="",$D12="",$C12&gt;CB$6,$D12&lt;CB$9),"",IF($J12="里程碑","◆",""))</f>
        <v/>
      </c>
      <c r="CC12" s="8" t="str">
        <f>IF(OR($A12="",$C12="",$D12="",$C12&gt;CC$6,$D12&lt;CC$9),"",IF($J12="里程碑","◆",""))</f>
        <v/>
      </c>
      <c r="CD12" s="8" t="str">
        <f>IF(OR($A12="",$C12="",$D12="",$C12&gt;CD$6,$D12&lt;CD$9),"",IF($J12="里程碑","◆",""))</f>
        <v/>
      </c>
      <c r="CE12" s="8" t="str">
        <f>IF(OR($A12="",$C12="",$D12="",$C12&gt;CE$6,$D12&lt;CE$9),"",IF($J12="里程碑","◆",""))</f>
        <v/>
      </c>
      <c r="CF12" s="8" t="str">
        <f>IF(OR($A12="",$C12="",$D12="",$C12&gt;CF$6,$D12&lt;CF$9),"",IF($J12="里程碑","◆",""))</f>
        <v/>
      </c>
      <c r="CG12" s="8" t="str">
        <f>IF(OR($A12="",$C12="",$D12="",$C12&gt;CG$6,$D12&lt;CG$9),"",IF($J12="里程碑","◆",""))</f>
        <v/>
      </c>
      <c r="CH12" s="8" t="str">
        <f>IF(OR($A12="",$C12="",$D12="",$C12&gt;CH$6,$D12&lt;CH$9),"",IF($J12="里程碑","◆",""))</f>
        <v/>
      </c>
      <c r="CI12" s="8" t="str">
        <f>IF(OR($A12="",$C12="",$D12="",$C12&gt;CI$6,$D12&lt;CI$9),"",IF($J12="里程碑","◆",""))</f>
        <v/>
      </c>
      <c r="CJ12" s="8" t="str">
        <f>IF(OR($A12="",$C12="",$D12="",$C12&gt;CJ$6,$D12&lt;CJ$9),"",IF($J12="里程碑","◆",""))</f>
        <v/>
      </c>
      <c r="CK12" s="8" t="str">
        <f>IF(OR($A12="",$C12="",$D12="",$C12&gt;CK$6,$D12&lt;CK$9),"",IF($J12="里程碑","◆",""))</f>
        <v/>
      </c>
      <c r="CL12" s="8" t="str">
        <f>IF(OR($A12="",$C12="",$D12="",$C12&gt;CL$6,$D12&lt;CL$9),"",IF($J12="里程碑","◆",""))</f>
        <v/>
      </c>
      <c r="CM12" s="8" t="str">
        <f>IF(OR($A12="",$C12="",$D12="",$C12&gt;CM$6,$D12&lt;CM$9),"",IF($J12="里程碑","◆",""))</f>
        <v/>
      </c>
      <c r="CN12" s="8" t="str">
        <f>IF(OR($A12="",$C12="",$D12="",$C12&gt;CN$6,$D12&lt;CN$9),"",IF($J12="里程碑","◆",""))</f>
        <v/>
      </c>
      <c r="CO12" s="8" t="str">
        <f>IF(OR($A12="",$C12="",$D12="",$C12&gt;CO$6,$D12&lt;CO$9),"",IF($J12="里程碑","◆",""))</f>
        <v/>
      </c>
      <c r="CP12" s="8" t="str">
        <f>IF(OR($A12="",$C12="",$D12="",$C12&gt;CP$6,$D12&lt;CP$9),"",IF($J12="里程碑","◆",""))</f>
        <v/>
      </c>
      <c r="CQ12" s="8" t="str">
        <f>IF(OR($A12="",$C12="",$D12="",$C12&gt;CQ$6,$D12&lt;CQ$9),"",IF($J12="里程碑","◆",""))</f>
        <v/>
      </c>
      <c r="CR12" s="8" t="str">
        <f>IF(OR($A12="",$C12="",$D12="",$C12&gt;CR$6,$D12&lt;CR$9),"",IF($J12="里程碑","◆",""))</f>
        <v/>
      </c>
      <c r="CS12" s="8" t="str">
        <f>IF(OR($A12="",$C12="",$D12="",$C12&gt;CS$6,$D12&lt;CS$9),"",IF($J12="里程碑","◆",""))</f>
        <v/>
      </c>
      <c r="CT12" s="8" t="str">
        <f>IF(OR($A12="",$C12="",$D12="",$C12&gt;CT$6,$D12&lt;CT$9),"",IF($J12="里程碑","◆",""))</f>
        <v/>
      </c>
      <c r="CU12" s="8" t="str">
        <f>IF(OR($A12="",$C12="",$D12="",$C12&gt;CU$6,$D12&lt;CU$9),"",IF($J12="里程碑","◆",""))</f>
        <v/>
      </c>
      <c r="CV12" s="8" t="str">
        <f>IF(OR($A12="",$C12="",$D12="",$C12&gt;CV$6,$D12&lt;CV$9),"",IF($J12="里程碑","◆",""))</f>
        <v/>
      </c>
      <c r="CW12" s="8" t="str">
        <f>IF(OR($A12="",$C12="",$D12="",$C12&gt;CW$6,$D12&lt;CW$9),"",IF($J12="里程碑","◆",""))</f>
        <v/>
      </c>
      <c r="CX12" s="8" t="str">
        <f>IF(OR($A12="",$C12="",$D12="",$C12&gt;CX$6,$D12&lt;CX$9),"",IF($J12="里程碑","◆",""))</f>
        <v/>
      </c>
      <c r="CY12" s="8" t="str">
        <f>IF(OR($A12="",$C12="",$D12="",$C12&gt;CY$6,$D12&lt;CY$9),"",IF($J12="里程碑","◆",""))</f>
        <v/>
      </c>
      <c r="CZ12" s="8" t="str">
        <f>IF(OR($A12="",$C12="",$D12="",$C12&gt;CZ$6,$D12&lt;CZ$9),"",IF($J12="里程碑","◆",""))</f>
        <v/>
      </c>
      <c r="DA12" s="8" t="str">
        <f>IF(OR($A12="",$C12="",$D12="",$C12&gt;DA$6,$D12&lt;DA$9),"",IF($J12="里程碑","◆",""))</f>
        <v/>
      </c>
      <c r="DB12" s="8" t="str">
        <f>IF(OR($A12="",$C12="",$D12="",$C12&gt;DB$6,$D12&lt;DB$9),"",IF($J12="里程碑","◆",""))</f>
        <v/>
      </c>
      <c r="DC12" s="1">
        <f>IF(ROW()-9&gt;$DH$3,"",MATCH(ROW()-9,排期计算!$U$10:$U$109,0))</f>
        <v>3</v>
      </c>
      <c r="DD12" s="1">
        <f>IF($DC12="","",INDEX(排期计算!$L$10:$L$109,$DC12))</f>
        <v>2</v>
      </c>
      <c r="DE12" s="1"/>
      <c r="DF12" s="1"/>
      <c r="DG12" s="1"/>
      <c r="DH12" s="1"/>
      <c r="DI12" s="1"/>
      <c r="DJ12" s="1"/>
      <c r="DK12" s="1"/>
    </row>
    <row r="13" spans="1:115" ht="24.95" customHeight="1">
      <c r="A13" s="9" t="str">
        <f>IF($DC13="","",IF(AND(INDEX(排期计算!$A$10:$A$109,$DC13)="",NOT(ISNUMBER(INDEX(排期计算!$A$10:$A$109,$DC13)))),"",INDEX(排期计算!$A$10:$A$109,$DC13)))</f>
        <v>1.3</v>
      </c>
      <c r="B13" s="1" t="str">
        <f>IF($DC13="","",REPT("　",$DD13-1)&amp;INDEX(排期计算!$B$10:$B$109,$DC13))</f>
        <v>　客户认可</v>
      </c>
      <c r="C13" s="3">
        <f>IF($DC13="","",IF(AND(INDEX(排期计算!$M$10:$M$109,$DC13)="",NOT(ISNUMBER(INDEX(排期计算!$M$10:$M$109,$DC13)))),"",INDEX(排期计算!$M$10:$M$109,$DC13)))</f>
        <v>46330</v>
      </c>
      <c r="D13" s="3">
        <f>IF($DC13="","",IF(AND(INDEX(排期计算!$N$10:$N$109,$DC13)="",NOT(ISNUMBER(INDEX(排期计算!$N$10:$N$109,$DC13)))),"",INDEX(排期计算!$N$10:$N$109,$DC13)))</f>
        <v>46330</v>
      </c>
      <c r="E13" s="1">
        <f>IF(OR($C13="",$D13=""),"",IF($J13="里程碑",0,NETWORKDAYS($C13,$D13)))</f>
        <v>0</v>
      </c>
      <c r="F13" s="7">
        <f>IF($DC13="","",IF(AND(INDEX(排期计算!$O$10:$O$109,$DC13)="",NOT(ISNUMBER(INDEX(排期计算!$O$10:$O$109,$DC13)))),"",INDEX(排期计算!$O$10:$O$109,$DC13)))</f>
        <v>0</v>
      </c>
      <c r="G13" s="8" t="str">
        <f>IF($A13="","",IF(OR($C13="",$D13=""),"未排期",IF($F13&gt;=1,"已完成",IF($D13&lt;$B$4,"逾期",IF($C13&gt;$B$4,"未开始","进行中")))))</f>
        <v>未开始</v>
      </c>
      <c r="H13" s="1" t="str">
        <f>IF($DC13="","",IF(AND(INDEX(排期计算!$C$10:$C$109,$DC13)="",NOT(ISNUMBER(INDEX(排期计算!$C$10:$C$109,$DC13)))),"",INDEX(排期计算!$C$10:$C$109,$DC13)))</f>
        <v>张工</v>
      </c>
      <c r="I13" s="1" t="str">
        <f>IF($DC13="","",IF(AND(INDEX(排期计算!$H$10:$H$109,$DC13)="",NOT(ISNUMBER(INDEX(排期计算!$H$10:$H$109,$DC13)))),"",INDEX(排期计算!$H$10:$H$109,$DC13)))</f>
        <v>1.2</v>
      </c>
      <c r="J13" s="1" t="str">
        <f>IF($DC13="","",IF(AND(INDEX(排期计算!$K$10:$K$109,$DC13)="",NOT(ISNUMBER(INDEX(排期计算!$K$10:$K$109,$DC13)))),"",INDEX(排期计算!$K$10:$K$109,$DC13)))</f>
        <v>里程碑</v>
      </c>
      <c r="K13" s="8" t="str">
        <f>IF(OR($A13="",$C13="",$D13="",$C13&gt;K$6,$D13&lt;K$9),"",IF($J13="里程碑","◆",""))</f>
        <v/>
      </c>
      <c r="L13" s="8" t="str">
        <f>IF(OR($A13="",$C13="",$D13="",$C13&gt;L$6,$D13&lt;L$9),"",IF($J13="里程碑","◆",""))</f>
        <v>◆</v>
      </c>
      <c r="M13" s="8" t="str">
        <f>IF(OR($A13="",$C13="",$D13="",$C13&gt;M$6,$D13&lt;M$9),"",IF($J13="里程碑","◆",""))</f>
        <v/>
      </c>
      <c r="N13" s="8" t="str">
        <f>IF(OR($A13="",$C13="",$D13="",$C13&gt;N$6,$D13&lt;N$9),"",IF($J13="里程碑","◆",""))</f>
        <v/>
      </c>
      <c r="O13" s="8" t="str">
        <f>IF(OR($A13="",$C13="",$D13="",$C13&gt;O$6,$D13&lt;O$9),"",IF($J13="里程碑","◆",""))</f>
        <v/>
      </c>
      <c r="P13" s="8" t="str">
        <f>IF(OR($A13="",$C13="",$D13="",$C13&gt;P$6,$D13&lt;P$9),"",IF($J13="里程碑","◆",""))</f>
        <v/>
      </c>
      <c r="Q13" s="8" t="str">
        <f>IF(OR($A13="",$C13="",$D13="",$C13&gt;Q$6,$D13&lt;Q$9),"",IF($J13="里程碑","◆",""))</f>
        <v/>
      </c>
      <c r="R13" s="8" t="str">
        <f>IF(OR($A13="",$C13="",$D13="",$C13&gt;R$6,$D13&lt;R$9),"",IF($J13="里程碑","◆",""))</f>
        <v/>
      </c>
      <c r="S13" s="8" t="str">
        <f>IF(OR($A13="",$C13="",$D13="",$C13&gt;S$6,$D13&lt;S$9),"",IF($J13="里程碑","◆",""))</f>
        <v/>
      </c>
      <c r="T13" s="8" t="str">
        <f>IF(OR($A13="",$C13="",$D13="",$C13&gt;T$6,$D13&lt;T$9),"",IF($J13="里程碑","◆",""))</f>
        <v/>
      </c>
      <c r="U13" s="8" t="str">
        <f>IF(OR($A13="",$C13="",$D13="",$C13&gt;U$6,$D13&lt;U$9),"",IF($J13="里程碑","◆",""))</f>
        <v/>
      </c>
      <c r="V13" s="8" t="str">
        <f>IF(OR($A13="",$C13="",$D13="",$C13&gt;V$6,$D13&lt;V$9),"",IF($J13="里程碑","◆",""))</f>
        <v/>
      </c>
      <c r="W13" s="8" t="str">
        <f>IF(OR($A13="",$C13="",$D13="",$C13&gt;W$6,$D13&lt;W$9),"",IF($J13="里程碑","◆",""))</f>
        <v/>
      </c>
      <c r="X13" s="8" t="str">
        <f>IF(OR($A13="",$C13="",$D13="",$C13&gt;X$6,$D13&lt;X$9),"",IF($J13="里程碑","◆",""))</f>
        <v/>
      </c>
      <c r="Y13" s="8" t="str">
        <f>IF(OR($A13="",$C13="",$D13="",$C13&gt;Y$6,$D13&lt;Y$9),"",IF($J13="里程碑","◆",""))</f>
        <v/>
      </c>
      <c r="Z13" s="8" t="str">
        <f>IF(OR($A13="",$C13="",$D13="",$C13&gt;Z$6,$D13&lt;Z$9),"",IF($J13="里程碑","◆",""))</f>
        <v/>
      </c>
      <c r="AA13" s="8" t="str">
        <f>IF(OR($A13="",$C13="",$D13="",$C13&gt;AA$6,$D13&lt;AA$9),"",IF($J13="里程碑","◆",""))</f>
        <v/>
      </c>
      <c r="AB13" s="8" t="str">
        <f>IF(OR($A13="",$C13="",$D13="",$C13&gt;AB$6,$D13&lt;AB$9),"",IF($J13="里程碑","◆",""))</f>
        <v/>
      </c>
      <c r="AC13" s="8" t="str">
        <f>IF(OR($A13="",$C13="",$D13="",$C13&gt;AC$6,$D13&lt;AC$9),"",IF($J13="里程碑","◆",""))</f>
        <v/>
      </c>
      <c r="AD13" s="8" t="str">
        <f>IF(OR($A13="",$C13="",$D13="",$C13&gt;AD$6,$D13&lt;AD$9),"",IF($J13="里程碑","◆",""))</f>
        <v/>
      </c>
      <c r="AE13" s="8" t="str">
        <f>IF(OR($A13="",$C13="",$D13="",$C13&gt;AE$6,$D13&lt;AE$9),"",IF($J13="里程碑","◆",""))</f>
        <v/>
      </c>
      <c r="AF13" s="8" t="str">
        <f>IF(OR($A13="",$C13="",$D13="",$C13&gt;AF$6,$D13&lt;AF$9),"",IF($J13="里程碑","◆",""))</f>
        <v/>
      </c>
      <c r="AG13" s="8" t="str">
        <f>IF(OR($A13="",$C13="",$D13="",$C13&gt;AG$6,$D13&lt;AG$9),"",IF($J13="里程碑","◆",""))</f>
        <v/>
      </c>
      <c r="AH13" s="8" t="str">
        <f>IF(OR($A13="",$C13="",$D13="",$C13&gt;AH$6,$D13&lt;AH$9),"",IF($J13="里程碑","◆",""))</f>
        <v/>
      </c>
      <c r="AI13" s="8" t="str">
        <f>IF(OR($A13="",$C13="",$D13="",$C13&gt;AI$6,$D13&lt;AI$9),"",IF($J13="里程碑","◆",""))</f>
        <v/>
      </c>
      <c r="AJ13" s="8" t="str">
        <f>IF(OR($A13="",$C13="",$D13="",$C13&gt;AJ$6,$D13&lt;AJ$9),"",IF($J13="里程碑","◆",""))</f>
        <v/>
      </c>
      <c r="AK13" s="8" t="str">
        <f>IF(OR($A13="",$C13="",$D13="",$C13&gt;AK$6,$D13&lt;AK$9),"",IF($J13="里程碑","◆",""))</f>
        <v/>
      </c>
      <c r="AL13" s="8" t="str">
        <f>IF(OR($A13="",$C13="",$D13="",$C13&gt;AL$6,$D13&lt;AL$9),"",IF($J13="里程碑","◆",""))</f>
        <v/>
      </c>
      <c r="AM13" s="8" t="str">
        <f>IF(OR($A13="",$C13="",$D13="",$C13&gt;AM$6,$D13&lt;AM$9),"",IF($J13="里程碑","◆",""))</f>
        <v/>
      </c>
      <c r="AN13" s="8" t="str">
        <f>IF(OR($A13="",$C13="",$D13="",$C13&gt;AN$6,$D13&lt;AN$9),"",IF($J13="里程碑","◆",""))</f>
        <v/>
      </c>
      <c r="AO13" s="8" t="str">
        <f>IF(OR($A13="",$C13="",$D13="",$C13&gt;AO$6,$D13&lt;AO$9),"",IF($J13="里程碑","◆",""))</f>
        <v/>
      </c>
      <c r="AP13" s="8" t="str">
        <f>IF(OR($A13="",$C13="",$D13="",$C13&gt;AP$6,$D13&lt;AP$9),"",IF($J13="里程碑","◆",""))</f>
        <v/>
      </c>
      <c r="AQ13" s="8" t="str">
        <f>IF(OR($A13="",$C13="",$D13="",$C13&gt;AQ$6,$D13&lt;AQ$9),"",IF($J13="里程碑","◆",""))</f>
        <v/>
      </c>
      <c r="AR13" s="8" t="str">
        <f>IF(OR($A13="",$C13="",$D13="",$C13&gt;AR$6,$D13&lt;AR$9),"",IF($J13="里程碑","◆",""))</f>
        <v/>
      </c>
      <c r="AS13" s="8" t="str">
        <f>IF(OR($A13="",$C13="",$D13="",$C13&gt;AS$6,$D13&lt;AS$9),"",IF($J13="里程碑","◆",""))</f>
        <v/>
      </c>
      <c r="AT13" s="8" t="str">
        <f>IF(OR($A13="",$C13="",$D13="",$C13&gt;AT$6,$D13&lt;AT$9),"",IF($J13="里程碑","◆",""))</f>
        <v/>
      </c>
      <c r="AU13" s="8" t="str">
        <f>IF(OR($A13="",$C13="",$D13="",$C13&gt;AU$6,$D13&lt;AU$9),"",IF($J13="里程碑","◆",""))</f>
        <v/>
      </c>
      <c r="AV13" s="8" t="str">
        <f>IF(OR($A13="",$C13="",$D13="",$C13&gt;AV$6,$D13&lt;AV$9),"",IF($J13="里程碑","◆",""))</f>
        <v/>
      </c>
      <c r="AW13" s="8" t="str">
        <f>IF(OR($A13="",$C13="",$D13="",$C13&gt;AW$6,$D13&lt;AW$9),"",IF($J13="里程碑","◆",""))</f>
        <v/>
      </c>
      <c r="AX13" s="8" t="str">
        <f>IF(OR($A13="",$C13="",$D13="",$C13&gt;AX$6,$D13&lt;AX$9),"",IF($J13="里程碑","◆",""))</f>
        <v/>
      </c>
      <c r="AY13" s="8" t="str">
        <f>IF(OR($A13="",$C13="",$D13="",$C13&gt;AY$6,$D13&lt;AY$9),"",IF($J13="里程碑","◆",""))</f>
        <v/>
      </c>
      <c r="AZ13" s="8" t="str">
        <f>IF(OR($A13="",$C13="",$D13="",$C13&gt;AZ$6,$D13&lt;AZ$9),"",IF($J13="里程碑","◆",""))</f>
        <v/>
      </c>
      <c r="BA13" s="8" t="str">
        <f>IF(OR($A13="",$C13="",$D13="",$C13&gt;BA$6,$D13&lt;BA$9),"",IF($J13="里程碑","◆",""))</f>
        <v/>
      </c>
      <c r="BB13" s="8" t="str">
        <f>IF(OR($A13="",$C13="",$D13="",$C13&gt;BB$6,$D13&lt;BB$9),"",IF($J13="里程碑","◆",""))</f>
        <v/>
      </c>
      <c r="BC13" s="8" t="str">
        <f>IF(OR($A13="",$C13="",$D13="",$C13&gt;BC$6,$D13&lt;BC$9),"",IF($J13="里程碑","◆",""))</f>
        <v/>
      </c>
      <c r="BD13" s="8" t="str">
        <f>IF(OR($A13="",$C13="",$D13="",$C13&gt;BD$6,$D13&lt;BD$9),"",IF($J13="里程碑","◆",""))</f>
        <v/>
      </c>
      <c r="BE13" s="8" t="str">
        <f>IF(OR($A13="",$C13="",$D13="",$C13&gt;BE$6,$D13&lt;BE$9),"",IF($J13="里程碑","◆",""))</f>
        <v/>
      </c>
      <c r="BF13" s="8" t="str">
        <f>IF(OR($A13="",$C13="",$D13="",$C13&gt;BF$6,$D13&lt;BF$9),"",IF($J13="里程碑","◆",""))</f>
        <v/>
      </c>
      <c r="BG13" s="8" t="str">
        <f>IF(OR($A13="",$C13="",$D13="",$C13&gt;BG$6,$D13&lt;BG$9),"",IF($J13="里程碑","◆",""))</f>
        <v/>
      </c>
      <c r="BH13" s="8" t="str">
        <f>IF(OR($A13="",$C13="",$D13="",$C13&gt;BH$6,$D13&lt;BH$9),"",IF($J13="里程碑","◆",""))</f>
        <v/>
      </c>
      <c r="BI13" s="8" t="str">
        <f>IF(OR($A13="",$C13="",$D13="",$C13&gt;BI$6,$D13&lt;BI$9),"",IF($J13="里程碑","◆",""))</f>
        <v/>
      </c>
      <c r="BJ13" s="8" t="str">
        <f>IF(OR($A13="",$C13="",$D13="",$C13&gt;BJ$6,$D13&lt;BJ$9),"",IF($J13="里程碑","◆",""))</f>
        <v/>
      </c>
      <c r="BK13" s="8" t="str">
        <f>IF(OR($A13="",$C13="",$D13="",$C13&gt;BK$6,$D13&lt;BK$9),"",IF($J13="里程碑","◆",""))</f>
        <v/>
      </c>
      <c r="BL13" s="8" t="str">
        <f>IF(OR($A13="",$C13="",$D13="",$C13&gt;BL$6,$D13&lt;BL$9),"",IF($J13="里程碑","◆",""))</f>
        <v/>
      </c>
      <c r="BM13" s="8" t="str">
        <f>IF(OR($A13="",$C13="",$D13="",$C13&gt;BM$6,$D13&lt;BM$9),"",IF($J13="里程碑","◆",""))</f>
        <v/>
      </c>
      <c r="BN13" s="8" t="str">
        <f>IF(OR($A13="",$C13="",$D13="",$C13&gt;BN$6,$D13&lt;BN$9),"",IF($J13="里程碑","◆",""))</f>
        <v/>
      </c>
      <c r="BO13" s="8" t="str">
        <f>IF(OR($A13="",$C13="",$D13="",$C13&gt;BO$6,$D13&lt;BO$9),"",IF($J13="里程碑","◆",""))</f>
        <v/>
      </c>
      <c r="BP13" s="8" t="str">
        <f>IF(OR($A13="",$C13="",$D13="",$C13&gt;BP$6,$D13&lt;BP$9),"",IF($J13="里程碑","◆",""))</f>
        <v/>
      </c>
      <c r="BQ13" s="8" t="str">
        <f>IF(OR($A13="",$C13="",$D13="",$C13&gt;BQ$6,$D13&lt;BQ$9),"",IF($J13="里程碑","◆",""))</f>
        <v/>
      </c>
      <c r="BR13" s="8" t="str">
        <f>IF(OR($A13="",$C13="",$D13="",$C13&gt;BR$6,$D13&lt;BR$9),"",IF($J13="里程碑","◆",""))</f>
        <v/>
      </c>
      <c r="BS13" s="8" t="str">
        <f>IF(OR($A13="",$C13="",$D13="",$C13&gt;BS$6,$D13&lt;BS$9),"",IF($J13="里程碑","◆",""))</f>
        <v/>
      </c>
      <c r="BT13" s="8" t="str">
        <f>IF(OR($A13="",$C13="",$D13="",$C13&gt;BT$6,$D13&lt;BT$9),"",IF($J13="里程碑","◆",""))</f>
        <v/>
      </c>
      <c r="BU13" s="8" t="str">
        <f>IF(OR($A13="",$C13="",$D13="",$C13&gt;BU$6,$D13&lt;BU$9),"",IF($J13="里程碑","◆",""))</f>
        <v/>
      </c>
      <c r="BV13" s="8" t="str">
        <f>IF(OR($A13="",$C13="",$D13="",$C13&gt;BV$6,$D13&lt;BV$9),"",IF($J13="里程碑","◆",""))</f>
        <v/>
      </c>
      <c r="BW13" s="8" t="str">
        <f>IF(OR($A13="",$C13="",$D13="",$C13&gt;BW$6,$D13&lt;BW$9),"",IF($J13="里程碑","◆",""))</f>
        <v/>
      </c>
      <c r="BX13" s="8" t="str">
        <f>IF(OR($A13="",$C13="",$D13="",$C13&gt;BX$6,$D13&lt;BX$9),"",IF($J13="里程碑","◆",""))</f>
        <v/>
      </c>
      <c r="BY13" s="8" t="str">
        <f>IF(OR($A13="",$C13="",$D13="",$C13&gt;BY$6,$D13&lt;BY$9),"",IF($J13="里程碑","◆",""))</f>
        <v/>
      </c>
      <c r="BZ13" s="8" t="str">
        <f>IF(OR($A13="",$C13="",$D13="",$C13&gt;BZ$6,$D13&lt;BZ$9),"",IF($J13="里程碑","◆",""))</f>
        <v/>
      </c>
      <c r="CA13" s="8" t="str">
        <f>IF(OR($A13="",$C13="",$D13="",$C13&gt;CA$6,$D13&lt;CA$9),"",IF($J13="里程碑","◆",""))</f>
        <v/>
      </c>
      <c r="CB13" s="8" t="str">
        <f>IF(OR($A13="",$C13="",$D13="",$C13&gt;CB$6,$D13&lt;CB$9),"",IF($J13="里程碑","◆",""))</f>
        <v/>
      </c>
      <c r="CC13" s="8" t="str">
        <f>IF(OR($A13="",$C13="",$D13="",$C13&gt;CC$6,$D13&lt;CC$9),"",IF($J13="里程碑","◆",""))</f>
        <v/>
      </c>
      <c r="CD13" s="8" t="str">
        <f>IF(OR($A13="",$C13="",$D13="",$C13&gt;CD$6,$D13&lt;CD$9),"",IF($J13="里程碑","◆",""))</f>
        <v/>
      </c>
      <c r="CE13" s="8" t="str">
        <f>IF(OR($A13="",$C13="",$D13="",$C13&gt;CE$6,$D13&lt;CE$9),"",IF($J13="里程碑","◆",""))</f>
        <v/>
      </c>
      <c r="CF13" s="8" t="str">
        <f>IF(OR($A13="",$C13="",$D13="",$C13&gt;CF$6,$D13&lt;CF$9),"",IF($J13="里程碑","◆",""))</f>
        <v/>
      </c>
      <c r="CG13" s="8" t="str">
        <f>IF(OR($A13="",$C13="",$D13="",$C13&gt;CG$6,$D13&lt;CG$9),"",IF($J13="里程碑","◆",""))</f>
        <v/>
      </c>
      <c r="CH13" s="8" t="str">
        <f>IF(OR($A13="",$C13="",$D13="",$C13&gt;CH$6,$D13&lt;CH$9),"",IF($J13="里程碑","◆",""))</f>
        <v/>
      </c>
      <c r="CI13" s="8" t="str">
        <f>IF(OR($A13="",$C13="",$D13="",$C13&gt;CI$6,$D13&lt;CI$9),"",IF($J13="里程碑","◆",""))</f>
        <v/>
      </c>
      <c r="CJ13" s="8" t="str">
        <f>IF(OR($A13="",$C13="",$D13="",$C13&gt;CJ$6,$D13&lt;CJ$9),"",IF($J13="里程碑","◆",""))</f>
        <v/>
      </c>
      <c r="CK13" s="8" t="str">
        <f>IF(OR($A13="",$C13="",$D13="",$C13&gt;CK$6,$D13&lt;CK$9),"",IF($J13="里程碑","◆",""))</f>
        <v/>
      </c>
      <c r="CL13" s="8" t="str">
        <f>IF(OR($A13="",$C13="",$D13="",$C13&gt;CL$6,$D13&lt;CL$9),"",IF($J13="里程碑","◆",""))</f>
        <v/>
      </c>
      <c r="CM13" s="8" t="str">
        <f>IF(OR($A13="",$C13="",$D13="",$C13&gt;CM$6,$D13&lt;CM$9),"",IF($J13="里程碑","◆",""))</f>
        <v/>
      </c>
      <c r="CN13" s="8" t="str">
        <f>IF(OR($A13="",$C13="",$D13="",$C13&gt;CN$6,$D13&lt;CN$9),"",IF($J13="里程碑","◆",""))</f>
        <v/>
      </c>
      <c r="CO13" s="8" t="str">
        <f>IF(OR($A13="",$C13="",$D13="",$C13&gt;CO$6,$D13&lt;CO$9),"",IF($J13="里程碑","◆",""))</f>
        <v/>
      </c>
      <c r="CP13" s="8" t="str">
        <f>IF(OR($A13="",$C13="",$D13="",$C13&gt;CP$6,$D13&lt;CP$9),"",IF($J13="里程碑","◆",""))</f>
        <v/>
      </c>
      <c r="CQ13" s="8" t="str">
        <f>IF(OR($A13="",$C13="",$D13="",$C13&gt;CQ$6,$D13&lt;CQ$9),"",IF($J13="里程碑","◆",""))</f>
        <v/>
      </c>
      <c r="CR13" s="8" t="str">
        <f>IF(OR($A13="",$C13="",$D13="",$C13&gt;CR$6,$D13&lt;CR$9),"",IF($J13="里程碑","◆",""))</f>
        <v/>
      </c>
      <c r="CS13" s="8" t="str">
        <f>IF(OR($A13="",$C13="",$D13="",$C13&gt;CS$6,$D13&lt;CS$9),"",IF($J13="里程碑","◆",""))</f>
        <v/>
      </c>
      <c r="CT13" s="8" t="str">
        <f>IF(OR($A13="",$C13="",$D13="",$C13&gt;CT$6,$D13&lt;CT$9),"",IF($J13="里程碑","◆",""))</f>
        <v/>
      </c>
      <c r="CU13" s="8" t="str">
        <f>IF(OR($A13="",$C13="",$D13="",$C13&gt;CU$6,$D13&lt;CU$9),"",IF($J13="里程碑","◆",""))</f>
        <v/>
      </c>
      <c r="CV13" s="8" t="str">
        <f>IF(OR($A13="",$C13="",$D13="",$C13&gt;CV$6,$D13&lt;CV$9),"",IF($J13="里程碑","◆",""))</f>
        <v/>
      </c>
      <c r="CW13" s="8" t="str">
        <f>IF(OR($A13="",$C13="",$D13="",$C13&gt;CW$6,$D13&lt;CW$9),"",IF($J13="里程碑","◆",""))</f>
        <v/>
      </c>
      <c r="CX13" s="8" t="str">
        <f>IF(OR($A13="",$C13="",$D13="",$C13&gt;CX$6,$D13&lt;CX$9),"",IF($J13="里程碑","◆",""))</f>
        <v/>
      </c>
      <c r="CY13" s="8" t="str">
        <f>IF(OR($A13="",$C13="",$D13="",$C13&gt;CY$6,$D13&lt;CY$9),"",IF($J13="里程碑","◆",""))</f>
        <v/>
      </c>
      <c r="CZ13" s="8" t="str">
        <f>IF(OR($A13="",$C13="",$D13="",$C13&gt;CZ$6,$D13&lt;CZ$9),"",IF($J13="里程碑","◆",""))</f>
        <v/>
      </c>
      <c r="DA13" s="8" t="str">
        <f>IF(OR($A13="",$C13="",$D13="",$C13&gt;DA$6,$D13&lt;DA$9),"",IF($J13="里程碑","◆",""))</f>
        <v/>
      </c>
      <c r="DB13" s="8" t="str">
        <f>IF(OR($A13="",$C13="",$D13="",$C13&gt;DB$6,$D13&lt;DB$9),"",IF($J13="里程碑","◆",""))</f>
        <v/>
      </c>
      <c r="DC13" s="1">
        <f>IF(ROW()-9&gt;$DH$3,"",MATCH(ROW()-9,排期计算!$U$10:$U$109,0))</f>
        <v>4</v>
      </c>
      <c r="DD13" s="1">
        <f>IF($DC13="","",INDEX(排期计算!$L$10:$L$109,$DC13))</f>
        <v>2</v>
      </c>
      <c r="DE13" s="1"/>
      <c r="DF13" s="1"/>
      <c r="DG13" s="1"/>
      <c r="DH13" s="1"/>
      <c r="DI13" s="1"/>
      <c r="DJ13" s="1"/>
      <c r="DK13" s="1"/>
    </row>
    <row r="14" spans="1:115" ht="24.95" customHeight="1">
      <c r="A14" s="9" t="str">
        <f>IF($DC14="","",IF(AND(INDEX(排期计算!$A$10:$A$109,$DC14)="",NOT(ISNUMBER(INDEX(排期计算!$A$10:$A$109,$DC14)))),"",INDEX(排期计算!$A$10:$A$109,$DC14)))</f>
        <v>2</v>
      </c>
      <c r="B14" s="1" t="str">
        <f>IF($DC14="","",REPT("　",$DD14-1)&amp;INDEX(排期计算!$B$10:$B$109,$DC14))</f>
        <v>试制验证</v>
      </c>
      <c r="C14" s="3">
        <f>IF($DC14="","",IF(AND(INDEX(排期计算!$M$10:$M$109,$DC14)="",NOT(ISNUMBER(INDEX(排期计算!$M$10:$M$109,$DC14)))),"",INDEX(排期计算!$M$10:$M$109,$DC14)))</f>
        <v>46331</v>
      </c>
      <c r="D14" s="3">
        <f>IF($DC14="","",IF(AND(INDEX(排期计算!$N$10:$N$109,$DC14)="",NOT(ISNUMBER(INDEX(排期计算!$N$10:$N$109,$DC14)))),"",INDEX(排期计算!$N$10:$N$109,$DC14)))</f>
        <v>46344</v>
      </c>
      <c r="E14" s="1">
        <f>IF(OR($C14="",$D14=""),"",IF($J14="里程碑",0,NETWORKDAYS($C14,$D14)))</f>
        <v>10</v>
      </c>
      <c r="F14" s="7">
        <f>IF($DC14="","",IF(AND(INDEX(排期计算!$O$10:$O$109,$DC14)="",NOT(ISNUMBER(INDEX(排期计算!$O$10:$O$109,$DC14)))),"",INDEX(排期计算!$O$10:$O$109,$DC14)))</f>
        <v>0</v>
      </c>
      <c r="G14" s="8" t="str">
        <f>IF($A14="","",IF(OR($C14="",$D14=""),"未排期",IF($F14&gt;=1,"已完成",IF($D14&lt;$B$4,"逾期",IF($C14&gt;$B$4,"未开始","进行中")))))</f>
        <v>未开始</v>
      </c>
      <c r="H14" s="1" t="str">
        <f>IF($DC14="","",IF(AND(INDEX(排期计算!$C$10:$C$109,$DC14)="",NOT(ISNUMBER(INDEX(排期计算!$C$10:$C$109,$DC14)))),"",INDEX(排期计算!$C$10:$C$109,$DC14)))</f>
        <v>张工</v>
      </c>
      <c r="I14" s="1" t="str">
        <f>IF($DC14="","",IF(AND(INDEX(排期计算!$H$10:$H$109,$DC14)="",NOT(ISNUMBER(INDEX(排期计算!$H$10:$H$109,$DC14)))),"",INDEX(排期计算!$H$10:$H$109,$DC14)))</f>
        <v/>
      </c>
      <c r="J14" s="1" t="str">
        <f>IF($DC14="","",IF(AND(INDEX(排期计算!$K$10:$K$109,$DC14)="",NOT(ISNUMBER(INDEX(排期计算!$K$10:$K$109,$DC14)))),"",INDEX(排期计算!$K$10:$K$109,$DC14)))</f>
        <v>汇总</v>
      </c>
      <c r="K14" s="8" t="str">
        <f>IF(OR($A14="",$C14="",$D14="",$C14&gt;K$6,$D14&lt;K$9),"",IF($J14="里程碑","◆",""))</f>
        <v/>
      </c>
      <c r="L14" s="8" t="str">
        <f>IF(OR($A14="",$C14="",$D14="",$C14&gt;L$6,$D14&lt;L$9),"",IF($J14="里程碑","◆",""))</f>
        <v/>
      </c>
      <c r="M14" s="8" t="str">
        <f>IF(OR($A14="",$C14="",$D14="",$C14&gt;M$6,$D14&lt;M$9),"",IF($J14="里程碑","◆",""))</f>
        <v/>
      </c>
      <c r="N14" s="8" t="str">
        <f>IF(OR($A14="",$C14="",$D14="",$C14&gt;N$6,$D14&lt;N$9),"",IF($J14="里程碑","◆",""))</f>
        <v/>
      </c>
      <c r="O14" s="8" t="str">
        <f>IF(OR($A14="",$C14="",$D14="",$C14&gt;O$6,$D14&lt;O$9),"",IF($J14="里程碑","◆",""))</f>
        <v/>
      </c>
      <c r="P14" s="8" t="str">
        <f>IF(OR($A14="",$C14="",$D14="",$C14&gt;P$6,$D14&lt;P$9),"",IF($J14="里程碑","◆",""))</f>
        <v/>
      </c>
      <c r="Q14" s="8" t="str">
        <f>IF(OR($A14="",$C14="",$D14="",$C14&gt;Q$6,$D14&lt;Q$9),"",IF($J14="里程碑","◆",""))</f>
        <v/>
      </c>
      <c r="R14" s="8" t="str">
        <f>IF(OR($A14="",$C14="",$D14="",$C14&gt;R$6,$D14&lt;R$9),"",IF($J14="里程碑","◆",""))</f>
        <v/>
      </c>
      <c r="S14" s="8" t="str">
        <f>IF(OR($A14="",$C14="",$D14="",$C14&gt;S$6,$D14&lt;S$9),"",IF($J14="里程碑","◆",""))</f>
        <v/>
      </c>
      <c r="T14" s="8" t="str">
        <f>IF(OR($A14="",$C14="",$D14="",$C14&gt;T$6,$D14&lt;T$9),"",IF($J14="里程碑","◆",""))</f>
        <v/>
      </c>
      <c r="U14" s="8" t="str">
        <f>IF(OR($A14="",$C14="",$D14="",$C14&gt;U$6,$D14&lt;U$9),"",IF($J14="里程碑","◆",""))</f>
        <v/>
      </c>
      <c r="V14" s="8" t="str">
        <f>IF(OR($A14="",$C14="",$D14="",$C14&gt;V$6,$D14&lt;V$9),"",IF($J14="里程碑","◆",""))</f>
        <v/>
      </c>
      <c r="W14" s="8" t="str">
        <f>IF(OR($A14="",$C14="",$D14="",$C14&gt;W$6,$D14&lt;W$9),"",IF($J14="里程碑","◆",""))</f>
        <v/>
      </c>
      <c r="X14" s="8" t="str">
        <f>IF(OR($A14="",$C14="",$D14="",$C14&gt;X$6,$D14&lt;X$9),"",IF($J14="里程碑","◆",""))</f>
        <v/>
      </c>
      <c r="Y14" s="8" t="str">
        <f>IF(OR($A14="",$C14="",$D14="",$C14&gt;Y$6,$D14&lt;Y$9),"",IF($J14="里程碑","◆",""))</f>
        <v/>
      </c>
      <c r="Z14" s="8" t="str">
        <f>IF(OR($A14="",$C14="",$D14="",$C14&gt;Z$6,$D14&lt;Z$9),"",IF($J14="里程碑","◆",""))</f>
        <v/>
      </c>
      <c r="AA14" s="8" t="str">
        <f>IF(OR($A14="",$C14="",$D14="",$C14&gt;AA$6,$D14&lt;AA$9),"",IF($J14="里程碑","◆",""))</f>
        <v/>
      </c>
      <c r="AB14" s="8" t="str">
        <f>IF(OR($A14="",$C14="",$D14="",$C14&gt;AB$6,$D14&lt;AB$9),"",IF($J14="里程碑","◆",""))</f>
        <v/>
      </c>
      <c r="AC14" s="8" t="str">
        <f>IF(OR($A14="",$C14="",$D14="",$C14&gt;AC$6,$D14&lt;AC$9),"",IF($J14="里程碑","◆",""))</f>
        <v/>
      </c>
      <c r="AD14" s="8" t="str">
        <f>IF(OR($A14="",$C14="",$D14="",$C14&gt;AD$6,$D14&lt;AD$9),"",IF($J14="里程碑","◆",""))</f>
        <v/>
      </c>
      <c r="AE14" s="8" t="str">
        <f>IF(OR($A14="",$C14="",$D14="",$C14&gt;AE$6,$D14&lt;AE$9),"",IF($J14="里程碑","◆",""))</f>
        <v/>
      </c>
      <c r="AF14" s="8" t="str">
        <f>IF(OR($A14="",$C14="",$D14="",$C14&gt;AF$6,$D14&lt;AF$9),"",IF($J14="里程碑","◆",""))</f>
        <v/>
      </c>
      <c r="AG14" s="8" t="str">
        <f>IF(OR($A14="",$C14="",$D14="",$C14&gt;AG$6,$D14&lt;AG$9),"",IF($J14="里程碑","◆",""))</f>
        <v/>
      </c>
      <c r="AH14" s="8" t="str">
        <f>IF(OR($A14="",$C14="",$D14="",$C14&gt;AH$6,$D14&lt;AH$9),"",IF($J14="里程碑","◆",""))</f>
        <v/>
      </c>
      <c r="AI14" s="8" t="str">
        <f>IF(OR($A14="",$C14="",$D14="",$C14&gt;AI$6,$D14&lt;AI$9),"",IF($J14="里程碑","◆",""))</f>
        <v/>
      </c>
      <c r="AJ14" s="8" t="str">
        <f>IF(OR($A14="",$C14="",$D14="",$C14&gt;AJ$6,$D14&lt;AJ$9),"",IF($J14="里程碑","◆",""))</f>
        <v/>
      </c>
      <c r="AK14" s="8" t="str">
        <f>IF(OR($A14="",$C14="",$D14="",$C14&gt;AK$6,$D14&lt;AK$9),"",IF($J14="里程碑","◆",""))</f>
        <v/>
      </c>
      <c r="AL14" s="8" t="str">
        <f>IF(OR($A14="",$C14="",$D14="",$C14&gt;AL$6,$D14&lt;AL$9),"",IF($J14="里程碑","◆",""))</f>
        <v/>
      </c>
      <c r="AM14" s="8" t="str">
        <f>IF(OR($A14="",$C14="",$D14="",$C14&gt;AM$6,$D14&lt;AM$9),"",IF($J14="里程碑","◆",""))</f>
        <v/>
      </c>
      <c r="AN14" s="8" t="str">
        <f>IF(OR($A14="",$C14="",$D14="",$C14&gt;AN$6,$D14&lt;AN$9),"",IF($J14="里程碑","◆",""))</f>
        <v/>
      </c>
      <c r="AO14" s="8" t="str">
        <f>IF(OR($A14="",$C14="",$D14="",$C14&gt;AO$6,$D14&lt;AO$9),"",IF($J14="里程碑","◆",""))</f>
        <v/>
      </c>
      <c r="AP14" s="8" t="str">
        <f>IF(OR($A14="",$C14="",$D14="",$C14&gt;AP$6,$D14&lt;AP$9),"",IF($J14="里程碑","◆",""))</f>
        <v/>
      </c>
      <c r="AQ14" s="8" t="str">
        <f>IF(OR($A14="",$C14="",$D14="",$C14&gt;AQ$6,$D14&lt;AQ$9),"",IF($J14="里程碑","◆",""))</f>
        <v/>
      </c>
      <c r="AR14" s="8" t="str">
        <f>IF(OR($A14="",$C14="",$D14="",$C14&gt;AR$6,$D14&lt;AR$9),"",IF($J14="里程碑","◆",""))</f>
        <v/>
      </c>
      <c r="AS14" s="8" t="str">
        <f>IF(OR($A14="",$C14="",$D14="",$C14&gt;AS$6,$D14&lt;AS$9),"",IF($J14="里程碑","◆",""))</f>
        <v/>
      </c>
      <c r="AT14" s="8" t="str">
        <f>IF(OR($A14="",$C14="",$D14="",$C14&gt;AT$6,$D14&lt;AT$9),"",IF($J14="里程碑","◆",""))</f>
        <v/>
      </c>
      <c r="AU14" s="8" t="str">
        <f>IF(OR($A14="",$C14="",$D14="",$C14&gt;AU$6,$D14&lt;AU$9),"",IF($J14="里程碑","◆",""))</f>
        <v/>
      </c>
      <c r="AV14" s="8" t="str">
        <f>IF(OR($A14="",$C14="",$D14="",$C14&gt;AV$6,$D14&lt;AV$9),"",IF($J14="里程碑","◆",""))</f>
        <v/>
      </c>
      <c r="AW14" s="8" t="str">
        <f>IF(OR($A14="",$C14="",$D14="",$C14&gt;AW$6,$D14&lt;AW$9),"",IF($J14="里程碑","◆",""))</f>
        <v/>
      </c>
      <c r="AX14" s="8" t="str">
        <f>IF(OR($A14="",$C14="",$D14="",$C14&gt;AX$6,$D14&lt;AX$9),"",IF($J14="里程碑","◆",""))</f>
        <v/>
      </c>
      <c r="AY14" s="8" t="str">
        <f>IF(OR($A14="",$C14="",$D14="",$C14&gt;AY$6,$D14&lt;AY$9),"",IF($J14="里程碑","◆",""))</f>
        <v/>
      </c>
      <c r="AZ14" s="8" t="str">
        <f>IF(OR($A14="",$C14="",$D14="",$C14&gt;AZ$6,$D14&lt;AZ$9),"",IF($J14="里程碑","◆",""))</f>
        <v/>
      </c>
      <c r="BA14" s="8" t="str">
        <f>IF(OR($A14="",$C14="",$D14="",$C14&gt;BA$6,$D14&lt;BA$9),"",IF($J14="里程碑","◆",""))</f>
        <v/>
      </c>
      <c r="BB14" s="8" t="str">
        <f>IF(OR($A14="",$C14="",$D14="",$C14&gt;BB$6,$D14&lt;BB$9),"",IF($J14="里程碑","◆",""))</f>
        <v/>
      </c>
      <c r="BC14" s="8" t="str">
        <f>IF(OR($A14="",$C14="",$D14="",$C14&gt;BC$6,$D14&lt;BC$9),"",IF($J14="里程碑","◆",""))</f>
        <v/>
      </c>
      <c r="BD14" s="8" t="str">
        <f>IF(OR($A14="",$C14="",$D14="",$C14&gt;BD$6,$D14&lt;BD$9),"",IF($J14="里程碑","◆",""))</f>
        <v/>
      </c>
      <c r="BE14" s="8" t="str">
        <f>IF(OR($A14="",$C14="",$D14="",$C14&gt;BE$6,$D14&lt;BE$9),"",IF($J14="里程碑","◆",""))</f>
        <v/>
      </c>
      <c r="BF14" s="8" t="str">
        <f>IF(OR($A14="",$C14="",$D14="",$C14&gt;BF$6,$D14&lt;BF$9),"",IF($J14="里程碑","◆",""))</f>
        <v/>
      </c>
      <c r="BG14" s="8" t="str">
        <f>IF(OR($A14="",$C14="",$D14="",$C14&gt;BG$6,$D14&lt;BG$9),"",IF($J14="里程碑","◆",""))</f>
        <v/>
      </c>
      <c r="BH14" s="8" t="str">
        <f>IF(OR($A14="",$C14="",$D14="",$C14&gt;BH$6,$D14&lt;BH$9),"",IF($J14="里程碑","◆",""))</f>
        <v/>
      </c>
      <c r="BI14" s="8" t="str">
        <f>IF(OR($A14="",$C14="",$D14="",$C14&gt;BI$6,$D14&lt;BI$9),"",IF($J14="里程碑","◆",""))</f>
        <v/>
      </c>
      <c r="BJ14" s="8" t="str">
        <f>IF(OR($A14="",$C14="",$D14="",$C14&gt;BJ$6,$D14&lt;BJ$9),"",IF($J14="里程碑","◆",""))</f>
        <v/>
      </c>
      <c r="BK14" s="8" t="str">
        <f>IF(OR($A14="",$C14="",$D14="",$C14&gt;BK$6,$D14&lt;BK$9),"",IF($J14="里程碑","◆",""))</f>
        <v/>
      </c>
      <c r="BL14" s="8" t="str">
        <f>IF(OR($A14="",$C14="",$D14="",$C14&gt;BL$6,$D14&lt;BL$9),"",IF($J14="里程碑","◆",""))</f>
        <v/>
      </c>
      <c r="BM14" s="8" t="str">
        <f>IF(OR($A14="",$C14="",$D14="",$C14&gt;BM$6,$D14&lt;BM$9),"",IF($J14="里程碑","◆",""))</f>
        <v/>
      </c>
      <c r="BN14" s="8" t="str">
        <f>IF(OR($A14="",$C14="",$D14="",$C14&gt;BN$6,$D14&lt;BN$9),"",IF($J14="里程碑","◆",""))</f>
        <v/>
      </c>
      <c r="BO14" s="8" t="str">
        <f>IF(OR($A14="",$C14="",$D14="",$C14&gt;BO$6,$D14&lt;BO$9),"",IF($J14="里程碑","◆",""))</f>
        <v/>
      </c>
      <c r="BP14" s="8" t="str">
        <f>IF(OR($A14="",$C14="",$D14="",$C14&gt;BP$6,$D14&lt;BP$9),"",IF($J14="里程碑","◆",""))</f>
        <v/>
      </c>
      <c r="BQ14" s="8" t="str">
        <f>IF(OR($A14="",$C14="",$D14="",$C14&gt;BQ$6,$D14&lt;BQ$9),"",IF($J14="里程碑","◆",""))</f>
        <v/>
      </c>
      <c r="BR14" s="8" t="str">
        <f>IF(OR($A14="",$C14="",$D14="",$C14&gt;BR$6,$D14&lt;BR$9),"",IF($J14="里程碑","◆",""))</f>
        <v/>
      </c>
      <c r="BS14" s="8" t="str">
        <f>IF(OR($A14="",$C14="",$D14="",$C14&gt;BS$6,$D14&lt;BS$9),"",IF($J14="里程碑","◆",""))</f>
        <v/>
      </c>
      <c r="BT14" s="8" t="str">
        <f>IF(OR($A14="",$C14="",$D14="",$C14&gt;BT$6,$D14&lt;BT$9),"",IF($J14="里程碑","◆",""))</f>
        <v/>
      </c>
      <c r="BU14" s="8" t="str">
        <f>IF(OR($A14="",$C14="",$D14="",$C14&gt;BU$6,$D14&lt;BU$9),"",IF($J14="里程碑","◆",""))</f>
        <v/>
      </c>
      <c r="BV14" s="8" t="str">
        <f>IF(OR($A14="",$C14="",$D14="",$C14&gt;BV$6,$D14&lt;BV$9),"",IF($J14="里程碑","◆",""))</f>
        <v/>
      </c>
      <c r="BW14" s="8" t="str">
        <f>IF(OR($A14="",$C14="",$D14="",$C14&gt;BW$6,$D14&lt;BW$9),"",IF($J14="里程碑","◆",""))</f>
        <v/>
      </c>
      <c r="BX14" s="8" t="str">
        <f>IF(OR($A14="",$C14="",$D14="",$C14&gt;BX$6,$D14&lt;BX$9),"",IF($J14="里程碑","◆",""))</f>
        <v/>
      </c>
      <c r="BY14" s="8" t="str">
        <f>IF(OR($A14="",$C14="",$D14="",$C14&gt;BY$6,$D14&lt;BY$9),"",IF($J14="里程碑","◆",""))</f>
        <v/>
      </c>
      <c r="BZ14" s="8" t="str">
        <f>IF(OR($A14="",$C14="",$D14="",$C14&gt;BZ$6,$D14&lt;BZ$9),"",IF($J14="里程碑","◆",""))</f>
        <v/>
      </c>
      <c r="CA14" s="8" t="str">
        <f>IF(OR($A14="",$C14="",$D14="",$C14&gt;CA$6,$D14&lt;CA$9),"",IF($J14="里程碑","◆",""))</f>
        <v/>
      </c>
      <c r="CB14" s="8" t="str">
        <f>IF(OR($A14="",$C14="",$D14="",$C14&gt;CB$6,$D14&lt;CB$9),"",IF($J14="里程碑","◆",""))</f>
        <v/>
      </c>
      <c r="CC14" s="8" t="str">
        <f>IF(OR($A14="",$C14="",$D14="",$C14&gt;CC$6,$D14&lt;CC$9),"",IF($J14="里程碑","◆",""))</f>
        <v/>
      </c>
      <c r="CD14" s="8" t="str">
        <f>IF(OR($A14="",$C14="",$D14="",$C14&gt;CD$6,$D14&lt;CD$9),"",IF($J14="里程碑","◆",""))</f>
        <v/>
      </c>
      <c r="CE14" s="8" t="str">
        <f>IF(OR($A14="",$C14="",$D14="",$C14&gt;CE$6,$D14&lt;CE$9),"",IF($J14="里程碑","◆",""))</f>
        <v/>
      </c>
      <c r="CF14" s="8" t="str">
        <f>IF(OR($A14="",$C14="",$D14="",$C14&gt;CF$6,$D14&lt;CF$9),"",IF($J14="里程碑","◆",""))</f>
        <v/>
      </c>
      <c r="CG14" s="8" t="str">
        <f>IF(OR($A14="",$C14="",$D14="",$C14&gt;CG$6,$D14&lt;CG$9),"",IF($J14="里程碑","◆",""))</f>
        <v/>
      </c>
      <c r="CH14" s="8" t="str">
        <f>IF(OR($A14="",$C14="",$D14="",$C14&gt;CH$6,$D14&lt;CH$9),"",IF($J14="里程碑","◆",""))</f>
        <v/>
      </c>
      <c r="CI14" s="8" t="str">
        <f>IF(OR($A14="",$C14="",$D14="",$C14&gt;CI$6,$D14&lt;CI$9),"",IF($J14="里程碑","◆",""))</f>
        <v/>
      </c>
      <c r="CJ14" s="8" t="str">
        <f>IF(OR($A14="",$C14="",$D14="",$C14&gt;CJ$6,$D14&lt;CJ$9),"",IF($J14="里程碑","◆",""))</f>
        <v/>
      </c>
      <c r="CK14" s="8" t="str">
        <f>IF(OR($A14="",$C14="",$D14="",$C14&gt;CK$6,$D14&lt;CK$9),"",IF($J14="里程碑","◆",""))</f>
        <v/>
      </c>
      <c r="CL14" s="8" t="str">
        <f>IF(OR($A14="",$C14="",$D14="",$C14&gt;CL$6,$D14&lt;CL$9),"",IF($J14="里程碑","◆",""))</f>
        <v/>
      </c>
      <c r="CM14" s="8" t="str">
        <f>IF(OR($A14="",$C14="",$D14="",$C14&gt;CM$6,$D14&lt;CM$9),"",IF($J14="里程碑","◆",""))</f>
        <v/>
      </c>
      <c r="CN14" s="8" t="str">
        <f>IF(OR($A14="",$C14="",$D14="",$C14&gt;CN$6,$D14&lt;CN$9),"",IF($J14="里程碑","◆",""))</f>
        <v/>
      </c>
      <c r="CO14" s="8" t="str">
        <f>IF(OR($A14="",$C14="",$D14="",$C14&gt;CO$6,$D14&lt;CO$9),"",IF($J14="里程碑","◆",""))</f>
        <v/>
      </c>
      <c r="CP14" s="8" t="str">
        <f>IF(OR($A14="",$C14="",$D14="",$C14&gt;CP$6,$D14&lt;CP$9),"",IF($J14="里程碑","◆",""))</f>
        <v/>
      </c>
      <c r="CQ14" s="8" t="str">
        <f>IF(OR($A14="",$C14="",$D14="",$C14&gt;CQ$6,$D14&lt;CQ$9),"",IF($J14="里程碑","◆",""))</f>
        <v/>
      </c>
      <c r="CR14" s="8" t="str">
        <f>IF(OR($A14="",$C14="",$D14="",$C14&gt;CR$6,$D14&lt;CR$9),"",IF($J14="里程碑","◆",""))</f>
        <v/>
      </c>
      <c r="CS14" s="8" t="str">
        <f>IF(OR($A14="",$C14="",$D14="",$C14&gt;CS$6,$D14&lt;CS$9),"",IF($J14="里程碑","◆",""))</f>
        <v/>
      </c>
      <c r="CT14" s="8" t="str">
        <f>IF(OR($A14="",$C14="",$D14="",$C14&gt;CT$6,$D14&lt;CT$9),"",IF($J14="里程碑","◆",""))</f>
        <v/>
      </c>
      <c r="CU14" s="8" t="str">
        <f>IF(OR($A14="",$C14="",$D14="",$C14&gt;CU$6,$D14&lt;CU$9),"",IF($J14="里程碑","◆",""))</f>
        <v/>
      </c>
      <c r="CV14" s="8" t="str">
        <f>IF(OR($A14="",$C14="",$D14="",$C14&gt;CV$6,$D14&lt;CV$9),"",IF($J14="里程碑","◆",""))</f>
        <v/>
      </c>
      <c r="CW14" s="8" t="str">
        <f>IF(OR($A14="",$C14="",$D14="",$C14&gt;CW$6,$D14&lt;CW$9),"",IF($J14="里程碑","◆",""))</f>
        <v/>
      </c>
      <c r="CX14" s="8" t="str">
        <f>IF(OR($A14="",$C14="",$D14="",$C14&gt;CX$6,$D14&lt;CX$9),"",IF($J14="里程碑","◆",""))</f>
        <v/>
      </c>
      <c r="CY14" s="8" t="str">
        <f>IF(OR($A14="",$C14="",$D14="",$C14&gt;CY$6,$D14&lt;CY$9),"",IF($J14="里程碑","◆",""))</f>
        <v/>
      </c>
      <c r="CZ14" s="8" t="str">
        <f>IF(OR($A14="",$C14="",$D14="",$C14&gt;CZ$6,$D14&lt;CZ$9),"",IF($J14="里程碑","◆",""))</f>
        <v/>
      </c>
      <c r="DA14" s="8" t="str">
        <f>IF(OR($A14="",$C14="",$D14="",$C14&gt;DA$6,$D14&lt;DA$9),"",IF($J14="里程碑","◆",""))</f>
        <v/>
      </c>
      <c r="DB14" s="8" t="str">
        <f>IF(OR($A14="",$C14="",$D14="",$C14&gt;DB$6,$D14&lt;DB$9),"",IF($J14="里程碑","◆",""))</f>
        <v/>
      </c>
      <c r="DC14" s="1">
        <f>IF(ROW()-9&gt;$DH$3,"",MATCH(ROW()-9,排期计算!$U$10:$U$109,0))</f>
        <v>5</v>
      </c>
      <c r="DD14" s="1">
        <f>IF($DC14="","",INDEX(排期计算!$L$10:$L$109,$DC14))</f>
        <v>1</v>
      </c>
      <c r="DE14" s="1"/>
      <c r="DF14" s="1"/>
      <c r="DG14" s="1"/>
      <c r="DH14" s="1"/>
      <c r="DI14" s="1"/>
      <c r="DJ14" s="1"/>
      <c r="DK14" s="1"/>
    </row>
    <row r="15" spans="1:115" ht="24.95" customHeight="1">
      <c r="A15" s="9" t="str">
        <f>IF($DC15="","",IF(AND(INDEX(排期计算!$A$10:$A$109,$DC15)="",NOT(ISNUMBER(INDEX(排期计算!$A$10:$A$109,$DC15)))),"",INDEX(排期计算!$A$10:$A$109,$DC15)))</f>
        <v>2.1</v>
      </c>
      <c r="B15" s="1" t="str">
        <f>IF($DC15="","",REPT("　",$DD15-1)&amp;INDEX(排期计算!$B$10:$B$109,$DC15))</f>
        <v>　样件制造与试验</v>
      </c>
      <c r="C15" s="3">
        <f>IF($DC15="","",IF(AND(INDEX(排期计算!$M$10:$M$109,$DC15)="",NOT(ISNUMBER(INDEX(排期计算!$M$10:$M$109,$DC15)))),"",INDEX(排期计算!$M$10:$M$109,$DC15)))</f>
        <v>46331</v>
      </c>
      <c r="D15" s="3">
        <f>IF($DC15="","",IF(AND(INDEX(排期计算!$N$10:$N$109,$DC15)="",NOT(ISNUMBER(INDEX(排期计算!$N$10:$N$109,$DC15)))),"",INDEX(排期计算!$N$10:$N$109,$DC15)))</f>
        <v>46344</v>
      </c>
      <c r="E15" s="1">
        <f>IF(OR($C15="",$D15=""),"",IF($J15="里程碑",0,NETWORKDAYS($C15,$D15)))</f>
        <v>10</v>
      </c>
      <c r="F15" s="7">
        <f>IF($DC15="","",IF(AND(INDEX(排期计算!$O$10:$O$109,$DC15)="",NOT(ISNUMBER(INDEX(排期计算!$O$10:$O$109,$DC15)))),"",INDEX(排期计算!$O$10:$O$109,$DC15)))</f>
        <v>0</v>
      </c>
      <c r="G15" s="8" t="str">
        <f>IF($A15="","",IF(OR($C15="",$D15=""),"未排期",IF($F15&gt;=1,"已完成",IF($D15&lt;$B$4,"逾期",IF($C15&gt;$B$4,"未开始","进行中")))))</f>
        <v>未开始</v>
      </c>
      <c r="H15" s="1" t="str">
        <f>IF($DC15="","",IF(AND(INDEX(排期计算!$C$10:$C$109,$DC15)="",NOT(ISNUMBER(INDEX(排期计算!$C$10:$C$109,$DC15)))),"",INDEX(排期计算!$C$10:$C$109,$DC15)))</f>
        <v>张工</v>
      </c>
      <c r="I15" s="1" t="str">
        <f>IF($DC15="","",IF(AND(INDEX(排期计算!$H$10:$H$109,$DC15)="",NOT(ISNUMBER(INDEX(排期计算!$H$10:$H$109,$DC15)))),"",INDEX(排期计算!$H$10:$H$109,$DC15)))</f>
        <v>1.3</v>
      </c>
      <c r="J15" s="1" t="str">
        <f>IF($DC15="","",IF(AND(INDEX(排期计算!$K$10:$K$109,$DC15)="",NOT(ISNUMBER(INDEX(排期计算!$K$10:$K$109,$DC15)))),"",INDEX(排期计算!$K$10:$K$109,$DC15)))</f>
        <v>普通任务</v>
      </c>
      <c r="K15" s="8" t="str">
        <f>IF(OR($A15="",$C15="",$D15="",$C15&gt;K$6,$D15&lt;K$9),"",IF($J15="里程碑","◆",""))</f>
        <v/>
      </c>
      <c r="L15" s="8" t="str">
        <f>IF(OR($A15="",$C15="",$D15="",$C15&gt;L$6,$D15&lt;L$9),"",IF($J15="里程碑","◆",""))</f>
        <v/>
      </c>
      <c r="M15" s="8" t="str">
        <f>IF(OR($A15="",$C15="",$D15="",$C15&gt;M$6,$D15&lt;M$9),"",IF($J15="里程碑","◆",""))</f>
        <v/>
      </c>
      <c r="N15" s="8" t="str">
        <f>IF(OR($A15="",$C15="",$D15="",$C15&gt;N$6,$D15&lt;N$9),"",IF($J15="里程碑","◆",""))</f>
        <v/>
      </c>
      <c r="O15" s="8" t="str">
        <f>IF(OR($A15="",$C15="",$D15="",$C15&gt;O$6,$D15&lt;O$9),"",IF($J15="里程碑","◆",""))</f>
        <v/>
      </c>
      <c r="P15" s="8" t="str">
        <f>IF(OR($A15="",$C15="",$D15="",$C15&gt;P$6,$D15&lt;P$9),"",IF($J15="里程碑","◆",""))</f>
        <v/>
      </c>
      <c r="Q15" s="8" t="str">
        <f>IF(OR($A15="",$C15="",$D15="",$C15&gt;Q$6,$D15&lt;Q$9),"",IF($J15="里程碑","◆",""))</f>
        <v/>
      </c>
      <c r="R15" s="8" t="str">
        <f>IF(OR($A15="",$C15="",$D15="",$C15&gt;R$6,$D15&lt;R$9),"",IF($J15="里程碑","◆",""))</f>
        <v/>
      </c>
      <c r="S15" s="8" t="str">
        <f>IF(OR($A15="",$C15="",$D15="",$C15&gt;S$6,$D15&lt;S$9),"",IF($J15="里程碑","◆",""))</f>
        <v/>
      </c>
      <c r="T15" s="8" t="str">
        <f>IF(OR($A15="",$C15="",$D15="",$C15&gt;T$6,$D15&lt;T$9),"",IF($J15="里程碑","◆",""))</f>
        <v/>
      </c>
      <c r="U15" s="8" t="str">
        <f>IF(OR($A15="",$C15="",$D15="",$C15&gt;U$6,$D15&lt;U$9),"",IF($J15="里程碑","◆",""))</f>
        <v/>
      </c>
      <c r="V15" s="8" t="str">
        <f>IF(OR($A15="",$C15="",$D15="",$C15&gt;V$6,$D15&lt;V$9),"",IF($J15="里程碑","◆",""))</f>
        <v/>
      </c>
      <c r="W15" s="8" t="str">
        <f>IF(OR($A15="",$C15="",$D15="",$C15&gt;W$6,$D15&lt;W$9),"",IF($J15="里程碑","◆",""))</f>
        <v/>
      </c>
      <c r="X15" s="8" t="str">
        <f>IF(OR($A15="",$C15="",$D15="",$C15&gt;X$6,$D15&lt;X$9),"",IF($J15="里程碑","◆",""))</f>
        <v/>
      </c>
      <c r="Y15" s="8" t="str">
        <f>IF(OR($A15="",$C15="",$D15="",$C15&gt;Y$6,$D15&lt;Y$9),"",IF($J15="里程碑","◆",""))</f>
        <v/>
      </c>
      <c r="Z15" s="8" t="str">
        <f>IF(OR($A15="",$C15="",$D15="",$C15&gt;Z$6,$D15&lt;Z$9),"",IF($J15="里程碑","◆",""))</f>
        <v/>
      </c>
      <c r="AA15" s="8" t="str">
        <f>IF(OR($A15="",$C15="",$D15="",$C15&gt;AA$6,$D15&lt;AA$9),"",IF($J15="里程碑","◆",""))</f>
        <v/>
      </c>
      <c r="AB15" s="8" t="str">
        <f>IF(OR($A15="",$C15="",$D15="",$C15&gt;AB$6,$D15&lt;AB$9),"",IF($J15="里程碑","◆",""))</f>
        <v/>
      </c>
      <c r="AC15" s="8" t="str">
        <f>IF(OR($A15="",$C15="",$D15="",$C15&gt;AC$6,$D15&lt;AC$9),"",IF($J15="里程碑","◆",""))</f>
        <v/>
      </c>
      <c r="AD15" s="8" t="str">
        <f>IF(OR($A15="",$C15="",$D15="",$C15&gt;AD$6,$D15&lt;AD$9),"",IF($J15="里程碑","◆",""))</f>
        <v/>
      </c>
      <c r="AE15" s="8" t="str">
        <f>IF(OR($A15="",$C15="",$D15="",$C15&gt;AE$6,$D15&lt;AE$9),"",IF($J15="里程碑","◆",""))</f>
        <v/>
      </c>
      <c r="AF15" s="8" t="str">
        <f>IF(OR($A15="",$C15="",$D15="",$C15&gt;AF$6,$D15&lt;AF$9),"",IF($J15="里程碑","◆",""))</f>
        <v/>
      </c>
      <c r="AG15" s="8" t="str">
        <f>IF(OR($A15="",$C15="",$D15="",$C15&gt;AG$6,$D15&lt;AG$9),"",IF($J15="里程碑","◆",""))</f>
        <v/>
      </c>
      <c r="AH15" s="8" t="str">
        <f>IF(OR($A15="",$C15="",$D15="",$C15&gt;AH$6,$D15&lt;AH$9),"",IF($J15="里程碑","◆",""))</f>
        <v/>
      </c>
      <c r="AI15" s="8" t="str">
        <f>IF(OR($A15="",$C15="",$D15="",$C15&gt;AI$6,$D15&lt;AI$9),"",IF($J15="里程碑","◆",""))</f>
        <v/>
      </c>
      <c r="AJ15" s="8" t="str">
        <f>IF(OR($A15="",$C15="",$D15="",$C15&gt;AJ$6,$D15&lt;AJ$9),"",IF($J15="里程碑","◆",""))</f>
        <v/>
      </c>
      <c r="AK15" s="8" t="str">
        <f>IF(OR($A15="",$C15="",$D15="",$C15&gt;AK$6,$D15&lt;AK$9),"",IF($J15="里程碑","◆",""))</f>
        <v/>
      </c>
      <c r="AL15" s="8" t="str">
        <f>IF(OR($A15="",$C15="",$D15="",$C15&gt;AL$6,$D15&lt;AL$9),"",IF($J15="里程碑","◆",""))</f>
        <v/>
      </c>
      <c r="AM15" s="8" t="str">
        <f>IF(OR($A15="",$C15="",$D15="",$C15&gt;AM$6,$D15&lt;AM$9),"",IF($J15="里程碑","◆",""))</f>
        <v/>
      </c>
      <c r="AN15" s="8" t="str">
        <f>IF(OR($A15="",$C15="",$D15="",$C15&gt;AN$6,$D15&lt;AN$9),"",IF($J15="里程碑","◆",""))</f>
        <v/>
      </c>
      <c r="AO15" s="8" t="str">
        <f>IF(OR($A15="",$C15="",$D15="",$C15&gt;AO$6,$D15&lt;AO$9),"",IF($J15="里程碑","◆",""))</f>
        <v/>
      </c>
      <c r="AP15" s="8" t="str">
        <f>IF(OR($A15="",$C15="",$D15="",$C15&gt;AP$6,$D15&lt;AP$9),"",IF($J15="里程碑","◆",""))</f>
        <v/>
      </c>
      <c r="AQ15" s="8" t="str">
        <f>IF(OR($A15="",$C15="",$D15="",$C15&gt;AQ$6,$D15&lt;AQ$9),"",IF($J15="里程碑","◆",""))</f>
        <v/>
      </c>
      <c r="AR15" s="8" t="str">
        <f>IF(OR($A15="",$C15="",$D15="",$C15&gt;AR$6,$D15&lt;AR$9),"",IF($J15="里程碑","◆",""))</f>
        <v/>
      </c>
      <c r="AS15" s="8" t="str">
        <f>IF(OR($A15="",$C15="",$D15="",$C15&gt;AS$6,$D15&lt;AS$9),"",IF($J15="里程碑","◆",""))</f>
        <v/>
      </c>
      <c r="AT15" s="8" t="str">
        <f>IF(OR($A15="",$C15="",$D15="",$C15&gt;AT$6,$D15&lt;AT$9),"",IF($J15="里程碑","◆",""))</f>
        <v/>
      </c>
      <c r="AU15" s="8" t="str">
        <f>IF(OR($A15="",$C15="",$D15="",$C15&gt;AU$6,$D15&lt;AU$9),"",IF($J15="里程碑","◆",""))</f>
        <v/>
      </c>
      <c r="AV15" s="8" t="str">
        <f>IF(OR($A15="",$C15="",$D15="",$C15&gt;AV$6,$D15&lt;AV$9),"",IF($J15="里程碑","◆",""))</f>
        <v/>
      </c>
      <c r="AW15" s="8" t="str">
        <f>IF(OR($A15="",$C15="",$D15="",$C15&gt;AW$6,$D15&lt;AW$9),"",IF($J15="里程碑","◆",""))</f>
        <v/>
      </c>
      <c r="AX15" s="8" t="str">
        <f>IF(OR($A15="",$C15="",$D15="",$C15&gt;AX$6,$D15&lt;AX$9),"",IF($J15="里程碑","◆",""))</f>
        <v/>
      </c>
      <c r="AY15" s="8" t="str">
        <f>IF(OR($A15="",$C15="",$D15="",$C15&gt;AY$6,$D15&lt;AY$9),"",IF($J15="里程碑","◆",""))</f>
        <v/>
      </c>
      <c r="AZ15" s="8" t="str">
        <f>IF(OR($A15="",$C15="",$D15="",$C15&gt;AZ$6,$D15&lt;AZ$9),"",IF($J15="里程碑","◆",""))</f>
        <v/>
      </c>
      <c r="BA15" s="8" t="str">
        <f>IF(OR($A15="",$C15="",$D15="",$C15&gt;BA$6,$D15&lt;BA$9),"",IF($J15="里程碑","◆",""))</f>
        <v/>
      </c>
      <c r="BB15" s="8" t="str">
        <f>IF(OR($A15="",$C15="",$D15="",$C15&gt;BB$6,$D15&lt;BB$9),"",IF($J15="里程碑","◆",""))</f>
        <v/>
      </c>
      <c r="BC15" s="8" t="str">
        <f>IF(OR($A15="",$C15="",$D15="",$C15&gt;BC$6,$D15&lt;BC$9),"",IF($J15="里程碑","◆",""))</f>
        <v/>
      </c>
      <c r="BD15" s="8" t="str">
        <f>IF(OR($A15="",$C15="",$D15="",$C15&gt;BD$6,$D15&lt;BD$9),"",IF($J15="里程碑","◆",""))</f>
        <v/>
      </c>
      <c r="BE15" s="8" t="str">
        <f>IF(OR($A15="",$C15="",$D15="",$C15&gt;BE$6,$D15&lt;BE$9),"",IF($J15="里程碑","◆",""))</f>
        <v/>
      </c>
      <c r="BF15" s="8" t="str">
        <f>IF(OR($A15="",$C15="",$D15="",$C15&gt;BF$6,$D15&lt;BF$9),"",IF($J15="里程碑","◆",""))</f>
        <v/>
      </c>
      <c r="BG15" s="8" t="str">
        <f>IF(OR($A15="",$C15="",$D15="",$C15&gt;BG$6,$D15&lt;BG$9),"",IF($J15="里程碑","◆",""))</f>
        <v/>
      </c>
      <c r="BH15" s="8" t="str">
        <f>IF(OR($A15="",$C15="",$D15="",$C15&gt;BH$6,$D15&lt;BH$9),"",IF($J15="里程碑","◆",""))</f>
        <v/>
      </c>
      <c r="BI15" s="8" t="str">
        <f>IF(OR($A15="",$C15="",$D15="",$C15&gt;BI$6,$D15&lt;BI$9),"",IF($J15="里程碑","◆",""))</f>
        <v/>
      </c>
      <c r="BJ15" s="8" t="str">
        <f>IF(OR($A15="",$C15="",$D15="",$C15&gt;BJ$6,$D15&lt;BJ$9),"",IF($J15="里程碑","◆",""))</f>
        <v/>
      </c>
      <c r="BK15" s="8" t="str">
        <f>IF(OR($A15="",$C15="",$D15="",$C15&gt;BK$6,$D15&lt;BK$9),"",IF($J15="里程碑","◆",""))</f>
        <v/>
      </c>
      <c r="BL15" s="8" t="str">
        <f>IF(OR($A15="",$C15="",$D15="",$C15&gt;BL$6,$D15&lt;BL$9),"",IF($J15="里程碑","◆",""))</f>
        <v/>
      </c>
      <c r="BM15" s="8" t="str">
        <f>IF(OR($A15="",$C15="",$D15="",$C15&gt;BM$6,$D15&lt;BM$9),"",IF($J15="里程碑","◆",""))</f>
        <v/>
      </c>
      <c r="BN15" s="8" t="str">
        <f>IF(OR($A15="",$C15="",$D15="",$C15&gt;BN$6,$D15&lt;BN$9),"",IF($J15="里程碑","◆",""))</f>
        <v/>
      </c>
      <c r="BO15" s="8" t="str">
        <f>IF(OR($A15="",$C15="",$D15="",$C15&gt;BO$6,$D15&lt;BO$9),"",IF($J15="里程碑","◆",""))</f>
        <v/>
      </c>
      <c r="BP15" s="8" t="str">
        <f>IF(OR($A15="",$C15="",$D15="",$C15&gt;BP$6,$D15&lt;BP$9),"",IF($J15="里程碑","◆",""))</f>
        <v/>
      </c>
      <c r="BQ15" s="8" t="str">
        <f>IF(OR($A15="",$C15="",$D15="",$C15&gt;BQ$6,$D15&lt;BQ$9),"",IF($J15="里程碑","◆",""))</f>
        <v/>
      </c>
      <c r="BR15" s="8" t="str">
        <f>IF(OR($A15="",$C15="",$D15="",$C15&gt;BR$6,$D15&lt;BR$9),"",IF($J15="里程碑","◆",""))</f>
        <v/>
      </c>
      <c r="BS15" s="8" t="str">
        <f>IF(OR($A15="",$C15="",$D15="",$C15&gt;BS$6,$D15&lt;BS$9),"",IF($J15="里程碑","◆",""))</f>
        <v/>
      </c>
      <c r="BT15" s="8" t="str">
        <f>IF(OR($A15="",$C15="",$D15="",$C15&gt;BT$6,$D15&lt;BT$9),"",IF($J15="里程碑","◆",""))</f>
        <v/>
      </c>
      <c r="BU15" s="8" t="str">
        <f>IF(OR($A15="",$C15="",$D15="",$C15&gt;BU$6,$D15&lt;BU$9),"",IF($J15="里程碑","◆",""))</f>
        <v/>
      </c>
      <c r="BV15" s="8" t="str">
        <f>IF(OR($A15="",$C15="",$D15="",$C15&gt;BV$6,$D15&lt;BV$9),"",IF($J15="里程碑","◆",""))</f>
        <v/>
      </c>
      <c r="BW15" s="8" t="str">
        <f>IF(OR($A15="",$C15="",$D15="",$C15&gt;BW$6,$D15&lt;BW$9),"",IF($J15="里程碑","◆",""))</f>
        <v/>
      </c>
      <c r="BX15" s="8" t="str">
        <f>IF(OR($A15="",$C15="",$D15="",$C15&gt;BX$6,$D15&lt;BX$9),"",IF($J15="里程碑","◆",""))</f>
        <v/>
      </c>
      <c r="BY15" s="8" t="str">
        <f>IF(OR($A15="",$C15="",$D15="",$C15&gt;BY$6,$D15&lt;BY$9),"",IF($J15="里程碑","◆",""))</f>
        <v/>
      </c>
      <c r="BZ15" s="8" t="str">
        <f>IF(OR($A15="",$C15="",$D15="",$C15&gt;BZ$6,$D15&lt;BZ$9),"",IF($J15="里程碑","◆",""))</f>
        <v/>
      </c>
      <c r="CA15" s="8" t="str">
        <f>IF(OR($A15="",$C15="",$D15="",$C15&gt;CA$6,$D15&lt;CA$9),"",IF($J15="里程碑","◆",""))</f>
        <v/>
      </c>
      <c r="CB15" s="8" t="str">
        <f>IF(OR($A15="",$C15="",$D15="",$C15&gt;CB$6,$D15&lt;CB$9),"",IF($J15="里程碑","◆",""))</f>
        <v/>
      </c>
      <c r="CC15" s="8" t="str">
        <f>IF(OR($A15="",$C15="",$D15="",$C15&gt;CC$6,$D15&lt;CC$9),"",IF($J15="里程碑","◆",""))</f>
        <v/>
      </c>
      <c r="CD15" s="8" t="str">
        <f>IF(OR($A15="",$C15="",$D15="",$C15&gt;CD$6,$D15&lt;CD$9),"",IF($J15="里程碑","◆",""))</f>
        <v/>
      </c>
      <c r="CE15" s="8" t="str">
        <f>IF(OR($A15="",$C15="",$D15="",$C15&gt;CE$6,$D15&lt;CE$9),"",IF($J15="里程碑","◆",""))</f>
        <v/>
      </c>
      <c r="CF15" s="8" t="str">
        <f>IF(OR($A15="",$C15="",$D15="",$C15&gt;CF$6,$D15&lt;CF$9),"",IF($J15="里程碑","◆",""))</f>
        <v/>
      </c>
      <c r="CG15" s="8" t="str">
        <f>IF(OR($A15="",$C15="",$D15="",$C15&gt;CG$6,$D15&lt;CG$9),"",IF($J15="里程碑","◆",""))</f>
        <v/>
      </c>
      <c r="CH15" s="8" t="str">
        <f>IF(OR($A15="",$C15="",$D15="",$C15&gt;CH$6,$D15&lt;CH$9),"",IF($J15="里程碑","◆",""))</f>
        <v/>
      </c>
      <c r="CI15" s="8" t="str">
        <f>IF(OR($A15="",$C15="",$D15="",$C15&gt;CI$6,$D15&lt;CI$9),"",IF($J15="里程碑","◆",""))</f>
        <v/>
      </c>
      <c r="CJ15" s="8" t="str">
        <f>IF(OR($A15="",$C15="",$D15="",$C15&gt;CJ$6,$D15&lt;CJ$9),"",IF($J15="里程碑","◆",""))</f>
        <v/>
      </c>
      <c r="CK15" s="8" t="str">
        <f>IF(OR($A15="",$C15="",$D15="",$C15&gt;CK$6,$D15&lt;CK$9),"",IF($J15="里程碑","◆",""))</f>
        <v/>
      </c>
      <c r="CL15" s="8" t="str">
        <f>IF(OR($A15="",$C15="",$D15="",$C15&gt;CL$6,$D15&lt;CL$9),"",IF($J15="里程碑","◆",""))</f>
        <v/>
      </c>
      <c r="CM15" s="8" t="str">
        <f>IF(OR($A15="",$C15="",$D15="",$C15&gt;CM$6,$D15&lt;CM$9),"",IF($J15="里程碑","◆",""))</f>
        <v/>
      </c>
      <c r="CN15" s="8" t="str">
        <f>IF(OR($A15="",$C15="",$D15="",$C15&gt;CN$6,$D15&lt;CN$9),"",IF($J15="里程碑","◆",""))</f>
        <v/>
      </c>
      <c r="CO15" s="8" t="str">
        <f>IF(OR($A15="",$C15="",$D15="",$C15&gt;CO$6,$D15&lt;CO$9),"",IF($J15="里程碑","◆",""))</f>
        <v/>
      </c>
      <c r="CP15" s="8" t="str">
        <f>IF(OR($A15="",$C15="",$D15="",$C15&gt;CP$6,$D15&lt;CP$9),"",IF($J15="里程碑","◆",""))</f>
        <v/>
      </c>
      <c r="CQ15" s="8" t="str">
        <f>IF(OR($A15="",$C15="",$D15="",$C15&gt;CQ$6,$D15&lt;CQ$9),"",IF($J15="里程碑","◆",""))</f>
        <v/>
      </c>
      <c r="CR15" s="8" t="str">
        <f>IF(OR($A15="",$C15="",$D15="",$C15&gt;CR$6,$D15&lt;CR$9),"",IF($J15="里程碑","◆",""))</f>
        <v/>
      </c>
      <c r="CS15" s="8" t="str">
        <f>IF(OR($A15="",$C15="",$D15="",$C15&gt;CS$6,$D15&lt;CS$9),"",IF($J15="里程碑","◆",""))</f>
        <v/>
      </c>
      <c r="CT15" s="8" t="str">
        <f>IF(OR($A15="",$C15="",$D15="",$C15&gt;CT$6,$D15&lt;CT$9),"",IF($J15="里程碑","◆",""))</f>
        <v/>
      </c>
      <c r="CU15" s="8" t="str">
        <f>IF(OR($A15="",$C15="",$D15="",$C15&gt;CU$6,$D15&lt;CU$9),"",IF($J15="里程碑","◆",""))</f>
        <v/>
      </c>
      <c r="CV15" s="8" t="str">
        <f>IF(OR($A15="",$C15="",$D15="",$C15&gt;CV$6,$D15&lt;CV$9),"",IF($J15="里程碑","◆",""))</f>
        <v/>
      </c>
      <c r="CW15" s="8" t="str">
        <f>IF(OR($A15="",$C15="",$D15="",$C15&gt;CW$6,$D15&lt;CW$9),"",IF($J15="里程碑","◆",""))</f>
        <v/>
      </c>
      <c r="CX15" s="8" t="str">
        <f>IF(OR($A15="",$C15="",$D15="",$C15&gt;CX$6,$D15&lt;CX$9),"",IF($J15="里程碑","◆",""))</f>
        <v/>
      </c>
      <c r="CY15" s="8" t="str">
        <f>IF(OR($A15="",$C15="",$D15="",$C15&gt;CY$6,$D15&lt;CY$9),"",IF($J15="里程碑","◆",""))</f>
        <v/>
      </c>
      <c r="CZ15" s="8" t="str">
        <f>IF(OR($A15="",$C15="",$D15="",$C15&gt;CZ$6,$D15&lt;CZ$9),"",IF($J15="里程碑","◆",""))</f>
        <v/>
      </c>
      <c r="DA15" s="8" t="str">
        <f>IF(OR($A15="",$C15="",$D15="",$C15&gt;DA$6,$D15&lt;DA$9),"",IF($J15="里程碑","◆",""))</f>
        <v/>
      </c>
      <c r="DB15" s="8" t="str">
        <f>IF(OR($A15="",$C15="",$D15="",$C15&gt;DB$6,$D15&lt;DB$9),"",IF($J15="里程碑","◆",""))</f>
        <v/>
      </c>
      <c r="DC15" s="1">
        <f>IF(ROW()-9&gt;$DH$3,"",MATCH(ROW()-9,排期计算!$U$10:$U$109,0))</f>
        <v>6</v>
      </c>
      <c r="DD15" s="1">
        <f>IF($DC15="","",INDEX(排期计算!$L$10:$L$109,$DC15))</f>
        <v>2</v>
      </c>
      <c r="DE15" s="1"/>
      <c r="DF15" s="1"/>
      <c r="DG15" s="1"/>
      <c r="DH15" s="1"/>
      <c r="DI15" s="1"/>
      <c r="DJ15" s="1"/>
      <c r="DK15" s="1"/>
    </row>
    <row r="16" spans="1:115" ht="24.95" customHeight="1">
      <c r="A16" s="9" t="str">
        <f>IF($DC16="","",IF(AND(INDEX(排期计算!$A$10:$A$109,$DC16)="",NOT(ISNUMBER(INDEX(排期计算!$A$10:$A$109,$DC16)))),"",INDEX(排期计算!$A$10:$A$109,$DC16)))</f>
        <v>3</v>
      </c>
      <c r="B16" s="1" t="str">
        <f>IF($DC16="","",REPT("　",$DD16-1)&amp;INDEX(排期计算!$B$10:$B$109,$DC16))</f>
        <v>量产移交</v>
      </c>
      <c r="C16" s="3">
        <f>IF($DC16="","",IF(AND(INDEX(排期计算!$M$10:$M$109,$DC16)="",NOT(ISNUMBER(INDEX(排期计算!$M$10:$M$109,$DC16)))),"",INDEX(排期计算!$M$10:$M$109,$DC16)))</f>
        <v>46345</v>
      </c>
      <c r="D16" s="3">
        <f>IF($DC16="","",IF(AND(INDEX(排期计算!$N$10:$N$109,$DC16)="",NOT(ISNUMBER(INDEX(排期计算!$N$10:$N$109,$DC16)))),"",INDEX(排期计算!$N$10:$N$109,$DC16)))</f>
        <v>46345</v>
      </c>
      <c r="E16" s="1">
        <f>IF(OR($C16="",$D16=""),"",IF($J16="里程碑",0,NETWORKDAYS($C16,$D16)))</f>
        <v>0</v>
      </c>
      <c r="F16" s="7">
        <f>IF($DC16="","",IF(AND(INDEX(排期计算!$O$10:$O$109,$DC16)="",NOT(ISNUMBER(INDEX(排期计算!$O$10:$O$109,$DC16)))),"",INDEX(排期计算!$O$10:$O$109,$DC16)))</f>
        <v>0</v>
      </c>
      <c r="G16" s="8" t="str">
        <f>IF($A16="","",IF(OR($C16="",$D16=""),"未排期",IF($F16&gt;=1,"已完成",IF($D16&lt;$B$4,"逾期",IF($C16&gt;$B$4,"未开始","进行中")))))</f>
        <v>未开始</v>
      </c>
      <c r="H16" s="1" t="str">
        <f>IF($DC16="","",IF(AND(INDEX(排期计算!$C$10:$C$109,$DC16)="",NOT(ISNUMBER(INDEX(排期计算!$C$10:$C$109,$DC16)))),"",INDEX(排期计算!$C$10:$C$109,$DC16)))</f>
        <v>张工</v>
      </c>
      <c r="I16" s="1" t="str">
        <f>IF($DC16="","",IF(AND(INDEX(排期计算!$H$10:$H$109,$DC16)="",NOT(ISNUMBER(INDEX(排期计算!$H$10:$H$109,$DC16)))),"",INDEX(排期计算!$H$10:$H$109,$DC16)))</f>
        <v>2.1</v>
      </c>
      <c r="J16" s="1" t="str">
        <f>IF($DC16="","",IF(AND(INDEX(排期计算!$K$10:$K$109,$DC16)="",NOT(ISNUMBER(INDEX(排期计算!$K$10:$K$109,$DC16)))),"",INDEX(排期计算!$K$10:$K$109,$DC16)))</f>
        <v>里程碑</v>
      </c>
      <c r="K16" s="8" t="str">
        <f>IF(OR($A16="",$C16="",$D16="",$C16&gt;K$6,$D16&lt;K$9),"",IF($J16="里程碑","◆",""))</f>
        <v/>
      </c>
      <c r="L16" s="8" t="str">
        <f>IF(OR($A16="",$C16="",$D16="",$C16&gt;L$6,$D16&lt;L$9),"",IF($J16="里程碑","◆",""))</f>
        <v/>
      </c>
      <c r="M16" s="8" t="str">
        <f>IF(OR($A16="",$C16="",$D16="",$C16&gt;M$6,$D16&lt;M$9),"",IF($J16="里程碑","◆",""))</f>
        <v/>
      </c>
      <c r="N16" s="8" t="str">
        <f>IF(OR($A16="",$C16="",$D16="",$C16&gt;N$6,$D16&lt;N$9),"",IF($J16="里程碑","◆",""))</f>
        <v>◆</v>
      </c>
      <c r="O16" s="8" t="str">
        <f>IF(OR($A16="",$C16="",$D16="",$C16&gt;O$6,$D16&lt;O$9),"",IF($J16="里程碑","◆",""))</f>
        <v/>
      </c>
      <c r="P16" s="8" t="str">
        <f>IF(OR($A16="",$C16="",$D16="",$C16&gt;P$6,$D16&lt;P$9),"",IF($J16="里程碑","◆",""))</f>
        <v/>
      </c>
      <c r="Q16" s="8" t="str">
        <f>IF(OR($A16="",$C16="",$D16="",$C16&gt;Q$6,$D16&lt;Q$9),"",IF($J16="里程碑","◆",""))</f>
        <v/>
      </c>
      <c r="R16" s="8" t="str">
        <f>IF(OR($A16="",$C16="",$D16="",$C16&gt;R$6,$D16&lt;R$9),"",IF($J16="里程碑","◆",""))</f>
        <v/>
      </c>
      <c r="S16" s="8" t="str">
        <f>IF(OR($A16="",$C16="",$D16="",$C16&gt;S$6,$D16&lt;S$9),"",IF($J16="里程碑","◆",""))</f>
        <v/>
      </c>
      <c r="T16" s="8" t="str">
        <f>IF(OR($A16="",$C16="",$D16="",$C16&gt;T$6,$D16&lt;T$9),"",IF($J16="里程碑","◆",""))</f>
        <v/>
      </c>
      <c r="U16" s="8" t="str">
        <f>IF(OR($A16="",$C16="",$D16="",$C16&gt;U$6,$D16&lt;U$9),"",IF($J16="里程碑","◆",""))</f>
        <v/>
      </c>
      <c r="V16" s="8" t="str">
        <f>IF(OR($A16="",$C16="",$D16="",$C16&gt;V$6,$D16&lt;V$9),"",IF($J16="里程碑","◆",""))</f>
        <v/>
      </c>
      <c r="W16" s="8" t="str">
        <f>IF(OR($A16="",$C16="",$D16="",$C16&gt;W$6,$D16&lt;W$9),"",IF($J16="里程碑","◆",""))</f>
        <v/>
      </c>
      <c r="X16" s="8" t="str">
        <f>IF(OR($A16="",$C16="",$D16="",$C16&gt;X$6,$D16&lt;X$9),"",IF($J16="里程碑","◆",""))</f>
        <v/>
      </c>
      <c r="Y16" s="8" t="str">
        <f>IF(OR($A16="",$C16="",$D16="",$C16&gt;Y$6,$D16&lt;Y$9),"",IF($J16="里程碑","◆",""))</f>
        <v/>
      </c>
      <c r="Z16" s="8" t="str">
        <f>IF(OR($A16="",$C16="",$D16="",$C16&gt;Z$6,$D16&lt;Z$9),"",IF($J16="里程碑","◆",""))</f>
        <v/>
      </c>
      <c r="AA16" s="8" t="str">
        <f>IF(OR($A16="",$C16="",$D16="",$C16&gt;AA$6,$D16&lt;AA$9),"",IF($J16="里程碑","◆",""))</f>
        <v/>
      </c>
      <c r="AB16" s="8" t="str">
        <f>IF(OR($A16="",$C16="",$D16="",$C16&gt;AB$6,$D16&lt;AB$9),"",IF($J16="里程碑","◆",""))</f>
        <v/>
      </c>
      <c r="AC16" s="8" t="str">
        <f>IF(OR($A16="",$C16="",$D16="",$C16&gt;AC$6,$D16&lt;AC$9),"",IF($J16="里程碑","◆",""))</f>
        <v/>
      </c>
      <c r="AD16" s="8" t="str">
        <f>IF(OR($A16="",$C16="",$D16="",$C16&gt;AD$6,$D16&lt;AD$9),"",IF($J16="里程碑","◆",""))</f>
        <v/>
      </c>
      <c r="AE16" s="8" t="str">
        <f>IF(OR($A16="",$C16="",$D16="",$C16&gt;AE$6,$D16&lt;AE$9),"",IF($J16="里程碑","◆",""))</f>
        <v/>
      </c>
      <c r="AF16" s="8" t="str">
        <f>IF(OR($A16="",$C16="",$D16="",$C16&gt;AF$6,$D16&lt;AF$9),"",IF($J16="里程碑","◆",""))</f>
        <v/>
      </c>
      <c r="AG16" s="8" t="str">
        <f>IF(OR($A16="",$C16="",$D16="",$C16&gt;AG$6,$D16&lt;AG$9),"",IF($J16="里程碑","◆",""))</f>
        <v/>
      </c>
      <c r="AH16" s="8" t="str">
        <f>IF(OR($A16="",$C16="",$D16="",$C16&gt;AH$6,$D16&lt;AH$9),"",IF($J16="里程碑","◆",""))</f>
        <v/>
      </c>
      <c r="AI16" s="8" t="str">
        <f>IF(OR($A16="",$C16="",$D16="",$C16&gt;AI$6,$D16&lt;AI$9),"",IF($J16="里程碑","◆",""))</f>
        <v/>
      </c>
      <c r="AJ16" s="8" t="str">
        <f>IF(OR($A16="",$C16="",$D16="",$C16&gt;AJ$6,$D16&lt;AJ$9),"",IF($J16="里程碑","◆",""))</f>
        <v/>
      </c>
      <c r="AK16" s="8" t="str">
        <f>IF(OR($A16="",$C16="",$D16="",$C16&gt;AK$6,$D16&lt;AK$9),"",IF($J16="里程碑","◆",""))</f>
        <v/>
      </c>
      <c r="AL16" s="8" t="str">
        <f>IF(OR($A16="",$C16="",$D16="",$C16&gt;AL$6,$D16&lt;AL$9),"",IF($J16="里程碑","◆",""))</f>
        <v/>
      </c>
      <c r="AM16" s="8" t="str">
        <f>IF(OR($A16="",$C16="",$D16="",$C16&gt;AM$6,$D16&lt;AM$9),"",IF($J16="里程碑","◆",""))</f>
        <v/>
      </c>
      <c r="AN16" s="8" t="str">
        <f>IF(OR($A16="",$C16="",$D16="",$C16&gt;AN$6,$D16&lt;AN$9),"",IF($J16="里程碑","◆",""))</f>
        <v/>
      </c>
      <c r="AO16" s="8" t="str">
        <f>IF(OR($A16="",$C16="",$D16="",$C16&gt;AO$6,$D16&lt;AO$9),"",IF($J16="里程碑","◆",""))</f>
        <v/>
      </c>
      <c r="AP16" s="8" t="str">
        <f>IF(OR($A16="",$C16="",$D16="",$C16&gt;AP$6,$D16&lt;AP$9),"",IF($J16="里程碑","◆",""))</f>
        <v/>
      </c>
      <c r="AQ16" s="8" t="str">
        <f>IF(OR($A16="",$C16="",$D16="",$C16&gt;AQ$6,$D16&lt;AQ$9),"",IF($J16="里程碑","◆",""))</f>
        <v/>
      </c>
      <c r="AR16" s="8" t="str">
        <f>IF(OR($A16="",$C16="",$D16="",$C16&gt;AR$6,$D16&lt;AR$9),"",IF($J16="里程碑","◆",""))</f>
        <v/>
      </c>
      <c r="AS16" s="8" t="str">
        <f>IF(OR($A16="",$C16="",$D16="",$C16&gt;AS$6,$D16&lt;AS$9),"",IF($J16="里程碑","◆",""))</f>
        <v/>
      </c>
      <c r="AT16" s="8" t="str">
        <f>IF(OR($A16="",$C16="",$D16="",$C16&gt;AT$6,$D16&lt;AT$9),"",IF($J16="里程碑","◆",""))</f>
        <v/>
      </c>
      <c r="AU16" s="8" t="str">
        <f>IF(OR($A16="",$C16="",$D16="",$C16&gt;AU$6,$D16&lt;AU$9),"",IF($J16="里程碑","◆",""))</f>
        <v/>
      </c>
      <c r="AV16" s="8" t="str">
        <f>IF(OR($A16="",$C16="",$D16="",$C16&gt;AV$6,$D16&lt;AV$9),"",IF($J16="里程碑","◆",""))</f>
        <v/>
      </c>
      <c r="AW16" s="8" t="str">
        <f>IF(OR($A16="",$C16="",$D16="",$C16&gt;AW$6,$D16&lt;AW$9),"",IF($J16="里程碑","◆",""))</f>
        <v/>
      </c>
      <c r="AX16" s="8" t="str">
        <f>IF(OR($A16="",$C16="",$D16="",$C16&gt;AX$6,$D16&lt;AX$9),"",IF($J16="里程碑","◆",""))</f>
        <v/>
      </c>
      <c r="AY16" s="8" t="str">
        <f>IF(OR($A16="",$C16="",$D16="",$C16&gt;AY$6,$D16&lt;AY$9),"",IF($J16="里程碑","◆",""))</f>
        <v/>
      </c>
      <c r="AZ16" s="8" t="str">
        <f>IF(OR($A16="",$C16="",$D16="",$C16&gt;AZ$6,$D16&lt;AZ$9),"",IF($J16="里程碑","◆",""))</f>
        <v/>
      </c>
      <c r="BA16" s="8" t="str">
        <f>IF(OR($A16="",$C16="",$D16="",$C16&gt;BA$6,$D16&lt;BA$9),"",IF($J16="里程碑","◆",""))</f>
        <v/>
      </c>
      <c r="BB16" s="8" t="str">
        <f>IF(OR($A16="",$C16="",$D16="",$C16&gt;BB$6,$D16&lt;BB$9),"",IF($J16="里程碑","◆",""))</f>
        <v/>
      </c>
      <c r="BC16" s="8" t="str">
        <f>IF(OR($A16="",$C16="",$D16="",$C16&gt;BC$6,$D16&lt;BC$9),"",IF($J16="里程碑","◆",""))</f>
        <v/>
      </c>
      <c r="BD16" s="8" t="str">
        <f>IF(OR($A16="",$C16="",$D16="",$C16&gt;BD$6,$D16&lt;BD$9),"",IF($J16="里程碑","◆",""))</f>
        <v/>
      </c>
      <c r="BE16" s="8" t="str">
        <f>IF(OR($A16="",$C16="",$D16="",$C16&gt;BE$6,$D16&lt;BE$9),"",IF($J16="里程碑","◆",""))</f>
        <v/>
      </c>
      <c r="BF16" s="8" t="str">
        <f>IF(OR($A16="",$C16="",$D16="",$C16&gt;BF$6,$D16&lt;BF$9),"",IF($J16="里程碑","◆",""))</f>
        <v/>
      </c>
      <c r="BG16" s="8" t="str">
        <f>IF(OR($A16="",$C16="",$D16="",$C16&gt;BG$6,$D16&lt;BG$9),"",IF($J16="里程碑","◆",""))</f>
        <v/>
      </c>
      <c r="BH16" s="8" t="str">
        <f>IF(OR($A16="",$C16="",$D16="",$C16&gt;BH$6,$D16&lt;BH$9),"",IF($J16="里程碑","◆",""))</f>
        <v/>
      </c>
      <c r="BI16" s="8" t="str">
        <f>IF(OR($A16="",$C16="",$D16="",$C16&gt;BI$6,$D16&lt;BI$9),"",IF($J16="里程碑","◆",""))</f>
        <v/>
      </c>
      <c r="BJ16" s="8" t="str">
        <f>IF(OR($A16="",$C16="",$D16="",$C16&gt;BJ$6,$D16&lt;BJ$9),"",IF($J16="里程碑","◆",""))</f>
        <v/>
      </c>
      <c r="BK16" s="8" t="str">
        <f>IF(OR($A16="",$C16="",$D16="",$C16&gt;BK$6,$D16&lt;BK$9),"",IF($J16="里程碑","◆",""))</f>
        <v/>
      </c>
      <c r="BL16" s="8" t="str">
        <f>IF(OR($A16="",$C16="",$D16="",$C16&gt;BL$6,$D16&lt;BL$9),"",IF($J16="里程碑","◆",""))</f>
        <v/>
      </c>
      <c r="BM16" s="8" t="str">
        <f>IF(OR($A16="",$C16="",$D16="",$C16&gt;BM$6,$D16&lt;BM$9),"",IF($J16="里程碑","◆",""))</f>
        <v/>
      </c>
      <c r="BN16" s="8" t="str">
        <f>IF(OR($A16="",$C16="",$D16="",$C16&gt;BN$6,$D16&lt;BN$9),"",IF($J16="里程碑","◆",""))</f>
        <v/>
      </c>
      <c r="BO16" s="8" t="str">
        <f>IF(OR($A16="",$C16="",$D16="",$C16&gt;BO$6,$D16&lt;BO$9),"",IF($J16="里程碑","◆",""))</f>
        <v/>
      </c>
      <c r="BP16" s="8" t="str">
        <f>IF(OR($A16="",$C16="",$D16="",$C16&gt;BP$6,$D16&lt;BP$9),"",IF($J16="里程碑","◆",""))</f>
        <v/>
      </c>
      <c r="BQ16" s="8" t="str">
        <f>IF(OR($A16="",$C16="",$D16="",$C16&gt;BQ$6,$D16&lt;BQ$9),"",IF($J16="里程碑","◆",""))</f>
        <v/>
      </c>
      <c r="BR16" s="8" t="str">
        <f>IF(OR($A16="",$C16="",$D16="",$C16&gt;BR$6,$D16&lt;BR$9),"",IF($J16="里程碑","◆",""))</f>
        <v/>
      </c>
      <c r="BS16" s="8" t="str">
        <f>IF(OR($A16="",$C16="",$D16="",$C16&gt;BS$6,$D16&lt;BS$9),"",IF($J16="里程碑","◆",""))</f>
        <v/>
      </c>
      <c r="BT16" s="8" t="str">
        <f>IF(OR($A16="",$C16="",$D16="",$C16&gt;BT$6,$D16&lt;BT$9),"",IF($J16="里程碑","◆",""))</f>
        <v/>
      </c>
      <c r="BU16" s="8" t="str">
        <f>IF(OR($A16="",$C16="",$D16="",$C16&gt;BU$6,$D16&lt;BU$9),"",IF($J16="里程碑","◆",""))</f>
        <v/>
      </c>
      <c r="BV16" s="8" t="str">
        <f>IF(OR($A16="",$C16="",$D16="",$C16&gt;BV$6,$D16&lt;BV$9),"",IF($J16="里程碑","◆",""))</f>
        <v/>
      </c>
      <c r="BW16" s="8" t="str">
        <f>IF(OR($A16="",$C16="",$D16="",$C16&gt;BW$6,$D16&lt;BW$9),"",IF($J16="里程碑","◆",""))</f>
        <v/>
      </c>
      <c r="BX16" s="8" t="str">
        <f>IF(OR($A16="",$C16="",$D16="",$C16&gt;BX$6,$D16&lt;BX$9),"",IF($J16="里程碑","◆",""))</f>
        <v/>
      </c>
      <c r="BY16" s="8" t="str">
        <f>IF(OR($A16="",$C16="",$D16="",$C16&gt;BY$6,$D16&lt;BY$9),"",IF($J16="里程碑","◆",""))</f>
        <v/>
      </c>
      <c r="BZ16" s="8" t="str">
        <f>IF(OR($A16="",$C16="",$D16="",$C16&gt;BZ$6,$D16&lt;BZ$9),"",IF($J16="里程碑","◆",""))</f>
        <v/>
      </c>
      <c r="CA16" s="8" t="str">
        <f>IF(OR($A16="",$C16="",$D16="",$C16&gt;CA$6,$D16&lt;CA$9),"",IF($J16="里程碑","◆",""))</f>
        <v/>
      </c>
      <c r="CB16" s="8" t="str">
        <f>IF(OR($A16="",$C16="",$D16="",$C16&gt;CB$6,$D16&lt;CB$9),"",IF($J16="里程碑","◆",""))</f>
        <v/>
      </c>
      <c r="CC16" s="8" t="str">
        <f>IF(OR($A16="",$C16="",$D16="",$C16&gt;CC$6,$D16&lt;CC$9),"",IF($J16="里程碑","◆",""))</f>
        <v/>
      </c>
      <c r="CD16" s="8" t="str">
        <f>IF(OR($A16="",$C16="",$D16="",$C16&gt;CD$6,$D16&lt;CD$9),"",IF($J16="里程碑","◆",""))</f>
        <v/>
      </c>
      <c r="CE16" s="8" t="str">
        <f>IF(OR($A16="",$C16="",$D16="",$C16&gt;CE$6,$D16&lt;CE$9),"",IF($J16="里程碑","◆",""))</f>
        <v/>
      </c>
      <c r="CF16" s="8" t="str">
        <f>IF(OR($A16="",$C16="",$D16="",$C16&gt;CF$6,$D16&lt;CF$9),"",IF($J16="里程碑","◆",""))</f>
        <v/>
      </c>
      <c r="CG16" s="8" t="str">
        <f>IF(OR($A16="",$C16="",$D16="",$C16&gt;CG$6,$D16&lt;CG$9),"",IF($J16="里程碑","◆",""))</f>
        <v/>
      </c>
      <c r="CH16" s="8" t="str">
        <f>IF(OR($A16="",$C16="",$D16="",$C16&gt;CH$6,$D16&lt;CH$9),"",IF($J16="里程碑","◆",""))</f>
        <v/>
      </c>
      <c r="CI16" s="8" t="str">
        <f>IF(OR($A16="",$C16="",$D16="",$C16&gt;CI$6,$D16&lt;CI$9),"",IF($J16="里程碑","◆",""))</f>
        <v/>
      </c>
      <c r="CJ16" s="8" t="str">
        <f>IF(OR($A16="",$C16="",$D16="",$C16&gt;CJ$6,$D16&lt;CJ$9),"",IF($J16="里程碑","◆",""))</f>
        <v/>
      </c>
      <c r="CK16" s="8" t="str">
        <f>IF(OR($A16="",$C16="",$D16="",$C16&gt;CK$6,$D16&lt;CK$9),"",IF($J16="里程碑","◆",""))</f>
        <v/>
      </c>
      <c r="CL16" s="8" t="str">
        <f>IF(OR($A16="",$C16="",$D16="",$C16&gt;CL$6,$D16&lt;CL$9),"",IF($J16="里程碑","◆",""))</f>
        <v/>
      </c>
      <c r="CM16" s="8" t="str">
        <f>IF(OR($A16="",$C16="",$D16="",$C16&gt;CM$6,$D16&lt;CM$9),"",IF($J16="里程碑","◆",""))</f>
        <v/>
      </c>
      <c r="CN16" s="8" t="str">
        <f>IF(OR($A16="",$C16="",$D16="",$C16&gt;CN$6,$D16&lt;CN$9),"",IF($J16="里程碑","◆",""))</f>
        <v/>
      </c>
      <c r="CO16" s="8" t="str">
        <f>IF(OR($A16="",$C16="",$D16="",$C16&gt;CO$6,$D16&lt;CO$9),"",IF($J16="里程碑","◆",""))</f>
        <v/>
      </c>
      <c r="CP16" s="8" t="str">
        <f>IF(OR($A16="",$C16="",$D16="",$C16&gt;CP$6,$D16&lt;CP$9),"",IF($J16="里程碑","◆",""))</f>
        <v/>
      </c>
      <c r="CQ16" s="8" t="str">
        <f>IF(OR($A16="",$C16="",$D16="",$C16&gt;CQ$6,$D16&lt;CQ$9),"",IF($J16="里程碑","◆",""))</f>
        <v/>
      </c>
      <c r="CR16" s="8" t="str">
        <f>IF(OR($A16="",$C16="",$D16="",$C16&gt;CR$6,$D16&lt;CR$9),"",IF($J16="里程碑","◆",""))</f>
        <v/>
      </c>
      <c r="CS16" s="8" t="str">
        <f>IF(OR($A16="",$C16="",$D16="",$C16&gt;CS$6,$D16&lt;CS$9),"",IF($J16="里程碑","◆",""))</f>
        <v/>
      </c>
      <c r="CT16" s="8" t="str">
        <f>IF(OR($A16="",$C16="",$D16="",$C16&gt;CT$6,$D16&lt;CT$9),"",IF($J16="里程碑","◆",""))</f>
        <v/>
      </c>
      <c r="CU16" s="8" t="str">
        <f>IF(OR($A16="",$C16="",$D16="",$C16&gt;CU$6,$D16&lt;CU$9),"",IF($J16="里程碑","◆",""))</f>
        <v/>
      </c>
      <c r="CV16" s="8" t="str">
        <f>IF(OR($A16="",$C16="",$D16="",$C16&gt;CV$6,$D16&lt;CV$9),"",IF($J16="里程碑","◆",""))</f>
        <v/>
      </c>
      <c r="CW16" s="8" t="str">
        <f>IF(OR($A16="",$C16="",$D16="",$C16&gt;CW$6,$D16&lt;CW$9),"",IF($J16="里程碑","◆",""))</f>
        <v/>
      </c>
      <c r="CX16" s="8" t="str">
        <f>IF(OR($A16="",$C16="",$D16="",$C16&gt;CX$6,$D16&lt;CX$9),"",IF($J16="里程碑","◆",""))</f>
        <v/>
      </c>
      <c r="CY16" s="8" t="str">
        <f>IF(OR($A16="",$C16="",$D16="",$C16&gt;CY$6,$D16&lt;CY$9),"",IF($J16="里程碑","◆",""))</f>
        <v/>
      </c>
      <c r="CZ16" s="8" t="str">
        <f>IF(OR($A16="",$C16="",$D16="",$C16&gt;CZ$6,$D16&lt;CZ$9),"",IF($J16="里程碑","◆",""))</f>
        <v/>
      </c>
      <c r="DA16" s="8" t="str">
        <f>IF(OR($A16="",$C16="",$D16="",$C16&gt;DA$6,$D16&lt;DA$9),"",IF($J16="里程碑","◆",""))</f>
        <v/>
      </c>
      <c r="DB16" s="8" t="str">
        <f>IF(OR($A16="",$C16="",$D16="",$C16&gt;DB$6,$D16&lt;DB$9),"",IF($J16="里程碑","◆",""))</f>
        <v/>
      </c>
      <c r="DC16" s="1">
        <f>IF(ROW()-9&gt;$DH$3,"",MATCH(ROW()-9,排期计算!$U$10:$U$109,0))</f>
        <v>7</v>
      </c>
      <c r="DD16" s="1">
        <f>IF($DC16="","",INDEX(排期计算!$L$10:$L$109,$DC16))</f>
        <v>1</v>
      </c>
      <c r="DE16" s="1"/>
      <c r="DF16" s="1"/>
      <c r="DG16" s="1"/>
      <c r="DH16" s="1"/>
      <c r="DI16" s="1"/>
      <c r="DJ16" s="1"/>
      <c r="DK16" s="1"/>
    </row>
    <row r="17" spans="1:115" ht="24.95" customHeight="1">
      <c r="A17" s="9" t="str">
        <f>IF($DC17="","",IF(AND(INDEX(排期计算!$A$10:$A$109,$DC17)="",NOT(ISNUMBER(INDEX(排期计算!$A$10:$A$109,$DC17)))),"",INDEX(排期计算!$A$10:$A$109,$DC17)))</f>
        <v/>
      </c>
      <c r="B17" s="1" t="str">
        <f>IF($DC17="","",REPT("　",$DD17-1)&amp;INDEX(排期计算!$B$10:$B$109,$DC17))</f>
        <v/>
      </c>
      <c r="C17" s="3" t="str">
        <f>IF($DC17="","",IF(AND(INDEX(排期计算!$M$10:$M$109,$DC17)="",NOT(ISNUMBER(INDEX(排期计算!$M$10:$M$109,$DC17)))),"",INDEX(排期计算!$M$10:$M$109,$DC17)))</f>
        <v/>
      </c>
      <c r="D17" s="3" t="str">
        <f>IF($DC17="","",IF(AND(INDEX(排期计算!$N$10:$N$109,$DC17)="",NOT(ISNUMBER(INDEX(排期计算!$N$10:$N$109,$DC17)))),"",INDEX(排期计算!$N$10:$N$109,$DC17)))</f>
        <v/>
      </c>
      <c r="E17" s="1" t="str">
        <f>IF(OR($C17="",$D17=""),"",IF($J17="里程碑",0,NETWORKDAYS($C17,$D17)))</f>
        <v/>
      </c>
      <c r="F17" s="7" t="str">
        <f>IF($DC17="","",IF(AND(INDEX(排期计算!$O$10:$O$109,$DC17)="",NOT(ISNUMBER(INDEX(排期计算!$O$10:$O$109,$DC17)))),"",INDEX(排期计算!$O$10:$O$109,$DC17)))</f>
        <v/>
      </c>
      <c r="G17" s="8" t="str">
        <f>IF($A17="","",IF(OR($C17="",$D17=""),"未排期",IF($F17&gt;=1,"已完成",IF($D17&lt;$B$4,"逾期",IF($C17&gt;$B$4,"未开始","进行中")))))</f>
        <v/>
      </c>
      <c r="H17" s="1" t="str">
        <f>IF($DC17="","",IF(AND(INDEX(排期计算!$C$10:$C$109,$DC17)="",NOT(ISNUMBER(INDEX(排期计算!$C$10:$C$109,$DC17)))),"",INDEX(排期计算!$C$10:$C$109,$DC17)))</f>
        <v/>
      </c>
      <c r="I17" s="1" t="str">
        <f>IF($DC17="","",IF(AND(INDEX(排期计算!$H$10:$H$109,$DC17)="",NOT(ISNUMBER(INDEX(排期计算!$H$10:$H$109,$DC17)))),"",INDEX(排期计算!$H$10:$H$109,$DC17)))</f>
        <v/>
      </c>
      <c r="J17" s="1" t="str">
        <f>IF($DC17="","",IF(AND(INDEX(排期计算!$K$10:$K$109,$DC17)="",NOT(ISNUMBER(INDEX(排期计算!$K$10:$K$109,$DC17)))),"",INDEX(排期计算!$K$10:$K$109,$DC17)))</f>
        <v/>
      </c>
      <c r="K17" s="8" t="str">
        <f>IF(OR($A17="",$C17="",$D17="",$C17&gt;K$6,$D17&lt;K$9),"",IF($J17="里程碑","◆",""))</f>
        <v/>
      </c>
      <c r="L17" s="8" t="str">
        <f>IF(OR($A17="",$C17="",$D17="",$C17&gt;L$6,$D17&lt;L$9),"",IF($J17="里程碑","◆",""))</f>
        <v/>
      </c>
      <c r="M17" s="8" t="str">
        <f>IF(OR($A17="",$C17="",$D17="",$C17&gt;M$6,$D17&lt;M$9),"",IF($J17="里程碑","◆",""))</f>
        <v/>
      </c>
      <c r="N17" s="8" t="str">
        <f>IF(OR($A17="",$C17="",$D17="",$C17&gt;N$6,$D17&lt;N$9),"",IF($J17="里程碑","◆",""))</f>
        <v/>
      </c>
      <c r="O17" s="8" t="str">
        <f>IF(OR($A17="",$C17="",$D17="",$C17&gt;O$6,$D17&lt;O$9),"",IF($J17="里程碑","◆",""))</f>
        <v/>
      </c>
      <c r="P17" s="8" t="str">
        <f>IF(OR($A17="",$C17="",$D17="",$C17&gt;P$6,$D17&lt;P$9),"",IF($J17="里程碑","◆",""))</f>
        <v/>
      </c>
      <c r="Q17" s="8" t="str">
        <f>IF(OR($A17="",$C17="",$D17="",$C17&gt;Q$6,$D17&lt;Q$9),"",IF($J17="里程碑","◆",""))</f>
        <v/>
      </c>
      <c r="R17" s="8" t="str">
        <f>IF(OR($A17="",$C17="",$D17="",$C17&gt;R$6,$D17&lt;R$9),"",IF($J17="里程碑","◆",""))</f>
        <v/>
      </c>
      <c r="S17" s="8" t="str">
        <f>IF(OR($A17="",$C17="",$D17="",$C17&gt;S$6,$D17&lt;S$9),"",IF($J17="里程碑","◆",""))</f>
        <v/>
      </c>
      <c r="T17" s="8" t="str">
        <f>IF(OR($A17="",$C17="",$D17="",$C17&gt;T$6,$D17&lt;T$9),"",IF($J17="里程碑","◆",""))</f>
        <v/>
      </c>
      <c r="U17" s="8" t="str">
        <f>IF(OR($A17="",$C17="",$D17="",$C17&gt;U$6,$D17&lt;U$9),"",IF($J17="里程碑","◆",""))</f>
        <v/>
      </c>
      <c r="V17" s="8" t="str">
        <f>IF(OR($A17="",$C17="",$D17="",$C17&gt;V$6,$D17&lt;V$9),"",IF($J17="里程碑","◆",""))</f>
        <v/>
      </c>
      <c r="W17" s="8" t="str">
        <f>IF(OR($A17="",$C17="",$D17="",$C17&gt;W$6,$D17&lt;W$9),"",IF($J17="里程碑","◆",""))</f>
        <v/>
      </c>
      <c r="X17" s="8" t="str">
        <f>IF(OR($A17="",$C17="",$D17="",$C17&gt;X$6,$D17&lt;X$9),"",IF($J17="里程碑","◆",""))</f>
        <v/>
      </c>
      <c r="Y17" s="8" t="str">
        <f>IF(OR($A17="",$C17="",$D17="",$C17&gt;Y$6,$D17&lt;Y$9),"",IF($J17="里程碑","◆",""))</f>
        <v/>
      </c>
      <c r="Z17" s="8" t="str">
        <f>IF(OR($A17="",$C17="",$D17="",$C17&gt;Z$6,$D17&lt;Z$9),"",IF($J17="里程碑","◆",""))</f>
        <v/>
      </c>
      <c r="AA17" s="8" t="str">
        <f>IF(OR($A17="",$C17="",$D17="",$C17&gt;AA$6,$D17&lt;AA$9),"",IF($J17="里程碑","◆",""))</f>
        <v/>
      </c>
      <c r="AB17" s="8" t="str">
        <f>IF(OR($A17="",$C17="",$D17="",$C17&gt;AB$6,$D17&lt;AB$9),"",IF($J17="里程碑","◆",""))</f>
        <v/>
      </c>
      <c r="AC17" s="8" t="str">
        <f>IF(OR($A17="",$C17="",$D17="",$C17&gt;AC$6,$D17&lt;AC$9),"",IF($J17="里程碑","◆",""))</f>
        <v/>
      </c>
      <c r="AD17" s="8" t="str">
        <f>IF(OR($A17="",$C17="",$D17="",$C17&gt;AD$6,$D17&lt;AD$9),"",IF($J17="里程碑","◆",""))</f>
        <v/>
      </c>
      <c r="AE17" s="8" t="str">
        <f>IF(OR($A17="",$C17="",$D17="",$C17&gt;AE$6,$D17&lt;AE$9),"",IF($J17="里程碑","◆",""))</f>
        <v/>
      </c>
      <c r="AF17" s="8" t="str">
        <f>IF(OR($A17="",$C17="",$D17="",$C17&gt;AF$6,$D17&lt;AF$9),"",IF($J17="里程碑","◆",""))</f>
        <v/>
      </c>
      <c r="AG17" s="8" t="str">
        <f>IF(OR($A17="",$C17="",$D17="",$C17&gt;AG$6,$D17&lt;AG$9),"",IF($J17="里程碑","◆",""))</f>
        <v/>
      </c>
      <c r="AH17" s="8" t="str">
        <f>IF(OR($A17="",$C17="",$D17="",$C17&gt;AH$6,$D17&lt;AH$9),"",IF($J17="里程碑","◆",""))</f>
        <v/>
      </c>
      <c r="AI17" s="8" t="str">
        <f>IF(OR($A17="",$C17="",$D17="",$C17&gt;AI$6,$D17&lt;AI$9),"",IF($J17="里程碑","◆",""))</f>
        <v/>
      </c>
      <c r="AJ17" s="8" t="str">
        <f>IF(OR($A17="",$C17="",$D17="",$C17&gt;AJ$6,$D17&lt;AJ$9),"",IF($J17="里程碑","◆",""))</f>
        <v/>
      </c>
      <c r="AK17" s="8" t="str">
        <f>IF(OR($A17="",$C17="",$D17="",$C17&gt;AK$6,$D17&lt;AK$9),"",IF($J17="里程碑","◆",""))</f>
        <v/>
      </c>
      <c r="AL17" s="8" t="str">
        <f>IF(OR($A17="",$C17="",$D17="",$C17&gt;AL$6,$D17&lt;AL$9),"",IF($J17="里程碑","◆",""))</f>
        <v/>
      </c>
      <c r="AM17" s="8" t="str">
        <f>IF(OR($A17="",$C17="",$D17="",$C17&gt;AM$6,$D17&lt;AM$9),"",IF($J17="里程碑","◆",""))</f>
        <v/>
      </c>
      <c r="AN17" s="8" t="str">
        <f>IF(OR($A17="",$C17="",$D17="",$C17&gt;AN$6,$D17&lt;AN$9),"",IF($J17="里程碑","◆",""))</f>
        <v/>
      </c>
      <c r="AO17" s="8" t="str">
        <f>IF(OR($A17="",$C17="",$D17="",$C17&gt;AO$6,$D17&lt;AO$9),"",IF($J17="里程碑","◆",""))</f>
        <v/>
      </c>
      <c r="AP17" s="8" t="str">
        <f>IF(OR($A17="",$C17="",$D17="",$C17&gt;AP$6,$D17&lt;AP$9),"",IF($J17="里程碑","◆",""))</f>
        <v/>
      </c>
      <c r="AQ17" s="8" t="str">
        <f>IF(OR($A17="",$C17="",$D17="",$C17&gt;AQ$6,$D17&lt;AQ$9),"",IF($J17="里程碑","◆",""))</f>
        <v/>
      </c>
      <c r="AR17" s="8" t="str">
        <f>IF(OR($A17="",$C17="",$D17="",$C17&gt;AR$6,$D17&lt;AR$9),"",IF($J17="里程碑","◆",""))</f>
        <v/>
      </c>
      <c r="AS17" s="8" t="str">
        <f>IF(OR($A17="",$C17="",$D17="",$C17&gt;AS$6,$D17&lt;AS$9),"",IF($J17="里程碑","◆",""))</f>
        <v/>
      </c>
      <c r="AT17" s="8" t="str">
        <f>IF(OR($A17="",$C17="",$D17="",$C17&gt;AT$6,$D17&lt;AT$9),"",IF($J17="里程碑","◆",""))</f>
        <v/>
      </c>
      <c r="AU17" s="8" t="str">
        <f>IF(OR($A17="",$C17="",$D17="",$C17&gt;AU$6,$D17&lt;AU$9),"",IF($J17="里程碑","◆",""))</f>
        <v/>
      </c>
      <c r="AV17" s="8" t="str">
        <f>IF(OR($A17="",$C17="",$D17="",$C17&gt;AV$6,$D17&lt;AV$9),"",IF($J17="里程碑","◆",""))</f>
        <v/>
      </c>
      <c r="AW17" s="8" t="str">
        <f>IF(OR($A17="",$C17="",$D17="",$C17&gt;AW$6,$D17&lt;AW$9),"",IF($J17="里程碑","◆",""))</f>
        <v/>
      </c>
      <c r="AX17" s="8" t="str">
        <f>IF(OR($A17="",$C17="",$D17="",$C17&gt;AX$6,$D17&lt;AX$9),"",IF($J17="里程碑","◆",""))</f>
        <v/>
      </c>
      <c r="AY17" s="8" t="str">
        <f>IF(OR($A17="",$C17="",$D17="",$C17&gt;AY$6,$D17&lt;AY$9),"",IF($J17="里程碑","◆",""))</f>
        <v/>
      </c>
      <c r="AZ17" s="8" t="str">
        <f>IF(OR($A17="",$C17="",$D17="",$C17&gt;AZ$6,$D17&lt;AZ$9),"",IF($J17="里程碑","◆",""))</f>
        <v/>
      </c>
      <c r="BA17" s="8" t="str">
        <f>IF(OR($A17="",$C17="",$D17="",$C17&gt;BA$6,$D17&lt;BA$9),"",IF($J17="里程碑","◆",""))</f>
        <v/>
      </c>
      <c r="BB17" s="8" t="str">
        <f>IF(OR($A17="",$C17="",$D17="",$C17&gt;BB$6,$D17&lt;BB$9),"",IF($J17="里程碑","◆",""))</f>
        <v/>
      </c>
      <c r="BC17" s="8" t="str">
        <f>IF(OR($A17="",$C17="",$D17="",$C17&gt;BC$6,$D17&lt;BC$9),"",IF($J17="里程碑","◆",""))</f>
        <v/>
      </c>
      <c r="BD17" s="8" t="str">
        <f>IF(OR($A17="",$C17="",$D17="",$C17&gt;BD$6,$D17&lt;BD$9),"",IF($J17="里程碑","◆",""))</f>
        <v/>
      </c>
      <c r="BE17" s="8" t="str">
        <f>IF(OR($A17="",$C17="",$D17="",$C17&gt;BE$6,$D17&lt;BE$9),"",IF($J17="里程碑","◆",""))</f>
        <v/>
      </c>
      <c r="BF17" s="8" t="str">
        <f>IF(OR($A17="",$C17="",$D17="",$C17&gt;BF$6,$D17&lt;BF$9),"",IF($J17="里程碑","◆",""))</f>
        <v/>
      </c>
      <c r="BG17" s="8" t="str">
        <f>IF(OR($A17="",$C17="",$D17="",$C17&gt;BG$6,$D17&lt;BG$9),"",IF($J17="里程碑","◆",""))</f>
        <v/>
      </c>
      <c r="BH17" s="8" t="str">
        <f>IF(OR($A17="",$C17="",$D17="",$C17&gt;BH$6,$D17&lt;BH$9),"",IF($J17="里程碑","◆",""))</f>
        <v/>
      </c>
      <c r="BI17" s="8" t="str">
        <f>IF(OR($A17="",$C17="",$D17="",$C17&gt;BI$6,$D17&lt;BI$9),"",IF($J17="里程碑","◆",""))</f>
        <v/>
      </c>
      <c r="BJ17" s="8" t="str">
        <f>IF(OR($A17="",$C17="",$D17="",$C17&gt;BJ$6,$D17&lt;BJ$9),"",IF($J17="里程碑","◆",""))</f>
        <v/>
      </c>
      <c r="BK17" s="8" t="str">
        <f>IF(OR($A17="",$C17="",$D17="",$C17&gt;BK$6,$D17&lt;BK$9),"",IF($J17="里程碑","◆",""))</f>
        <v/>
      </c>
      <c r="BL17" s="8" t="str">
        <f>IF(OR($A17="",$C17="",$D17="",$C17&gt;BL$6,$D17&lt;BL$9),"",IF($J17="里程碑","◆",""))</f>
        <v/>
      </c>
      <c r="BM17" s="8" t="str">
        <f>IF(OR($A17="",$C17="",$D17="",$C17&gt;BM$6,$D17&lt;BM$9),"",IF($J17="里程碑","◆",""))</f>
        <v/>
      </c>
      <c r="BN17" s="8" t="str">
        <f>IF(OR($A17="",$C17="",$D17="",$C17&gt;BN$6,$D17&lt;BN$9),"",IF($J17="里程碑","◆",""))</f>
        <v/>
      </c>
      <c r="BO17" s="8" t="str">
        <f>IF(OR($A17="",$C17="",$D17="",$C17&gt;BO$6,$D17&lt;BO$9),"",IF($J17="里程碑","◆",""))</f>
        <v/>
      </c>
      <c r="BP17" s="8" t="str">
        <f>IF(OR($A17="",$C17="",$D17="",$C17&gt;BP$6,$D17&lt;BP$9),"",IF($J17="里程碑","◆",""))</f>
        <v/>
      </c>
      <c r="BQ17" s="8" t="str">
        <f>IF(OR($A17="",$C17="",$D17="",$C17&gt;BQ$6,$D17&lt;BQ$9),"",IF($J17="里程碑","◆",""))</f>
        <v/>
      </c>
      <c r="BR17" s="8" t="str">
        <f>IF(OR($A17="",$C17="",$D17="",$C17&gt;BR$6,$D17&lt;BR$9),"",IF($J17="里程碑","◆",""))</f>
        <v/>
      </c>
      <c r="BS17" s="8" t="str">
        <f>IF(OR($A17="",$C17="",$D17="",$C17&gt;BS$6,$D17&lt;BS$9),"",IF($J17="里程碑","◆",""))</f>
        <v/>
      </c>
      <c r="BT17" s="8" t="str">
        <f>IF(OR($A17="",$C17="",$D17="",$C17&gt;BT$6,$D17&lt;BT$9),"",IF($J17="里程碑","◆",""))</f>
        <v/>
      </c>
      <c r="BU17" s="8" t="str">
        <f>IF(OR($A17="",$C17="",$D17="",$C17&gt;BU$6,$D17&lt;BU$9),"",IF($J17="里程碑","◆",""))</f>
        <v/>
      </c>
      <c r="BV17" s="8" t="str">
        <f>IF(OR($A17="",$C17="",$D17="",$C17&gt;BV$6,$D17&lt;BV$9),"",IF($J17="里程碑","◆",""))</f>
        <v/>
      </c>
      <c r="BW17" s="8" t="str">
        <f>IF(OR($A17="",$C17="",$D17="",$C17&gt;BW$6,$D17&lt;BW$9),"",IF($J17="里程碑","◆",""))</f>
        <v/>
      </c>
      <c r="BX17" s="8" t="str">
        <f>IF(OR($A17="",$C17="",$D17="",$C17&gt;BX$6,$D17&lt;BX$9),"",IF($J17="里程碑","◆",""))</f>
        <v/>
      </c>
      <c r="BY17" s="8" t="str">
        <f>IF(OR($A17="",$C17="",$D17="",$C17&gt;BY$6,$D17&lt;BY$9),"",IF($J17="里程碑","◆",""))</f>
        <v/>
      </c>
      <c r="BZ17" s="8" t="str">
        <f>IF(OR($A17="",$C17="",$D17="",$C17&gt;BZ$6,$D17&lt;BZ$9),"",IF($J17="里程碑","◆",""))</f>
        <v/>
      </c>
      <c r="CA17" s="8" t="str">
        <f>IF(OR($A17="",$C17="",$D17="",$C17&gt;CA$6,$D17&lt;CA$9),"",IF($J17="里程碑","◆",""))</f>
        <v/>
      </c>
      <c r="CB17" s="8" t="str">
        <f>IF(OR($A17="",$C17="",$D17="",$C17&gt;CB$6,$D17&lt;CB$9),"",IF($J17="里程碑","◆",""))</f>
        <v/>
      </c>
      <c r="CC17" s="8" t="str">
        <f>IF(OR($A17="",$C17="",$D17="",$C17&gt;CC$6,$D17&lt;CC$9),"",IF($J17="里程碑","◆",""))</f>
        <v/>
      </c>
      <c r="CD17" s="8" t="str">
        <f>IF(OR($A17="",$C17="",$D17="",$C17&gt;CD$6,$D17&lt;CD$9),"",IF($J17="里程碑","◆",""))</f>
        <v/>
      </c>
      <c r="CE17" s="8" t="str">
        <f>IF(OR($A17="",$C17="",$D17="",$C17&gt;CE$6,$D17&lt;CE$9),"",IF($J17="里程碑","◆",""))</f>
        <v/>
      </c>
      <c r="CF17" s="8" t="str">
        <f>IF(OR($A17="",$C17="",$D17="",$C17&gt;CF$6,$D17&lt;CF$9),"",IF($J17="里程碑","◆",""))</f>
        <v/>
      </c>
      <c r="CG17" s="8" t="str">
        <f>IF(OR($A17="",$C17="",$D17="",$C17&gt;CG$6,$D17&lt;CG$9),"",IF($J17="里程碑","◆",""))</f>
        <v/>
      </c>
      <c r="CH17" s="8" t="str">
        <f>IF(OR($A17="",$C17="",$D17="",$C17&gt;CH$6,$D17&lt;CH$9),"",IF($J17="里程碑","◆",""))</f>
        <v/>
      </c>
      <c r="CI17" s="8" t="str">
        <f>IF(OR($A17="",$C17="",$D17="",$C17&gt;CI$6,$D17&lt;CI$9),"",IF($J17="里程碑","◆",""))</f>
        <v/>
      </c>
      <c r="CJ17" s="8" t="str">
        <f>IF(OR($A17="",$C17="",$D17="",$C17&gt;CJ$6,$D17&lt;CJ$9),"",IF($J17="里程碑","◆",""))</f>
        <v/>
      </c>
      <c r="CK17" s="8" t="str">
        <f>IF(OR($A17="",$C17="",$D17="",$C17&gt;CK$6,$D17&lt;CK$9),"",IF($J17="里程碑","◆",""))</f>
        <v/>
      </c>
      <c r="CL17" s="8" t="str">
        <f>IF(OR($A17="",$C17="",$D17="",$C17&gt;CL$6,$D17&lt;CL$9),"",IF($J17="里程碑","◆",""))</f>
        <v/>
      </c>
      <c r="CM17" s="8" t="str">
        <f>IF(OR($A17="",$C17="",$D17="",$C17&gt;CM$6,$D17&lt;CM$9),"",IF($J17="里程碑","◆",""))</f>
        <v/>
      </c>
      <c r="CN17" s="8" t="str">
        <f>IF(OR($A17="",$C17="",$D17="",$C17&gt;CN$6,$D17&lt;CN$9),"",IF($J17="里程碑","◆",""))</f>
        <v/>
      </c>
      <c r="CO17" s="8" t="str">
        <f>IF(OR($A17="",$C17="",$D17="",$C17&gt;CO$6,$D17&lt;CO$9),"",IF($J17="里程碑","◆",""))</f>
        <v/>
      </c>
      <c r="CP17" s="8" t="str">
        <f>IF(OR($A17="",$C17="",$D17="",$C17&gt;CP$6,$D17&lt;CP$9),"",IF($J17="里程碑","◆",""))</f>
        <v/>
      </c>
      <c r="CQ17" s="8" t="str">
        <f>IF(OR($A17="",$C17="",$D17="",$C17&gt;CQ$6,$D17&lt;CQ$9),"",IF($J17="里程碑","◆",""))</f>
        <v/>
      </c>
      <c r="CR17" s="8" t="str">
        <f>IF(OR($A17="",$C17="",$D17="",$C17&gt;CR$6,$D17&lt;CR$9),"",IF($J17="里程碑","◆",""))</f>
        <v/>
      </c>
      <c r="CS17" s="8" t="str">
        <f>IF(OR($A17="",$C17="",$D17="",$C17&gt;CS$6,$D17&lt;CS$9),"",IF($J17="里程碑","◆",""))</f>
        <v/>
      </c>
      <c r="CT17" s="8" t="str">
        <f>IF(OR($A17="",$C17="",$D17="",$C17&gt;CT$6,$D17&lt;CT$9),"",IF($J17="里程碑","◆",""))</f>
        <v/>
      </c>
      <c r="CU17" s="8" t="str">
        <f>IF(OR($A17="",$C17="",$D17="",$C17&gt;CU$6,$D17&lt;CU$9),"",IF($J17="里程碑","◆",""))</f>
        <v/>
      </c>
      <c r="CV17" s="8" t="str">
        <f>IF(OR($A17="",$C17="",$D17="",$C17&gt;CV$6,$D17&lt;CV$9),"",IF($J17="里程碑","◆",""))</f>
        <v/>
      </c>
      <c r="CW17" s="8" t="str">
        <f>IF(OR($A17="",$C17="",$D17="",$C17&gt;CW$6,$D17&lt;CW$9),"",IF($J17="里程碑","◆",""))</f>
        <v/>
      </c>
      <c r="CX17" s="8" t="str">
        <f>IF(OR($A17="",$C17="",$D17="",$C17&gt;CX$6,$D17&lt;CX$9),"",IF($J17="里程碑","◆",""))</f>
        <v/>
      </c>
      <c r="CY17" s="8" t="str">
        <f>IF(OR($A17="",$C17="",$D17="",$C17&gt;CY$6,$D17&lt;CY$9),"",IF($J17="里程碑","◆",""))</f>
        <v/>
      </c>
      <c r="CZ17" s="8" t="str">
        <f>IF(OR($A17="",$C17="",$D17="",$C17&gt;CZ$6,$D17&lt;CZ$9),"",IF($J17="里程碑","◆",""))</f>
        <v/>
      </c>
      <c r="DA17" s="8" t="str">
        <f>IF(OR($A17="",$C17="",$D17="",$C17&gt;DA$6,$D17&lt;DA$9),"",IF($J17="里程碑","◆",""))</f>
        <v/>
      </c>
      <c r="DB17" s="8" t="str">
        <f>IF(OR($A17="",$C17="",$D17="",$C17&gt;DB$6,$D17&lt;DB$9),"",IF($J17="里程碑","◆",""))</f>
        <v/>
      </c>
      <c r="DC17" s="1" t="str">
        <f>IF(ROW()-9&gt;$DH$3,"",MATCH(ROW()-9,排期计算!$U$10:$U$109,0))</f>
        <v/>
      </c>
      <c r="DD17" s="1" t="str">
        <f>IF($DC17="","",INDEX(排期计算!$L$10:$L$109,$DC17))</f>
        <v/>
      </c>
      <c r="DE17" s="1"/>
      <c r="DF17" s="1"/>
      <c r="DG17" s="1"/>
      <c r="DH17" s="1"/>
      <c r="DI17" s="1"/>
      <c r="DJ17" s="1"/>
      <c r="DK17" s="1"/>
    </row>
    <row r="18" spans="1:115" ht="24.95" customHeight="1">
      <c r="A18" s="9" t="str">
        <f>IF($DC18="","",IF(AND(INDEX(排期计算!$A$10:$A$109,$DC18)="",NOT(ISNUMBER(INDEX(排期计算!$A$10:$A$109,$DC18)))),"",INDEX(排期计算!$A$10:$A$109,$DC18)))</f>
        <v/>
      </c>
      <c r="B18" s="1" t="str">
        <f>IF($DC18="","",REPT("　",$DD18-1)&amp;INDEX(排期计算!$B$10:$B$109,$DC18))</f>
        <v/>
      </c>
      <c r="C18" s="3" t="str">
        <f>IF($DC18="","",IF(AND(INDEX(排期计算!$M$10:$M$109,$DC18)="",NOT(ISNUMBER(INDEX(排期计算!$M$10:$M$109,$DC18)))),"",INDEX(排期计算!$M$10:$M$109,$DC18)))</f>
        <v/>
      </c>
      <c r="D18" s="3" t="str">
        <f>IF($DC18="","",IF(AND(INDEX(排期计算!$N$10:$N$109,$DC18)="",NOT(ISNUMBER(INDEX(排期计算!$N$10:$N$109,$DC18)))),"",INDEX(排期计算!$N$10:$N$109,$DC18)))</f>
        <v/>
      </c>
      <c r="E18" s="1" t="str">
        <f>IF(OR($C18="",$D18=""),"",IF($J18="里程碑",0,NETWORKDAYS($C18,$D18)))</f>
        <v/>
      </c>
      <c r="F18" s="7" t="str">
        <f>IF($DC18="","",IF(AND(INDEX(排期计算!$O$10:$O$109,$DC18)="",NOT(ISNUMBER(INDEX(排期计算!$O$10:$O$109,$DC18)))),"",INDEX(排期计算!$O$10:$O$109,$DC18)))</f>
        <v/>
      </c>
      <c r="G18" s="8" t="str">
        <f>IF($A18="","",IF(OR($C18="",$D18=""),"未排期",IF($F18&gt;=1,"已完成",IF($D18&lt;$B$4,"逾期",IF($C18&gt;$B$4,"未开始","进行中")))))</f>
        <v/>
      </c>
      <c r="H18" s="1" t="str">
        <f>IF($DC18="","",IF(AND(INDEX(排期计算!$C$10:$C$109,$DC18)="",NOT(ISNUMBER(INDEX(排期计算!$C$10:$C$109,$DC18)))),"",INDEX(排期计算!$C$10:$C$109,$DC18)))</f>
        <v/>
      </c>
      <c r="I18" s="1" t="str">
        <f>IF($DC18="","",IF(AND(INDEX(排期计算!$H$10:$H$109,$DC18)="",NOT(ISNUMBER(INDEX(排期计算!$H$10:$H$109,$DC18)))),"",INDEX(排期计算!$H$10:$H$109,$DC18)))</f>
        <v/>
      </c>
      <c r="J18" s="1" t="str">
        <f>IF($DC18="","",IF(AND(INDEX(排期计算!$K$10:$K$109,$DC18)="",NOT(ISNUMBER(INDEX(排期计算!$K$10:$K$109,$DC18)))),"",INDEX(排期计算!$K$10:$K$109,$DC18)))</f>
        <v/>
      </c>
      <c r="K18" s="8" t="str">
        <f>IF(OR($A18="",$C18="",$D18="",$C18&gt;K$6,$D18&lt;K$9),"",IF($J18="里程碑","◆",""))</f>
        <v/>
      </c>
      <c r="L18" s="8" t="str">
        <f>IF(OR($A18="",$C18="",$D18="",$C18&gt;L$6,$D18&lt;L$9),"",IF($J18="里程碑","◆",""))</f>
        <v/>
      </c>
      <c r="M18" s="8" t="str">
        <f>IF(OR($A18="",$C18="",$D18="",$C18&gt;M$6,$D18&lt;M$9),"",IF($J18="里程碑","◆",""))</f>
        <v/>
      </c>
      <c r="N18" s="8" t="str">
        <f>IF(OR($A18="",$C18="",$D18="",$C18&gt;N$6,$D18&lt;N$9),"",IF($J18="里程碑","◆",""))</f>
        <v/>
      </c>
      <c r="O18" s="8" t="str">
        <f>IF(OR($A18="",$C18="",$D18="",$C18&gt;O$6,$D18&lt;O$9),"",IF($J18="里程碑","◆",""))</f>
        <v/>
      </c>
      <c r="P18" s="8" t="str">
        <f>IF(OR($A18="",$C18="",$D18="",$C18&gt;P$6,$D18&lt;P$9),"",IF($J18="里程碑","◆",""))</f>
        <v/>
      </c>
      <c r="Q18" s="8" t="str">
        <f>IF(OR($A18="",$C18="",$D18="",$C18&gt;Q$6,$D18&lt;Q$9),"",IF($J18="里程碑","◆",""))</f>
        <v/>
      </c>
      <c r="R18" s="8" t="str">
        <f>IF(OR($A18="",$C18="",$D18="",$C18&gt;R$6,$D18&lt;R$9),"",IF($J18="里程碑","◆",""))</f>
        <v/>
      </c>
      <c r="S18" s="8" t="str">
        <f>IF(OR($A18="",$C18="",$D18="",$C18&gt;S$6,$D18&lt;S$9),"",IF($J18="里程碑","◆",""))</f>
        <v/>
      </c>
      <c r="T18" s="8" t="str">
        <f>IF(OR($A18="",$C18="",$D18="",$C18&gt;T$6,$D18&lt;T$9),"",IF($J18="里程碑","◆",""))</f>
        <v/>
      </c>
      <c r="U18" s="8" t="str">
        <f>IF(OR($A18="",$C18="",$D18="",$C18&gt;U$6,$D18&lt;U$9),"",IF($J18="里程碑","◆",""))</f>
        <v/>
      </c>
      <c r="V18" s="8" t="str">
        <f>IF(OR($A18="",$C18="",$D18="",$C18&gt;V$6,$D18&lt;V$9),"",IF($J18="里程碑","◆",""))</f>
        <v/>
      </c>
      <c r="W18" s="8" t="str">
        <f>IF(OR($A18="",$C18="",$D18="",$C18&gt;W$6,$D18&lt;W$9),"",IF($J18="里程碑","◆",""))</f>
        <v/>
      </c>
      <c r="X18" s="8" t="str">
        <f>IF(OR($A18="",$C18="",$D18="",$C18&gt;X$6,$D18&lt;X$9),"",IF($J18="里程碑","◆",""))</f>
        <v/>
      </c>
      <c r="Y18" s="8" t="str">
        <f>IF(OR($A18="",$C18="",$D18="",$C18&gt;Y$6,$D18&lt;Y$9),"",IF($J18="里程碑","◆",""))</f>
        <v/>
      </c>
      <c r="Z18" s="8" t="str">
        <f>IF(OR($A18="",$C18="",$D18="",$C18&gt;Z$6,$D18&lt;Z$9),"",IF($J18="里程碑","◆",""))</f>
        <v/>
      </c>
      <c r="AA18" s="8" t="str">
        <f>IF(OR($A18="",$C18="",$D18="",$C18&gt;AA$6,$D18&lt;AA$9),"",IF($J18="里程碑","◆",""))</f>
        <v/>
      </c>
      <c r="AB18" s="8" t="str">
        <f>IF(OR($A18="",$C18="",$D18="",$C18&gt;AB$6,$D18&lt;AB$9),"",IF($J18="里程碑","◆",""))</f>
        <v/>
      </c>
      <c r="AC18" s="8" t="str">
        <f>IF(OR($A18="",$C18="",$D18="",$C18&gt;AC$6,$D18&lt;AC$9),"",IF($J18="里程碑","◆",""))</f>
        <v/>
      </c>
      <c r="AD18" s="8" t="str">
        <f>IF(OR($A18="",$C18="",$D18="",$C18&gt;AD$6,$D18&lt;AD$9),"",IF($J18="里程碑","◆",""))</f>
        <v/>
      </c>
      <c r="AE18" s="8" t="str">
        <f>IF(OR($A18="",$C18="",$D18="",$C18&gt;AE$6,$D18&lt;AE$9),"",IF($J18="里程碑","◆",""))</f>
        <v/>
      </c>
      <c r="AF18" s="8" t="str">
        <f>IF(OR($A18="",$C18="",$D18="",$C18&gt;AF$6,$D18&lt;AF$9),"",IF($J18="里程碑","◆",""))</f>
        <v/>
      </c>
      <c r="AG18" s="8" t="str">
        <f>IF(OR($A18="",$C18="",$D18="",$C18&gt;AG$6,$D18&lt;AG$9),"",IF($J18="里程碑","◆",""))</f>
        <v/>
      </c>
      <c r="AH18" s="8" t="str">
        <f>IF(OR($A18="",$C18="",$D18="",$C18&gt;AH$6,$D18&lt;AH$9),"",IF($J18="里程碑","◆",""))</f>
        <v/>
      </c>
      <c r="AI18" s="8" t="str">
        <f>IF(OR($A18="",$C18="",$D18="",$C18&gt;AI$6,$D18&lt;AI$9),"",IF($J18="里程碑","◆",""))</f>
        <v/>
      </c>
      <c r="AJ18" s="8" t="str">
        <f>IF(OR($A18="",$C18="",$D18="",$C18&gt;AJ$6,$D18&lt;AJ$9),"",IF($J18="里程碑","◆",""))</f>
        <v/>
      </c>
      <c r="AK18" s="8" t="str">
        <f>IF(OR($A18="",$C18="",$D18="",$C18&gt;AK$6,$D18&lt;AK$9),"",IF($J18="里程碑","◆",""))</f>
        <v/>
      </c>
      <c r="AL18" s="8" t="str">
        <f>IF(OR($A18="",$C18="",$D18="",$C18&gt;AL$6,$D18&lt;AL$9),"",IF($J18="里程碑","◆",""))</f>
        <v/>
      </c>
      <c r="AM18" s="8" t="str">
        <f>IF(OR($A18="",$C18="",$D18="",$C18&gt;AM$6,$D18&lt;AM$9),"",IF($J18="里程碑","◆",""))</f>
        <v/>
      </c>
      <c r="AN18" s="8" t="str">
        <f>IF(OR($A18="",$C18="",$D18="",$C18&gt;AN$6,$D18&lt;AN$9),"",IF($J18="里程碑","◆",""))</f>
        <v/>
      </c>
      <c r="AO18" s="8" t="str">
        <f>IF(OR($A18="",$C18="",$D18="",$C18&gt;AO$6,$D18&lt;AO$9),"",IF($J18="里程碑","◆",""))</f>
        <v/>
      </c>
      <c r="AP18" s="8" t="str">
        <f>IF(OR($A18="",$C18="",$D18="",$C18&gt;AP$6,$D18&lt;AP$9),"",IF($J18="里程碑","◆",""))</f>
        <v/>
      </c>
      <c r="AQ18" s="8" t="str">
        <f>IF(OR($A18="",$C18="",$D18="",$C18&gt;AQ$6,$D18&lt;AQ$9),"",IF($J18="里程碑","◆",""))</f>
        <v/>
      </c>
      <c r="AR18" s="8" t="str">
        <f>IF(OR($A18="",$C18="",$D18="",$C18&gt;AR$6,$D18&lt;AR$9),"",IF($J18="里程碑","◆",""))</f>
        <v/>
      </c>
      <c r="AS18" s="8" t="str">
        <f>IF(OR($A18="",$C18="",$D18="",$C18&gt;AS$6,$D18&lt;AS$9),"",IF($J18="里程碑","◆",""))</f>
        <v/>
      </c>
      <c r="AT18" s="8" t="str">
        <f>IF(OR($A18="",$C18="",$D18="",$C18&gt;AT$6,$D18&lt;AT$9),"",IF($J18="里程碑","◆",""))</f>
        <v/>
      </c>
      <c r="AU18" s="8" t="str">
        <f>IF(OR($A18="",$C18="",$D18="",$C18&gt;AU$6,$D18&lt;AU$9),"",IF($J18="里程碑","◆",""))</f>
        <v/>
      </c>
      <c r="AV18" s="8" t="str">
        <f>IF(OR($A18="",$C18="",$D18="",$C18&gt;AV$6,$D18&lt;AV$9),"",IF($J18="里程碑","◆",""))</f>
        <v/>
      </c>
      <c r="AW18" s="8" t="str">
        <f>IF(OR($A18="",$C18="",$D18="",$C18&gt;AW$6,$D18&lt;AW$9),"",IF($J18="里程碑","◆",""))</f>
        <v/>
      </c>
      <c r="AX18" s="8" t="str">
        <f>IF(OR($A18="",$C18="",$D18="",$C18&gt;AX$6,$D18&lt;AX$9),"",IF($J18="里程碑","◆",""))</f>
        <v/>
      </c>
      <c r="AY18" s="8" t="str">
        <f>IF(OR($A18="",$C18="",$D18="",$C18&gt;AY$6,$D18&lt;AY$9),"",IF($J18="里程碑","◆",""))</f>
        <v/>
      </c>
      <c r="AZ18" s="8" t="str">
        <f>IF(OR($A18="",$C18="",$D18="",$C18&gt;AZ$6,$D18&lt;AZ$9),"",IF($J18="里程碑","◆",""))</f>
        <v/>
      </c>
      <c r="BA18" s="8" t="str">
        <f>IF(OR($A18="",$C18="",$D18="",$C18&gt;BA$6,$D18&lt;BA$9),"",IF($J18="里程碑","◆",""))</f>
        <v/>
      </c>
      <c r="BB18" s="8" t="str">
        <f>IF(OR($A18="",$C18="",$D18="",$C18&gt;BB$6,$D18&lt;BB$9),"",IF($J18="里程碑","◆",""))</f>
        <v/>
      </c>
      <c r="BC18" s="8" t="str">
        <f>IF(OR($A18="",$C18="",$D18="",$C18&gt;BC$6,$D18&lt;BC$9),"",IF($J18="里程碑","◆",""))</f>
        <v/>
      </c>
      <c r="BD18" s="8" t="str">
        <f>IF(OR($A18="",$C18="",$D18="",$C18&gt;BD$6,$D18&lt;BD$9),"",IF($J18="里程碑","◆",""))</f>
        <v/>
      </c>
      <c r="BE18" s="8" t="str">
        <f>IF(OR($A18="",$C18="",$D18="",$C18&gt;BE$6,$D18&lt;BE$9),"",IF($J18="里程碑","◆",""))</f>
        <v/>
      </c>
      <c r="BF18" s="8" t="str">
        <f>IF(OR($A18="",$C18="",$D18="",$C18&gt;BF$6,$D18&lt;BF$9),"",IF($J18="里程碑","◆",""))</f>
        <v/>
      </c>
      <c r="BG18" s="8" t="str">
        <f>IF(OR($A18="",$C18="",$D18="",$C18&gt;BG$6,$D18&lt;BG$9),"",IF($J18="里程碑","◆",""))</f>
        <v/>
      </c>
      <c r="BH18" s="8" t="str">
        <f>IF(OR($A18="",$C18="",$D18="",$C18&gt;BH$6,$D18&lt;BH$9),"",IF($J18="里程碑","◆",""))</f>
        <v/>
      </c>
      <c r="BI18" s="8" t="str">
        <f>IF(OR($A18="",$C18="",$D18="",$C18&gt;BI$6,$D18&lt;BI$9),"",IF($J18="里程碑","◆",""))</f>
        <v/>
      </c>
      <c r="BJ18" s="8" t="str">
        <f>IF(OR($A18="",$C18="",$D18="",$C18&gt;BJ$6,$D18&lt;BJ$9),"",IF($J18="里程碑","◆",""))</f>
        <v/>
      </c>
      <c r="BK18" s="8" t="str">
        <f>IF(OR($A18="",$C18="",$D18="",$C18&gt;BK$6,$D18&lt;BK$9),"",IF($J18="里程碑","◆",""))</f>
        <v/>
      </c>
      <c r="BL18" s="8" t="str">
        <f>IF(OR($A18="",$C18="",$D18="",$C18&gt;BL$6,$D18&lt;BL$9),"",IF($J18="里程碑","◆",""))</f>
        <v/>
      </c>
      <c r="BM18" s="8" t="str">
        <f>IF(OR($A18="",$C18="",$D18="",$C18&gt;BM$6,$D18&lt;BM$9),"",IF($J18="里程碑","◆",""))</f>
        <v/>
      </c>
      <c r="BN18" s="8" t="str">
        <f>IF(OR($A18="",$C18="",$D18="",$C18&gt;BN$6,$D18&lt;BN$9),"",IF($J18="里程碑","◆",""))</f>
        <v/>
      </c>
      <c r="BO18" s="8" t="str">
        <f>IF(OR($A18="",$C18="",$D18="",$C18&gt;BO$6,$D18&lt;BO$9),"",IF($J18="里程碑","◆",""))</f>
        <v/>
      </c>
      <c r="BP18" s="8" t="str">
        <f>IF(OR($A18="",$C18="",$D18="",$C18&gt;BP$6,$D18&lt;BP$9),"",IF($J18="里程碑","◆",""))</f>
        <v/>
      </c>
      <c r="BQ18" s="8" t="str">
        <f>IF(OR($A18="",$C18="",$D18="",$C18&gt;BQ$6,$D18&lt;BQ$9),"",IF($J18="里程碑","◆",""))</f>
        <v/>
      </c>
      <c r="BR18" s="8" t="str">
        <f>IF(OR($A18="",$C18="",$D18="",$C18&gt;BR$6,$D18&lt;BR$9),"",IF($J18="里程碑","◆",""))</f>
        <v/>
      </c>
      <c r="BS18" s="8" t="str">
        <f>IF(OR($A18="",$C18="",$D18="",$C18&gt;BS$6,$D18&lt;BS$9),"",IF($J18="里程碑","◆",""))</f>
        <v/>
      </c>
      <c r="BT18" s="8" t="str">
        <f>IF(OR($A18="",$C18="",$D18="",$C18&gt;BT$6,$D18&lt;BT$9),"",IF($J18="里程碑","◆",""))</f>
        <v/>
      </c>
      <c r="BU18" s="8" t="str">
        <f>IF(OR($A18="",$C18="",$D18="",$C18&gt;BU$6,$D18&lt;BU$9),"",IF($J18="里程碑","◆",""))</f>
        <v/>
      </c>
      <c r="BV18" s="8" t="str">
        <f>IF(OR($A18="",$C18="",$D18="",$C18&gt;BV$6,$D18&lt;BV$9),"",IF($J18="里程碑","◆",""))</f>
        <v/>
      </c>
      <c r="BW18" s="8" t="str">
        <f>IF(OR($A18="",$C18="",$D18="",$C18&gt;BW$6,$D18&lt;BW$9),"",IF($J18="里程碑","◆",""))</f>
        <v/>
      </c>
      <c r="BX18" s="8" t="str">
        <f>IF(OR($A18="",$C18="",$D18="",$C18&gt;BX$6,$D18&lt;BX$9),"",IF($J18="里程碑","◆",""))</f>
        <v/>
      </c>
      <c r="BY18" s="8" t="str">
        <f>IF(OR($A18="",$C18="",$D18="",$C18&gt;BY$6,$D18&lt;BY$9),"",IF($J18="里程碑","◆",""))</f>
        <v/>
      </c>
      <c r="BZ18" s="8" t="str">
        <f>IF(OR($A18="",$C18="",$D18="",$C18&gt;BZ$6,$D18&lt;BZ$9),"",IF($J18="里程碑","◆",""))</f>
        <v/>
      </c>
      <c r="CA18" s="8" t="str">
        <f>IF(OR($A18="",$C18="",$D18="",$C18&gt;CA$6,$D18&lt;CA$9),"",IF($J18="里程碑","◆",""))</f>
        <v/>
      </c>
      <c r="CB18" s="8" t="str">
        <f>IF(OR($A18="",$C18="",$D18="",$C18&gt;CB$6,$D18&lt;CB$9),"",IF($J18="里程碑","◆",""))</f>
        <v/>
      </c>
      <c r="CC18" s="8" t="str">
        <f>IF(OR($A18="",$C18="",$D18="",$C18&gt;CC$6,$D18&lt;CC$9),"",IF($J18="里程碑","◆",""))</f>
        <v/>
      </c>
      <c r="CD18" s="8" t="str">
        <f>IF(OR($A18="",$C18="",$D18="",$C18&gt;CD$6,$D18&lt;CD$9),"",IF($J18="里程碑","◆",""))</f>
        <v/>
      </c>
      <c r="CE18" s="8" t="str">
        <f>IF(OR($A18="",$C18="",$D18="",$C18&gt;CE$6,$D18&lt;CE$9),"",IF($J18="里程碑","◆",""))</f>
        <v/>
      </c>
      <c r="CF18" s="8" t="str">
        <f>IF(OR($A18="",$C18="",$D18="",$C18&gt;CF$6,$D18&lt;CF$9),"",IF($J18="里程碑","◆",""))</f>
        <v/>
      </c>
      <c r="CG18" s="8" t="str">
        <f>IF(OR($A18="",$C18="",$D18="",$C18&gt;CG$6,$D18&lt;CG$9),"",IF($J18="里程碑","◆",""))</f>
        <v/>
      </c>
      <c r="CH18" s="8" t="str">
        <f>IF(OR($A18="",$C18="",$D18="",$C18&gt;CH$6,$D18&lt;CH$9),"",IF($J18="里程碑","◆",""))</f>
        <v/>
      </c>
      <c r="CI18" s="8" t="str">
        <f>IF(OR($A18="",$C18="",$D18="",$C18&gt;CI$6,$D18&lt;CI$9),"",IF($J18="里程碑","◆",""))</f>
        <v/>
      </c>
      <c r="CJ18" s="8" t="str">
        <f>IF(OR($A18="",$C18="",$D18="",$C18&gt;CJ$6,$D18&lt;CJ$9),"",IF($J18="里程碑","◆",""))</f>
        <v/>
      </c>
      <c r="CK18" s="8" t="str">
        <f>IF(OR($A18="",$C18="",$D18="",$C18&gt;CK$6,$D18&lt;CK$9),"",IF($J18="里程碑","◆",""))</f>
        <v/>
      </c>
      <c r="CL18" s="8" t="str">
        <f>IF(OR($A18="",$C18="",$D18="",$C18&gt;CL$6,$D18&lt;CL$9),"",IF($J18="里程碑","◆",""))</f>
        <v/>
      </c>
      <c r="CM18" s="8" t="str">
        <f>IF(OR($A18="",$C18="",$D18="",$C18&gt;CM$6,$D18&lt;CM$9),"",IF($J18="里程碑","◆",""))</f>
        <v/>
      </c>
      <c r="CN18" s="8" t="str">
        <f>IF(OR($A18="",$C18="",$D18="",$C18&gt;CN$6,$D18&lt;CN$9),"",IF($J18="里程碑","◆",""))</f>
        <v/>
      </c>
      <c r="CO18" s="8" t="str">
        <f>IF(OR($A18="",$C18="",$D18="",$C18&gt;CO$6,$D18&lt;CO$9),"",IF($J18="里程碑","◆",""))</f>
        <v/>
      </c>
      <c r="CP18" s="8" t="str">
        <f>IF(OR($A18="",$C18="",$D18="",$C18&gt;CP$6,$D18&lt;CP$9),"",IF($J18="里程碑","◆",""))</f>
        <v/>
      </c>
      <c r="CQ18" s="8" t="str">
        <f>IF(OR($A18="",$C18="",$D18="",$C18&gt;CQ$6,$D18&lt;CQ$9),"",IF($J18="里程碑","◆",""))</f>
        <v/>
      </c>
      <c r="CR18" s="8" t="str">
        <f>IF(OR($A18="",$C18="",$D18="",$C18&gt;CR$6,$D18&lt;CR$9),"",IF($J18="里程碑","◆",""))</f>
        <v/>
      </c>
      <c r="CS18" s="8" t="str">
        <f>IF(OR($A18="",$C18="",$D18="",$C18&gt;CS$6,$D18&lt;CS$9),"",IF($J18="里程碑","◆",""))</f>
        <v/>
      </c>
      <c r="CT18" s="8" t="str">
        <f>IF(OR($A18="",$C18="",$D18="",$C18&gt;CT$6,$D18&lt;CT$9),"",IF($J18="里程碑","◆",""))</f>
        <v/>
      </c>
      <c r="CU18" s="8" t="str">
        <f>IF(OR($A18="",$C18="",$D18="",$C18&gt;CU$6,$D18&lt;CU$9),"",IF($J18="里程碑","◆",""))</f>
        <v/>
      </c>
      <c r="CV18" s="8" t="str">
        <f>IF(OR($A18="",$C18="",$D18="",$C18&gt;CV$6,$D18&lt;CV$9),"",IF($J18="里程碑","◆",""))</f>
        <v/>
      </c>
      <c r="CW18" s="8" t="str">
        <f>IF(OR($A18="",$C18="",$D18="",$C18&gt;CW$6,$D18&lt;CW$9),"",IF($J18="里程碑","◆",""))</f>
        <v/>
      </c>
      <c r="CX18" s="8" t="str">
        <f>IF(OR($A18="",$C18="",$D18="",$C18&gt;CX$6,$D18&lt;CX$9),"",IF($J18="里程碑","◆",""))</f>
        <v/>
      </c>
      <c r="CY18" s="8" t="str">
        <f>IF(OR($A18="",$C18="",$D18="",$C18&gt;CY$6,$D18&lt;CY$9),"",IF($J18="里程碑","◆",""))</f>
        <v/>
      </c>
      <c r="CZ18" s="8" t="str">
        <f>IF(OR($A18="",$C18="",$D18="",$C18&gt;CZ$6,$D18&lt;CZ$9),"",IF($J18="里程碑","◆",""))</f>
        <v/>
      </c>
      <c r="DA18" s="8" t="str">
        <f>IF(OR($A18="",$C18="",$D18="",$C18&gt;DA$6,$D18&lt;DA$9),"",IF($J18="里程碑","◆",""))</f>
        <v/>
      </c>
      <c r="DB18" s="8" t="str">
        <f>IF(OR($A18="",$C18="",$D18="",$C18&gt;DB$6,$D18&lt;DB$9),"",IF($J18="里程碑","◆",""))</f>
        <v/>
      </c>
      <c r="DC18" s="1" t="str">
        <f>IF(ROW()-9&gt;$DH$3,"",MATCH(ROW()-9,排期计算!$U$10:$U$109,0))</f>
        <v/>
      </c>
      <c r="DD18" s="1" t="str">
        <f>IF($DC18="","",INDEX(排期计算!$L$10:$L$109,$DC18))</f>
        <v/>
      </c>
      <c r="DE18" s="1"/>
      <c r="DF18" s="1"/>
      <c r="DG18" s="1"/>
      <c r="DH18" s="1"/>
      <c r="DI18" s="1"/>
      <c r="DJ18" s="1"/>
      <c r="DK18" s="1"/>
    </row>
    <row r="19" spans="1:115" ht="24.95" customHeight="1">
      <c r="A19" s="9" t="str">
        <f>IF($DC19="","",IF(AND(INDEX(排期计算!$A$10:$A$109,$DC19)="",NOT(ISNUMBER(INDEX(排期计算!$A$10:$A$109,$DC19)))),"",INDEX(排期计算!$A$10:$A$109,$DC19)))</f>
        <v/>
      </c>
      <c r="B19" s="1" t="str">
        <f>IF($DC19="","",REPT("　",$DD19-1)&amp;INDEX(排期计算!$B$10:$B$109,$DC19))</f>
        <v/>
      </c>
      <c r="C19" s="3" t="str">
        <f>IF($DC19="","",IF(AND(INDEX(排期计算!$M$10:$M$109,$DC19)="",NOT(ISNUMBER(INDEX(排期计算!$M$10:$M$109,$DC19)))),"",INDEX(排期计算!$M$10:$M$109,$DC19)))</f>
        <v/>
      </c>
      <c r="D19" s="3" t="str">
        <f>IF($DC19="","",IF(AND(INDEX(排期计算!$N$10:$N$109,$DC19)="",NOT(ISNUMBER(INDEX(排期计算!$N$10:$N$109,$DC19)))),"",INDEX(排期计算!$N$10:$N$109,$DC19)))</f>
        <v/>
      </c>
      <c r="E19" s="1" t="str">
        <f>IF(OR($C19="",$D19=""),"",IF($J19="里程碑",0,NETWORKDAYS($C19,$D19)))</f>
        <v/>
      </c>
      <c r="F19" s="7" t="str">
        <f>IF($DC19="","",IF(AND(INDEX(排期计算!$O$10:$O$109,$DC19)="",NOT(ISNUMBER(INDEX(排期计算!$O$10:$O$109,$DC19)))),"",INDEX(排期计算!$O$10:$O$109,$DC19)))</f>
        <v/>
      </c>
      <c r="G19" s="8" t="str">
        <f>IF($A19="","",IF(OR($C19="",$D19=""),"未排期",IF($F19&gt;=1,"已完成",IF($D19&lt;$B$4,"逾期",IF($C19&gt;$B$4,"未开始","进行中")))))</f>
        <v/>
      </c>
      <c r="H19" s="1" t="str">
        <f>IF($DC19="","",IF(AND(INDEX(排期计算!$C$10:$C$109,$DC19)="",NOT(ISNUMBER(INDEX(排期计算!$C$10:$C$109,$DC19)))),"",INDEX(排期计算!$C$10:$C$109,$DC19)))</f>
        <v/>
      </c>
      <c r="I19" s="1" t="str">
        <f>IF($DC19="","",IF(AND(INDEX(排期计算!$H$10:$H$109,$DC19)="",NOT(ISNUMBER(INDEX(排期计算!$H$10:$H$109,$DC19)))),"",INDEX(排期计算!$H$10:$H$109,$DC19)))</f>
        <v/>
      </c>
      <c r="J19" s="1" t="str">
        <f>IF($DC19="","",IF(AND(INDEX(排期计算!$K$10:$K$109,$DC19)="",NOT(ISNUMBER(INDEX(排期计算!$K$10:$K$109,$DC19)))),"",INDEX(排期计算!$K$10:$K$109,$DC19)))</f>
        <v/>
      </c>
      <c r="K19" s="8" t="str">
        <f>IF(OR($A19="",$C19="",$D19="",$C19&gt;K$6,$D19&lt;K$9),"",IF($J19="里程碑","◆",""))</f>
        <v/>
      </c>
      <c r="L19" s="8" t="str">
        <f>IF(OR($A19="",$C19="",$D19="",$C19&gt;L$6,$D19&lt;L$9),"",IF($J19="里程碑","◆",""))</f>
        <v/>
      </c>
      <c r="M19" s="8" t="str">
        <f>IF(OR($A19="",$C19="",$D19="",$C19&gt;M$6,$D19&lt;M$9),"",IF($J19="里程碑","◆",""))</f>
        <v/>
      </c>
      <c r="N19" s="8" t="str">
        <f>IF(OR($A19="",$C19="",$D19="",$C19&gt;N$6,$D19&lt;N$9),"",IF($J19="里程碑","◆",""))</f>
        <v/>
      </c>
      <c r="O19" s="8" t="str">
        <f>IF(OR($A19="",$C19="",$D19="",$C19&gt;O$6,$D19&lt;O$9),"",IF($J19="里程碑","◆",""))</f>
        <v/>
      </c>
      <c r="P19" s="8" t="str">
        <f>IF(OR($A19="",$C19="",$D19="",$C19&gt;P$6,$D19&lt;P$9),"",IF($J19="里程碑","◆",""))</f>
        <v/>
      </c>
      <c r="Q19" s="8" t="str">
        <f>IF(OR($A19="",$C19="",$D19="",$C19&gt;Q$6,$D19&lt;Q$9),"",IF($J19="里程碑","◆",""))</f>
        <v/>
      </c>
      <c r="R19" s="8" t="str">
        <f>IF(OR($A19="",$C19="",$D19="",$C19&gt;R$6,$D19&lt;R$9),"",IF($J19="里程碑","◆",""))</f>
        <v/>
      </c>
      <c r="S19" s="8" t="str">
        <f>IF(OR($A19="",$C19="",$D19="",$C19&gt;S$6,$D19&lt;S$9),"",IF($J19="里程碑","◆",""))</f>
        <v/>
      </c>
      <c r="T19" s="8" t="str">
        <f>IF(OR($A19="",$C19="",$D19="",$C19&gt;T$6,$D19&lt;T$9),"",IF($J19="里程碑","◆",""))</f>
        <v/>
      </c>
      <c r="U19" s="8" t="str">
        <f>IF(OR($A19="",$C19="",$D19="",$C19&gt;U$6,$D19&lt;U$9),"",IF($J19="里程碑","◆",""))</f>
        <v/>
      </c>
      <c r="V19" s="8" t="str">
        <f>IF(OR($A19="",$C19="",$D19="",$C19&gt;V$6,$D19&lt;V$9),"",IF($J19="里程碑","◆",""))</f>
        <v/>
      </c>
      <c r="W19" s="8" t="str">
        <f>IF(OR($A19="",$C19="",$D19="",$C19&gt;W$6,$D19&lt;W$9),"",IF($J19="里程碑","◆",""))</f>
        <v/>
      </c>
      <c r="X19" s="8" t="str">
        <f>IF(OR($A19="",$C19="",$D19="",$C19&gt;X$6,$D19&lt;X$9),"",IF($J19="里程碑","◆",""))</f>
        <v/>
      </c>
      <c r="Y19" s="8" t="str">
        <f>IF(OR($A19="",$C19="",$D19="",$C19&gt;Y$6,$D19&lt;Y$9),"",IF($J19="里程碑","◆",""))</f>
        <v/>
      </c>
      <c r="Z19" s="8" t="str">
        <f>IF(OR($A19="",$C19="",$D19="",$C19&gt;Z$6,$D19&lt;Z$9),"",IF($J19="里程碑","◆",""))</f>
        <v/>
      </c>
      <c r="AA19" s="8" t="str">
        <f>IF(OR($A19="",$C19="",$D19="",$C19&gt;AA$6,$D19&lt;AA$9),"",IF($J19="里程碑","◆",""))</f>
        <v/>
      </c>
      <c r="AB19" s="8" t="str">
        <f>IF(OR($A19="",$C19="",$D19="",$C19&gt;AB$6,$D19&lt;AB$9),"",IF($J19="里程碑","◆",""))</f>
        <v/>
      </c>
      <c r="AC19" s="8" t="str">
        <f>IF(OR($A19="",$C19="",$D19="",$C19&gt;AC$6,$D19&lt;AC$9),"",IF($J19="里程碑","◆",""))</f>
        <v/>
      </c>
      <c r="AD19" s="8" t="str">
        <f>IF(OR($A19="",$C19="",$D19="",$C19&gt;AD$6,$D19&lt;AD$9),"",IF($J19="里程碑","◆",""))</f>
        <v/>
      </c>
      <c r="AE19" s="8" t="str">
        <f>IF(OR($A19="",$C19="",$D19="",$C19&gt;AE$6,$D19&lt;AE$9),"",IF($J19="里程碑","◆",""))</f>
        <v/>
      </c>
      <c r="AF19" s="8" t="str">
        <f>IF(OR($A19="",$C19="",$D19="",$C19&gt;AF$6,$D19&lt;AF$9),"",IF($J19="里程碑","◆",""))</f>
        <v/>
      </c>
      <c r="AG19" s="8" t="str">
        <f>IF(OR($A19="",$C19="",$D19="",$C19&gt;AG$6,$D19&lt;AG$9),"",IF($J19="里程碑","◆",""))</f>
        <v/>
      </c>
      <c r="AH19" s="8" t="str">
        <f>IF(OR($A19="",$C19="",$D19="",$C19&gt;AH$6,$D19&lt;AH$9),"",IF($J19="里程碑","◆",""))</f>
        <v/>
      </c>
      <c r="AI19" s="8" t="str">
        <f>IF(OR($A19="",$C19="",$D19="",$C19&gt;AI$6,$D19&lt;AI$9),"",IF($J19="里程碑","◆",""))</f>
        <v/>
      </c>
      <c r="AJ19" s="8" t="str">
        <f>IF(OR($A19="",$C19="",$D19="",$C19&gt;AJ$6,$D19&lt;AJ$9),"",IF($J19="里程碑","◆",""))</f>
        <v/>
      </c>
      <c r="AK19" s="8" t="str">
        <f>IF(OR($A19="",$C19="",$D19="",$C19&gt;AK$6,$D19&lt;AK$9),"",IF($J19="里程碑","◆",""))</f>
        <v/>
      </c>
      <c r="AL19" s="8" t="str">
        <f>IF(OR($A19="",$C19="",$D19="",$C19&gt;AL$6,$D19&lt;AL$9),"",IF($J19="里程碑","◆",""))</f>
        <v/>
      </c>
      <c r="AM19" s="8" t="str">
        <f>IF(OR($A19="",$C19="",$D19="",$C19&gt;AM$6,$D19&lt;AM$9),"",IF($J19="里程碑","◆",""))</f>
        <v/>
      </c>
      <c r="AN19" s="8" t="str">
        <f>IF(OR($A19="",$C19="",$D19="",$C19&gt;AN$6,$D19&lt;AN$9),"",IF($J19="里程碑","◆",""))</f>
        <v/>
      </c>
      <c r="AO19" s="8" t="str">
        <f>IF(OR($A19="",$C19="",$D19="",$C19&gt;AO$6,$D19&lt;AO$9),"",IF($J19="里程碑","◆",""))</f>
        <v/>
      </c>
      <c r="AP19" s="8" t="str">
        <f>IF(OR($A19="",$C19="",$D19="",$C19&gt;AP$6,$D19&lt;AP$9),"",IF($J19="里程碑","◆",""))</f>
        <v/>
      </c>
      <c r="AQ19" s="8" t="str">
        <f>IF(OR($A19="",$C19="",$D19="",$C19&gt;AQ$6,$D19&lt;AQ$9),"",IF($J19="里程碑","◆",""))</f>
        <v/>
      </c>
      <c r="AR19" s="8" t="str">
        <f>IF(OR($A19="",$C19="",$D19="",$C19&gt;AR$6,$D19&lt;AR$9),"",IF($J19="里程碑","◆",""))</f>
        <v/>
      </c>
      <c r="AS19" s="8" t="str">
        <f>IF(OR($A19="",$C19="",$D19="",$C19&gt;AS$6,$D19&lt;AS$9),"",IF($J19="里程碑","◆",""))</f>
        <v/>
      </c>
      <c r="AT19" s="8" t="str">
        <f>IF(OR($A19="",$C19="",$D19="",$C19&gt;AT$6,$D19&lt;AT$9),"",IF($J19="里程碑","◆",""))</f>
        <v/>
      </c>
      <c r="AU19" s="8" t="str">
        <f>IF(OR($A19="",$C19="",$D19="",$C19&gt;AU$6,$D19&lt;AU$9),"",IF($J19="里程碑","◆",""))</f>
        <v/>
      </c>
      <c r="AV19" s="8" t="str">
        <f>IF(OR($A19="",$C19="",$D19="",$C19&gt;AV$6,$D19&lt;AV$9),"",IF($J19="里程碑","◆",""))</f>
        <v/>
      </c>
      <c r="AW19" s="8" t="str">
        <f>IF(OR($A19="",$C19="",$D19="",$C19&gt;AW$6,$D19&lt;AW$9),"",IF($J19="里程碑","◆",""))</f>
        <v/>
      </c>
      <c r="AX19" s="8" t="str">
        <f>IF(OR($A19="",$C19="",$D19="",$C19&gt;AX$6,$D19&lt;AX$9),"",IF($J19="里程碑","◆",""))</f>
        <v/>
      </c>
      <c r="AY19" s="8" t="str">
        <f>IF(OR($A19="",$C19="",$D19="",$C19&gt;AY$6,$D19&lt;AY$9),"",IF($J19="里程碑","◆",""))</f>
        <v/>
      </c>
      <c r="AZ19" s="8" t="str">
        <f>IF(OR($A19="",$C19="",$D19="",$C19&gt;AZ$6,$D19&lt;AZ$9),"",IF($J19="里程碑","◆",""))</f>
        <v/>
      </c>
      <c r="BA19" s="8" t="str">
        <f>IF(OR($A19="",$C19="",$D19="",$C19&gt;BA$6,$D19&lt;BA$9),"",IF($J19="里程碑","◆",""))</f>
        <v/>
      </c>
      <c r="BB19" s="8" t="str">
        <f>IF(OR($A19="",$C19="",$D19="",$C19&gt;BB$6,$D19&lt;BB$9),"",IF($J19="里程碑","◆",""))</f>
        <v/>
      </c>
      <c r="BC19" s="8" t="str">
        <f>IF(OR($A19="",$C19="",$D19="",$C19&gt;BC$6,$D19&lt;BC$9),"",IF($J19="里程碑","◆",""))</f>
        <v/>
      </c>
      <c r="BD19" s="8" t="str">
        <f>IF(OR($A19="",$C19="",$D19="",$C19&gt;BD$6,$D19&lt;BD$9),"",IF($J19="里程碑","◆",""))</f>
        <v/>
      </c>
      <c r="BE19" s="8" t="str">
        <f>IF(OR($A19="",$C19="",$D19="",$C19&gt;BE$6,$D19&lt;BE$9),"",IF($J19="里程碑","◆",""))</f>
        <v/>
      </c>
      <c r="BF19" s="8" t="str">
        <f>IF(OR($A19="",$C19="",$D19="",$C19&gt;BF$6,$D19&lt;BF$9),"",IF($J19="里程碑","◆",""))</f>
        <v/>
      </c>
      <c r="BG19" s="8" t="str">
        <f>IF(OR($A19="",$C19="",$D19="",$C19&gt;BG$6,$D19&lt;BG$9),"",IF($J19="里程碑","◆",""))</f>
        <v/>
      </c>
      <c r="BH19" s="8" t="str">
        <f>IF(OR($A19="",$C19="",$D19="",$C19&gt;BH$6,$D19&lt;BH$9),"",IF($J19="里程碑","◆",""))</f>
        <v/>
      </c>
      <c r="BI19" s="8" t="str">
        <f>IF(OR($A19="",$C19="",$D19="",$C19&gt;BI$6,$D19&lt;BI$9),"",IF($J19="里程碑","◆",""))</f>
        <v/>
      </c>
      <c r="BJ19" s="8" t="str">
        <f>IF(OR($A19="",$C19="",$D19="",$C19&gt;BJ$6,$D19&lt;BJ$9),"",IF($J19="里程碑","◆",""))</f>
        <v/>
      </c>
      <c r="BK19" s="8" t="str">
        <f>IF(OR($A19="",$C19="",$D19="",$C19&gt;BK$6,$D19&lt;BK$9),"",IF($J19="里程碑","◆",""))</f>
        <v/>
      </c>
      <c r="BL19" s="8" t="str">
        <f>IF(OR($A19="",$C19="",$D19="",$C19&gt;BL$6,$D19&lt;BL$9),"",IF($J19="里程碑","◆",""))</f>
        <v/>
      </c>
      <c r="BM19" s="8" t="str">
        <f>IF(OR($A19="",$C19="",$D19="",$C19&gt;BM$6,$D19&lt;BM$9),"",IF($J19="里程碑","◆",""))</f>
        <v/>
      </c>
      <c r="BN19" s="8" t="str">
        <f>IF(OR($A19="",$C19="",$D19="",$C19&gt;BN$6,$D19&lt;BN$9),"",IF($J19="里程碑","◆",""))</f>
        <v/>
      </c>
      <c r="BO19" s="8" t="str">
        <f>IF(OR($A19="",$C19="",$D19="",$C19&gt;BO$6,$D19&lt;BO$9),"",IF($J19="里程碑","◆",""))</f>
        <v/>
      </c>
      <c r="BP19" s="8" t="str">
        <f>IF(OR($A19="",$C19="",$D19="",$C19&gt;BP$6,$D19&lt;BP$9),"",IF($J19="里程碑","◆",""))</f>
        <v/>
      </c>
      <c r="BQ19" s="8" t="str">
        <f>IF(OR($A19="",$C19="",$D19="",$C19&gt;BQ$6,$D19&lt;BQ$9),"",IF($J19="里程碑","◆",""))</f>
        <v/>
      </c>
      <c r="BR19" s="8" t="str">
        <f>IF(OR($A19="",$C19="",$D19="",$C19&gt;BR$6,$D19&lt;BR$9),"",IF($J19="里程碑","◆",""))</f>
        <v/>
      </c>
      <c r="BS19" s="8" t="str">
        <f>IF(OR($A19="",$C19="",$D19="",$C19&gt;BS$6,$D19&lt;BS$9),"",IF($J19="里程碑","◆",""))</f>
        <v/>
      </c>
      <c r="BT19" s="8" t="str">
        <f>IF(OR($A19="",$C19="",$D19="",$C19&gt;BT$6,$D19&lt;BT$9),"",IF($J19="里程碑","◆",""))</f>
        <v/>
      </c>
      <c r="BU19" s="8" t="str">
        <f>IF(OR($A19="",$C19="",$D19="",$C19&gt;BU$6,$D19&lt;BU$9),"",IF($J19="里程碑","◆",""))</f>
        <v/>
      </c>
      <c r="BV19" s="8" t="str">
        <f>IF(OR($A19="",$C19="",$D19="",$C19&gt;BV$6,$D19&lt;BV$9),"",IF($J19="里程碑","◆",""))</f>
        <v/>
      </c>
      <c r="BW19" s="8" t="str">
        <f>IF(OR($A19="",$C19="",$D19="",$C19&gt;BW$6,$D19&lt;BW$9),"",IF($J19="里程碑","◆",""))</f>
        <v/>
      </c>
      <c r="BX19" s="8" t="str">
        <f>IF(OR($A19="",$C19="",$D19="",$C19&gt;BX$6,$D19&lt;BX$9),"",IF($J19="里程碑","◆",""))</f>
        <v/>
      </c>
      <c r="BY19" s="8" t="str">
        <f>IF(OR($A19="",$C19="",$D19="",$C19&gt;BY$6,$D19&lt;BY$9),"",IF($J19="里程碑","◆",""))</f>
        <v/>
      </c>
      <c r="BZ19" s="8" t="str">
        <f>IF(OR($A19="",$C19="",$D19="",$C19&gt;BZ$6,$D19&lt;BZ$9),"",IF($J19="里程碑","◆",""))</f>
        <v/>
      </c>
      <c r="CA19" s="8" t="str">
        <f>IF(OR($A19="",$C19="",$D19="",$C19&gt;CA$6,$D19&lt;CA$9),"",IF($J19="里程碑","◆",""))</f>
        <v/>
      </c>
      <c r="CB19" s="8" t="str">
        <f>IF(OR($A19="",$C19="",$D19="",$C19&gt;CB$6,$D19&lt;CB$9),"",IF($J19="里程碑","◆",""))</f>
        <v/>
      </c>
      <c r="CC19" s="8" t="str">
        <f>IF(OR($A19="",$C19="",$D19="",$C19&gt;CC$6,$D19&lt;CC$9),"",IF($J19="里程碑","◆",""))</f>
        <v/>
      </c>
      <c r="CD19" s="8" t="str">
        <f>IF(OR($A19="",$C19="",$D19="",$C19&gt;CD$6,$D19&lt;CD$9),"",IF($J19="里程碑","◆",""))</f>
        <v/>
      </c>
      <c r="CE19" s="8" t="str">
        <f>IF(OR($A19="",$C19="",$D19="",$C19&gt;CE$6,$D19&lt;CE$9),"",IF($J19="里程碑","◆",""))</f>
        <v/>
      </c>
      <c r="CF19" s="8" t="str">
        <f>IF(OR($A19="",$C19="",$D19="",$C19&gt;CF$6,$D19&lt;CF$9),"",IF($J19="里程碑","◆",""))</f>
        <v/>
      </c>
      <c r="CG19" s="8" t="str">
        <f>IF(OR($A19="",$C19="",$D19="",$C19&gt;CG$6,$D19&lt;CG$9),"",IF($J19="里程碑","◆",""))</f>
        <v/>
      </c>
      <c r="CH19" s="8" t="str">
        <f>IF(OR($A19="",$C19="",$D19="",$C19&gt;CH$6,$D19&lt;CH$9),"",IF($J19="里程碑","◆",""))</f>
        <v/>
      </c>
      <c r="CI19" s="8" t="str">
        <f>IF(OR($A19="",$C19="",$D19="",$C19&gt;CI$6,$D19&lt;CI$9),"",IF($J19="里程碑","◆",""))</f>
        <v/>
      </c>
      <c r="CJ19" s="8" t="str">
        <f>IF(OR($A19="",$C19="",$D19="",$C19&gt;CJ$6,$D19&lt;CJ$9),"",IF($J19="里程碑","◆",""))</f>
        <v/>
      </c>
      <c r="CK19" s="8" t="str">
        <f>IF(OR($A19="",$C19="",$D19="",$C19&gt;CK$6,$D19&lt;CK$9),"",IF($J19="里程碑","◆",""))</f>
        <v/>
      </c>
      <c r="CL19" s="8" t="str">
        <f>IF(OR($A19="",$C19="",$D19="",$C19&gt;CL$6,$D19&lt;CL$9),"",IF($J19="里程碑","◆",""))</f>
        <v/>
      </c>
      <c r="CM19" s="8" t="str">
        <f>IF(OR($A19="",$C19="",$D19="",$C19&gt;CM$6,$D19&lt;CM$9),"",IF($J19="里程碑","◆",""))</f>
        <v/>
      </c>
      <c r="CN19" s="8" t="str">
        <f>IF(OR($A19="",$C19="",$D19="",$C19&gt;CN$6,$D19&lt;CN$9),"",IF($J19="里程碑","◆",""))</f>
        <v/>
      </c>
      <c r="CO19" s="8" t="str">
        <f>IF(OR($A19="",$C19="",$D19="",$C19&gt;CO$6,$D19&lt;CO$9),"",IF($J19="里程碑","◆",""))</f>
        <v/>
      </c>
      <c r="CP19" s="8" t="str">
        <f>IF(OR($A19="",$C19="",$D19="",$C19&gt;CP$6,$D19&lt;CP$9),"",IF($J19="里程碑","◆",""))</f>
        <v/>
      </c>
      <c r="CQ19" s="8" t="str">
        <f>IF(OR($A19="",$C19="",$D19="",$C19&gt;CQ$6,$D19&lt;CQ$9),"",IF($J19="里程碑","◆",""))</f>
        <v/>
      </c>
      <c r="CR19" s="8" t="str">
        <f>IF(OR($A19="",$C19="",$D19="",$C19&gt;CR$6,$D19&lt;CR$9),"",IF($J19="里程碑","◆",""))</f>
        <v/>
      </c>
      <c r="CS19" s="8" t="str">
        <f>IF(OR($A19="",$C19="",$D19="",$C19&gt;CS$6,$D19&lt;CS$9),"",IF($J19="里程碑","◆",""))</f>
        <v/>
      </c>
      <c r="CT19" s="8" t="str">
        <f>IF(OR($A19="",$C19="",$D19="",$C19&gt;CT$6,$D19&lt;CT$9),"",IF($J19="里程碑","◆",""))</f>
        <v/>
      </c>
      <c r="CU19" s="8" t="str">
        <f>IF(OR($A19="",$C19="",$D19="",$C19&gt;CU$6,$D19&lt;CU$9),"",IF($J19="里程碑","◆",""))</f>
        <v/>
      </c>
      <c r="CV19" s="8" t="str">
        <f>IF(OR($A19="",$C19="",$D19="",$C19&gt;CV$6,$D19&lt;CV$9),"",IF($J19="里程碑","◆",""))</f>
        <v/>
      </c>
      <c r="CW19" s="8" t="str">
        <f>IF(OR($A19="",$C19="",$D19="",$C19&gt;CW$6,$D19&lt;CW$9),"",IF($J19="里程碑","◆",""))</f>
        <v/>
      </c>
      <c r="CX19" s="8" t="str">
        <f>IF(OR($A19="",$C19="",$D19="",$C19&gt;CX$6,$D19&lt;CX$9),"",IF($J19="里程碑","◆",""))</f>
        <v/>
      </c>
      <c r="CY19" s="8" t="str">
        <f>IF(OR($A19="",$C19="",$D19="",$C19&gt;CY$6,$D19&lt;CY$9),"",IF($J19="里程碑","◆",""))</f>
        <v/>
      </c>
      <c r="CZ19" s="8" t="str">
        <f>IF(OR($A19="",$C19="",$D19="",$C19&gt;CZ$6,$D19&lt;CZ$9),"",IF($J19="里程碑","◆",""))</f>
        <v/>
      </c>
      <c r="DA19" s="8" t="str">
        <f>IF(OR($A19="",$C19="",$D19="",$C19&gt;DA$6,$D19&lt;DA$9),"",IF($J19="里程碑","◆",""))</f>
        <v/>
      </c>
      <c r="DB19" s="8" t="str">
        <f>IF(OR($A19="",$C19="",$D19="",$C19&gt;DB$6,$D19&lt;DB$9),"",IF($J19="里程碑","◆",""))</f>
        <v/>
      </c>
      <c r="DC19" s="1" t="str">
        <f>IF(ROW()-9&gt;$DH$3,"",MATCH(ROW()-9,排期计算!$U$10:$U$109,0))</f>
        <v/>
      </c>
      <c r="DD19" s="1" t="str">
        <f>IF($DC19="","",INDEX(排期计算!$L$10:$L$109,$DC19))</f>
        <v/>
      </c>
      <c r="DE19" s="1"/>
      <c r="DF19" s="1"/>
      <c r="DG19" s="1"/>
      <c r="DH19" s="1"/>
      <c r="DI19" s="1"/>
      <c r="DJ19" s="1"/>
      <c r="DK19" s="1"/>
    </row>
    <row r="20" spans="1:115" ht="24.95" customHeight="1">
      <c r="A20" s="9" t="str">
        <f>IF($DC20="","",IF(AND(INDEX(排期计算!$A$10:$A$109,$DC20)="",NOT(ISNUMBER(INDEX(排期计算!$A$10:$A$109,$DC20)))),"",INDEX(排期计算!$A$10:$A$109,$DC20)))</f>
        <v/>
      </c>
      <c r="B20" s="1" t="str">
        <f>IF($DC20="","",REPT("　",$DD20-1)&amp;INDEX(排期计算!$B$10:$B$109,$DC20))</f>
        <v/>
      </c>
      <c r="C20" s="3" t="str">
        <f>IF($DC20="","",IF(AND(INDEX(排期计算!$M$10:$M$109,$DC20)="",NOT(ISNUMBER(INDEX(排期计算!$M$10:$M$109,$DC20)))),"",INDEX(排期计算!$M$10:$M$109,$DC20)))</f>
        <v/>
      </c>
      <c r="D20" s="3" t="str">
        <f>IF($DC20="","",IF(AND(INDEX(排期计算!$N$10:$N$109,$DC20)="",NOT(ISNUMBER(INDEX(排期计算!$N$10:$N$109,$DC20)))),"",INDEX(排期计算!$N$10:$N$109,$DC20)))</f>
        <v/>
      </c>
      <c r="E20" s="1" t="str">
        <f>IF(OR($C20="",$D20=""),"",IF($J20="里程碑",0,NETWORKDAYS($C20,$D20)))</f>
        <v/>
      </c>
      <c r="F20" s="7" t="str">
        <f>IF($DC20="","",IF(AND(INDEX(排期计算!$O$10:$O$109,$DC20)="",NOT(ISNUMBER(INDEX(排期计算!$O$10:$O$109,$DC20)))),"",INDEX(排期计算!$O$10:$O$109,$DC20)))</f>
        <v/>
      </c>
      <c r="G20" s="8" t="str">
        <f>IF($A20="","",IF(OR($C20="",$D20=""),"未排期",IF($F20&gt;=1,"已完成",IF($D20&lt;$B$4,"逾期",IF($C20&gt;$B$4,"未开始","进行中")))))</f>
        <v/>
      </c>
      <c r="H20" s="1" t="str">
        <f>IF($DC20="","",IF(AND(INDEX(排期计算!$C$10:$C$109,$DC20)="",NOT(ISNUMBER(INDEX(排期计算!$C$10:$C$109,$DC20)))),"",INDEX(排期计算!$C$10:$C$109,$DC20)))</f>
        <v/>
      </c>
      <c r="I20" s="1" t="str">
        <f>IF($DC20="","",IF(AND(INDEX(排期计算!$H$10:$H$109,$DC20)="",NOT(ISNUMBER(INDEX(排期计算!$H$10:$H$109,$DC20)))),"",INDEX(排期计算!$H$10:$H$109,$DC20)))</f>
        <v/>
      </c>
      <c r="J20" s="1" t="str">
        <f>IF($DC20="","",IF(AND(INDEX(排期计算!$K$10:$K$109,$DC20)="",NOT(ISNUMBER(INDEX(排期计算!$K$10:$K$109,$DC20)))),"",INDEX(排期计算!$K$10:$K$109,$DC20)))</f>
        <v/>
      </c>
      <c r="K20" s="8" t="str">
        <f>IF(OR($A20="",$C20="",$D20="",$C20&gt;K$6,$D20&lt;K$9),"",IF($J20="里程碑","◆",""))</f>
        <v/>
      </c>
      <c r="L20" s="8" t="str">
        <f>IF(OR($A20="",$C20="",$D20="",$C20&gt;L$6,$D20&lt;L$9),"",IF($J20="里程碑","◆",""))</f>
        <v/>
      </c>
      <c r="M20" s="8" t="str">
        <f>IF(OR($A20="",$C20="",$D20="",$C20&gt;M$6,$D20&lt;M$9),"",IF($J20="里程碑","◆",""))</f>
        <v/>
      </c>
      <c r="N20" s="8" t="str">
        <f>IF(OR($A20="",$C20="",$D20="",$C20&gt;N$6,$D20&lt;N$9),"",IF($J20="里程碑","◆",""))</f>
        <v/>
      </c>
      <c r="O20" s="8" t="str">
        <f>IF(OR($A20="",$C20="",$D20="",$C20&gt;O$6,$D20&lt;O$9),"",IF($J20="里程碑","◆",""))</f>
        <v/>
      </c>
      <c r="P20" s="8" t="str">
        <f>IF(OR($A20="",$C20="",$D20="",$C20&gt;P$6,$D20&lt;P$9),"",IF($J20="里程碑","◆",""))</f>
        <v/>
      </c>
      <c r="Q20" s="8" t="str">
        <f>IF(OR($A20="",$C20="",$D20="",$C20&gt;Q$6,$D20&lt;Q$9),"",IF($J20="里程碑","◆",""))</f>
        <v/>
      </c>
      <c r="R20" s="8" t="str">
        <f>IF(OR($A20="",$C20="",$D20="",$C20&gt;R$6,$D20&lt;R$9),"",IF($J20="里程碑","◆",""))</f>
        <v/>
      </c>
      <c r="S20" s="8" t="str">
        <f>IF(OR($A20="",$C20="",$D20="",$C20&gt;S$6,$D20&lt;S$9),"",IF($J20="里程碑","◆",""))</f>
        <v/>
      </c>
      <c r="T20" s="8" t="str">
        <f>IF(OR($A20="",$C20="",$D20="",$C20&gt;T$6,$D20&lt;T$9),"",IF($J20="里程碑","◆",""))</f>
        <v/>
      </c>
      <c r="U20" s="8" t="str">
        <f>IF(OR($A20="",$C20="",$D20="",$C20&gt;U$6,$D20&lt;U$9),"",IF($J20="里程碑","◆",""))</f>
        <v/>
      </c>
      <c r="V20" s="8" t="str">
        <f>IF(OR($A20="",$C20="",$D20="",$C20&gt;V$6,$D20&lt;V$9),"",IF($J20="里程碑","◆",""))</f>
        <v/>
      </c>
      <c r="W20" s="8" t="str">
        <f>IF(OR($A20="",$C20="",$D20="",$C20&gt;W$6,$D20&lt;W$9),"",IF($J20="里程碑","◆",""))</f>
        <v/>
      </c>
      <c r="X20" s="8" t="str">
        <f>IF(OR($A20="",$C20="",$D20="",$C20&gt;X$6,$D20&lt;X$9),"",IF($J20="里程碑","◆",""))</f>
        <v/>
      </c>
      <c r="Y20" s="8" t="str">
        <f>IF(OR($A20="",$C20="",$D20="",$C20&gt;Y$6,$D20&lt;Y$9),"",IF($J20="里程碑","◆",""))</f>
        <v/>
      </c>
      <c r="Z20" s="8" t="str">
        <f>IF(OR($A20="",$C20="",$D20="",$C20&gt;Z$6,$D20&lt;Z$9),"",IF($J20="里程碑","◆",""))</f>
        <v/>
      </c>
      <c r="AA20" s="8" t="str">
        <f>IF(OR($A20="",$C20="",$D20="",$C20&gt;AA$6,$D20&lt;AA$9),"",IF($J20="里程碑","◆",""))</f>
        <v/>
      </c>
      <c r="AB20" s="8" t="str">
        <f>IF(OR($A20="",$C20="",$D20="",$C20&gt;AB$6,$D20&lt;AB$9),"",IF($J20="里程碑","◆",""))</f>
        <v/>
      </c>
      <c r="AC20" s="8" t="str">
        <f>IF(OR($A20="",$C20="",$D20="",$C20&gt;AC$6,$D20&lt;AC$9),"",IF($J20="里程碑","◆",""))</f>
        <v/>
      </c>
      <c r="AD20" s="8" t="str">
        <f>IF(OR($A20="",$C20="",$D20="",$C20&gt;AD$6,$D20&lt;AD$9),"",IF($J20="里程碑","◆",""))</f>
        <v/>
      </c>
      <c r="AE20" s="8" t="str">
        <f>IF(OR($A20="",$C20="",$D20="",$C20&gt;AE$6,$D20&lt;AE$9),"",IF($J20="里程碑","◆",""))</f>
        <v/>
      </c>
      <c r="AF20" s="8" t="str">
        <f>IF(OR($A20="",$C20="",$D20="",$C20&gt;AF$6,$D20&lt;AF$9),"",IF($J20="里程碑","◆",""))</f>
        <v/>
      </c>
      <c r="AG20" s="8" t="str">
        <f>IF(OR($A20="",$C20="",$D20="",$C20&gt;AG$6,$D20&lt;AG$9),"",IF($J20="里程碑","◆",""))</f>
        <v/>
      </c>
      <c r="AH20" s="8" t="str">
        <f>IF(OR($A20="",$C20="",$D20="",$C20&gt;AH$6,$D20&lt;AH$9),"",IF($J20="里程碑","◆",""))</f>
        <v/>
      </c>
      <c r="AI20" s="8" t="str">
        <f>IF(OR($A20="",$C20="",$D20="",$C20&gt;AI$6,$D20&lt;AI$9),"",IF($J20="里程碑","◆",""))</f>
        <v/>
      </c>
      <c r="AJ20" s="8" t="str">
        <f>IF(OR($A20="",$C20="",$D20="",$C20&gt;AJ$6,$D20&lt;AJ$9),"",IF($J20="里程碑","◆",""))</f>
        <v/>
      </c>
      <c r="AK20" s="8" t="str">
        <f>IF(OR($A20="",$C20="",$D20="",$C20&gt;AK$6,$D20&lt;AK$9),"",IF($J20="里程碑","◆",""))</f>
        <v/>
      </c>
      <c r="AL20" s="8" t="str">
        <f>IF(OR($A20="",$C20="",$D20="",$C20&gt;AL$6,$D20&lt;AL$9),"",IF($J20="里程碑","◆",""))</f>
        <v/>
      </c>
      <c r="AM20" s="8" t="str">
        <f>IF(OR($A20="",$C20="",$D20="",$C20&gt;AM$6,$D20&lt;AM$9),"",IF($J20="里程碑","◆",""))</f>
        <v/>
      </c>
      <c r="AN20" s="8" t="str">
        <f>IF(OR($A20="",$C20="",$D20="",$C20&gt;AN$6,$D20&lt;AN$9),"",IF($J20="里程碑","◆",""))</f>
        <v/>
      </c>
      <c r="AO20" s="8" t="str">
        <f>IF(OR($A20="",$C20="",$D20="",$C20&gt;AO$6,$D20&lt;AO$9),"",IF($J20="里程碑","◆",""))</f>
        <v/>
      </c>
      <c r="AP20" s="8" t="str">
        <f>IF(OR($A20="",$C20="",$D20="",$C20&gt;AP$6,$D20&lt;AP$9),"",IF($J20="里程碑","◆",""))</f>
        <v/>
      </c>
      <c r="AQ20" s="8" t="str">
        <f>IF(OR($A20="",$C20="",$D20="",$C20&gt;AQ$6,$D20&lt;AQ$9),"",IF($J20="里程碑","◆",""))</f>
        <v/>
      </c>
      <c r="AR20" s="8" t="str">
        <f>IF(OR($A20="",$C20="",$D20="",$C20&gt;AR$6,$D20&lt;AR$9),"",IF($J20="里程碑","◆",""))</f>
        <v/>
      </c>
      <c r="AS20" s="8" t="str">
        <f>IF(OR($A20="",$C20="",$D20="",$C20&gt;AS$6,$D20&lt;AS$9),"",IF($J20="里程碑","◆",""))</f>
        <v/>
      </c>
      <c r="AT20" s="8" t="str">
        <f>IF(OR($A20="",$C20="",$D20="",$C20&gt;AT$6,$D20&lt;AT$9),"",IF($J20="里程碑","◆",""))</f>
        <v/>
      </c>
      <c r="AU20" s="8" t="str">
        <f>IF(OR($A20="",$C20="",$D20="",$C20&gt;AU$6,$D20&lt;AU$9),"",IF($J20="里程碑","◆",""))</f>
        <v/>
      </c>
      <c r="AV20" s="8" t="str">
        <f>IF(OR($A20="",$C20="",$D20="",$C20&gt;AV$6,$D20&lt;AV$9),"",IF($J20="里程碑","◆",""))</f>
        <v/>
      </c>
      <c r="AW20" s="8" t="str">
        <f>IF(OR($A20="",$C20="",$D20="",$C20&gt;AW$6,$D20&lt;AW$9),"",IF($J20="里程碑","◆",""))</f>
        <v/>
      </c>
      <c r="AX20" s="8" t="str">
        <f>IF(OR($A20="",$C20="",$D20="",$C20&gt;AX$6,$D20&lt;AX$9),"",IF($J20="里程碑","◆",""))</f>
        <v/>
      </c>
      <c r="AY20" s="8" t="str">
        <f>IF(OR($A20="",$C20="",$D20="",$C20&gt;AY$6,$D20&lt;AY$9),"",IF($J20="里程碑","◆",""))</f>
        <v/>
      </c>
      <c r="AZ20" s="8" t="str">
        <f>IF(OR($A20="",$C20="",$D20="",$C20&gt;AZ$6,$D20&lt;AZ$9),"",IF($J20="里程碑","◆",""))</f>
        <v/>
      </c>
      <c r="BA20" s="8" t="str">
        <f>IF(OR($A20="",$C20="",$D20="",$C20&gt;BA$6,$D20&lt;BA$9),"",IF($J20="里程碑","◆",""))</f>
        <v/>
      </c>
      <c r="BB20" s="8" t="str">
        <f>IF(OR($A20="",$C20="",$D20="",$C20&gt;BB$6,$D20&lt;BB$9),"",IF($J20="里程碑","◆",""))</f>
        <v/>
      </c>
      <c r="BC20" s="8" t="str">
        <f>IF(OR($A20="",$C20="",$D20="",$C20&gt;BC$6,$D20&lt;BC$9),"",IF($J20="里程碑","◆",""))</f>
        <v/>
      </c>
      <c r="BD20" s="8" t="str">
        <f>IF(OR($A20="",$C20="",$D20="",$C20&gt;BD$6,$D20&lt;BD$9),"",IF($J20="里程碑","◆",""))</f>
        <v/>
      </c>
      <c r="BE20" s="8" t="str">
        <f>IF(OR($A20="",$C20="",$D20="",$C20&gt;BE$6,$D20&lt;BE$9),"",IF($J20="里程碑","◆",""))</f>
        <v/>
      </c>
      <c r="BF20" s="8" t="str">
        <f>IF(OR($A20="",$C20="",$D20="",$C20&gt;BF$6,$D20&lt;BF$9),"",IF($J20="里程碑","◆",""))</f>
        <v/>
      </c>
      <c r="BG20" s="8" t="str">
        <f>IF(OR($A20="",$C20="",$D20="",$C20&gt;BG$6,$D20&lt;BG$9),"",IF($J20="里程碑","◆",""))</f>
        <v/>
      </c>
      <c r="BH20" s="8" t="str">
        <f>IF(OR($A20="",$C20="",$D20="",$C20&gt;BH$6,$D20&lt;BH$9),"",IF($J20="里程碑","◆",""))</f>
        <v/>
      </c>
      <c r="BI20" s="8" t="str">
        <f>IF(OR($A20="",$C20="",$D20="",$C20&gt;BI$6,$D20&lt;BI$9),"",IF($J20="里程碑","◆",""))</f>
        <v/>
      </c>
      <c r="BJ20" s="8" t="str">
        <f>IF(OR($A20="",$C20="",$D20="",$C20&gt;BJ$6,$D20&lt;BJ$9),"",IF($J20="里程碑","◆",""))</f>
        <v/>
      </c>
      <c r="BK20" s="8" t="str">
        <f>IF(OR($A20="",$C20="",$D20="",$C20&gt;BK$6,$D20&lt;BK$9),"",IF($J20="里程碑","◆",""))</f>
        <v/>
      </c>
      <c r="BL20" s="8" t="str">
        <f>IF(OR($A20="",$C20="",$D20="",$C20&gt;BL$6,$D20&lt;BL$9),"",IF($J20="里程碑","◆",""))</f>
        <v/>
      </c>
      <c r="BM20" s="8" t="str">
        <f>IF(OR($A20="",$C20="",$D20="",$C20&gt;BM$6,$D20&lt;BM$9),"",IF($J20="里程碑","◆",""))</f>
        <v/>
      </c>
      <c r="BN20" s="8" t="str">
        <f>IF(OR($A20="",$C20="",$D20="",$C20&gt;BN$6,$D20&lt;BN$9),"",IF($J20="里程碑","◆",""))</f>
        <v/>
      </c>
      <c r="BO20" s="8" t="str">
        <f>IF(OR($A20="",$C20="",$D20="",$C20&gt;BO$6,$D20&lt;BO$9),"",IF($J20="里程碑","◆",""))</f>
        <v/>
      </c>
      <c r="BP20" s="8" t="str">
        <f>IF(OR($A20="",$C20="",$D20="",$C20&gt;BP$6,$D20&lt;BP$9),"",IF($J20="里程碑","◆",""))</f>
        <v/>
      </c>
      <c r="BQ20" s="8" t="str">
        <f>IF(OR($A20="",$C20="",$D20="",$C20&gt;BQ$6,$D20&lt;BQ$9),"",IF($J20="里程碑","◆",""))</f>
        <v/>
      </c>
      <c r="BR20" s="8" t="str">
        <f>IF(OR($A20="",$C20="",$D20="",$C20&gt;BR$6,$D20&lt;BR$9),"",IF($J20="里程碑","◆",""))</f>
        <v/>
      </c>
      <c r="BS20" s="8" t="str">
        <f>IF(OR($A20="",$C20="",$D20="",$C20&gt;BS$6,$D20&lt;BS$9),"",IF($J20="里程碑","◆",""))</f>
        <v/>
      </c>
      <c r="BT20" s="8" t="str">
        <f>IF(OR($A20="",$C20="",$D20="",$C20&gt;BT$6,$D20&lt;BT$9),"",IF($J20="里程碑","◆",""))</f>
        <v/>
      </c>
      <c r="BU20" s="8" t="str">
        <f>IF(OR($A20="",$C20="",$D20="",$C20&gt;BU$6,$D20&lt;BU$9),"",IF($J20="里程碑","◆",""))</f>
        <v/>
      </c>
      <c r="BV20" s="8" t="str">
        <f>IF(OR($A20="",$C20="",$D20="",$C20&gt;BV$6,$D20&lt;BV$9),"",IF($J20="里程碑","◆",""))</f>
        <v/>
      </c>
      <c r="BW20" s="8" t="str">
        <f>IF(OR($A20="",$C20="",$D20="",$C20&gt;BW$6,$D20&lt;BW$9),"",IF($J20="里程碑","◆",""))</f>
        <v/>
      </c>
      <c r="BX20" s="8" t="str">
        <f>IF(OR($A20="",$C20="",$D20="",$C20&gt;BX$6,$D20&lt;BX$9),"",IF($J20="里程碑","◆",""))</f>
        <v/>
      </c>
      <c r="BY20" s="8" t="str">
        <f>IF(OR($A20="",$C20="",$D20="",$C20&gt;BY$6,$D20&lt;BY$9),"",IF($J20="里程碑","◆",""))</f>
        <v/>
      </c>
      <c r="BZ20" s="8" t="str">
        <f>IF(OR($A20="",$C20="",$D20="",$C20&gt;BZ$6,$D20&lt;BZ$9),"",IF($J20="里程碑","◆",""))</f>
        <v/>
      </c>
      <c r="CA20" s="8" t="str">
        <f>IF(OR($A20="",$C20="",$D20="",$C20&gt;CA$6,$D20&lt;CA$9),"",IF($J20="里程碑","◆",""))</f>
        <v/>
      </c>
      <c r="CB20" s="8" t="str">
        <f>IF(OR($A20="",$C20="",$D20="",$C20&gt;CB$6,$D20&lt;CB$9),"",IF($J20="里程碑","◆",""))</f>
        <v/>
      </c>
      <c r="CC20" s="8" t="str">
        <f>IF(OR($A20="",$C20="",$D20="",$C20&gt;CC$6,$D20&lt;CC$9),"",IF($J20="里程碑","◆",""))</f>
        <v/>
      </c>
      <c r="CD20" s="8" t="str">
        <f>IF(OR($A20="",$C20="",$D20="",$C20&gt;CD$6,$D20&lt;CD$9),"",IF($J20="里程碑","◆",""))</f>
        <v/>
      </c>
      <c r="CE20" s="8" t="str">
        <f>IF(OR($A20="",$C20="",$D20="",$C20&gt;CE$6,$D20&lt;CE$9),"",IF($J20="里程碑","◆",""))</f>
        <v/>
      </c>
      <c r="CF20" s="8" t="str">
        <f>IF(OR($A20="",$C20="",$D20="",$C20&gt;CF$6,$D20&lt;CF$9),"",IF($J20="里程碑","◆",""))</f>
        <v/>
      </c>
      <c r="CG20" s="8" t="str">
        <f>IF(OR($A20="",$C20="",$D20="",$C20&gt;CG$6,$D20&lt;CG$9),"",IF($J20="里程碑","◆",""))</f>
        <v/>
      </c>
      <c r="CH20" s="8" t="str">
        <f>IF(OR($A20="",$C20="",$D20="",$C20&gt;CH$6,$D20&lt;CH$9),"",IF($J20="里程碑","◆",""))</f>
        <v/>
      </c>
      <c r="CI20" s="8" t="str">
        <f>IF(OR($A20="",$C20="",$D20="",$C20&gt;CI$6,$D20&lt;CI$9),"",IF($J20="里程碑","◆",""))</f>
        <v/>
      </c>
      <c r="CJ20" s="8" t="str">
        <f>IF(OR($A20="",$C20="",$D20="",$C20&gt;CJ$6,$D20&lt;CJ$9),"",IF($J20="里程碑","◆",""))</f>
        <v/>
      </c>
      <c r="CK20" s="8" t="str">
        <f>IF(OR($A20="",$C20="",$D20="",$C20&gt;CK$6,$D20&lt;CK$9),"",IF($J20="里程碑","◆",""))</f>
        <v/>
      </c>
      <c r="CL20" s="8" t="str">
        <f>IF(OR($A20="",$C20="",$D20="",$C20&gt;CL$6,$D20&lt;CL$9),"",IF($J20="里程碑","◆",""))</f>
        <v/>
      </c>
      <c r="CM20" s="8" t="str">
        <f>IF(OR($A20="",$C20="",$D20="",$C20&gt;CM$6,$D20&lt;CM$9),"",IF($J20="里程碑","◆",""))</f>
        <v/>
      </c>
      <c r="CN20" s="8" t="str">
        <f>IF(OR($A20="",$C20="",$D20="",$C20&gt;CN$6,$D20&lt;CN$9),"",IF($J20="里程碑","◆",""))</f>
        <v/>
      </c>
      <c r="CO20" s="8" t="str">
        <f>IF(OR($A20="",$C20="",$D20="",$C20&gt;CO$6,$D20&lt;CO$9),"",IF($J20="里程碑","◆",""))</f>
        <v/>
      </c>
      <c r="CP20" s="8" t="str">
        <f>IF(OR($A20="",$C20="",$D20="",$C20&gt;CP$6,$D20&lt;CP$9),"",IF($J20="里程碑","◆",""))</f>
        <v/>
      </c>
      <c r="CQ20" s="8" t="str">
        <f>IF(OR($A20="",$C20="",$D20="",$C20&gt;CQ$6,$D20&lt;CQ$9),"",IF($J20="里程碑","◆",""))</f>
        <v/>
      </c>
      <c r="CR20" s="8" t="str">
        <f>IF(OR($A20="",$C20="",$D20="",$C20&gt;CR$6,$D20&lt;CR$9),"",IF($J20="里程碑","◆",""))</f>
        <v/>
      </c>
      <c r="CS20" s="8" t="str">
        <f>IF(OR($A20="",$C20="",$D20="",$C20&gt;CS$6,$D20&lt;CS$9),"",IF($J20="里程碑","◆",""))</f>
        <v/>
      </c>
      <c r="CT20" s="8" t="str">
        <f>IF(OR($A20="",$C20="",$D20="",$C20&gt;CT$6,$D20&lt;CT$9),"",IF($J20="里程碑","◆",""))</f>
        <v/>
      </c>
      <c r="CU20" s="8" t="str">
        <f>IF(OR($A20="",$C20="",$D20="",$C20&gt;CU$6,$D20&lt;CU$9),"",IF($J20="里程碑","◆",""))</f>
        <v/>
      </c>
      <c r="CV20" s="8" t="str">
        <f>IF(OR($A20="",$C20="",$D20="",$C20&gt;CV$6,$D20&lt;CV$9),"",IF($J20="里程碑","◆",""))</f>
        <v/>
      </c>
      <c r="CW20" s="8" t="str">
        <f>IF(OR($A20="",$C20="",$D20="",$C20&gt;CW$6,$D20&lt;CW$9),"",IF($J20="里程碑","◆",""))</f>
        <v/>
      </c>
      <c r="CX20" s="8" t="str">
        <f>IF(OR($A20="",$C20="",$D20="",$C20&gt;CX$6,$D20&lt;CX$9),"",IF($J20="里程碑","◆",""))</f>
        <v/>
      </c>
      <c r="CY20" s="8" t="str">
        <f>IF(OR($A20="",$C20="",$D20="",$C20&gt;CY$6,$D20&lt;CY$9),"",IF($J20="里程碑","◆",""))</f>
        <v/>
      </c>
      <c r="CZ20" s="8" t="str">
        <f>IF(OR($A20="",$C20="",$D20="",$C20&gt;CZ$6,$D20&lt;CZ$9),"",IF($J20="里程碑","◆",""))</f>
        <v/>
      </c>
      <c r="DA20" s="8" t="str">
        <f>IF(OR($A20="",$C20="",$D20="",$C20&gt;DA$6,$D20&lt;DA$9),"",IF($J20="里程碑","◆",""))</f>
        <v/>
      </c>
      <c r="DB20" s="8" t="str">
        <f>IF(OR($A20="",$C20="",$D20="",$C20&gt;DB$6,$D20&lt;DB$9),"",IF($J20="里程碑","◆",""))</f>
        <v/>
      </c>
      <c r="DC20" s="1" t="str">
        <f>IF(ROW()-9&gt;$DH$3,"",MATCH(ROW()-9,排期计算!$U$10:$U$109,0))</f>
        <v/>
      </c>
      <c r="DD20" s="1" t="str">
        <f>IF($DC20="","",INDEX(排期计算!$L$10:$L$109,$DC20))</f>
        <v/>
      </c>
      <c r="DE20" s="1"/>
      <c r="DF20" s="1"/>
      <c r="DG20" s="1"/>
      <c r="DH20" s="1"/>
      <c r="DI20" s="1"/>
      <c r="DJ20" s="1"/>
      <c r="DK20" s="1"/>
    </row>
    <row r="21" spans="1:115" ht="24.95" customHeight="1">
      <c r="A21" s="9" t="str">
        <f>IF($DC21="","",IF(AND(INDEX(排期计算!$A$10:$A$109,$DC21)="",NOT(ISNUMBER(INDEX(排期计算!$A$10:$A$109,$DC21)))),"",INDEX(排期计算!$A$10:$A$109,$DC21)))</f>
        <v/>
      </c>
      <c r="B21" s="1" t="str">
        <f>IF($DC21="","",REPT("　",$DD21-1)&amp;INDEX(排期计算!$B$10:$B$109,$DC21))</f>
        <v/>
      </c>
      <c r="C21" s="3" t="str">
        <f>IF($DC21="","",IF(AND(INDEX(排期计算!$M$10:$M$109,$DC21)="",NOT(ISNUMBER(INDEX(排期计算!$M$10:$M$109,$DC21)))),"",INDEX(排期计算!$M$10:$M$109,$DC21)))</f>
        <v/>
      </c>
      <c r="D21" s="3" t="str">
        <f>IF($DC21="","",IF(AND(INDEX(排期计算!$N$10:$N$109,$DC21)="",NOT(ISNUMBER(INDEX(排期计算!$N$10:$N$109,$DC21)))),"",INDEX(排期计算!$N$10:$N$109,$DC21)))</f>
        <v/>
      </c>
      <c r="E21" s="1" t="str">
        <f>IF(OR($C21="",$D21=""),"",IF($J21="里程碑",0,NETWORKDAYS($C21,$D21)))</f>
        <v/>
      </c>
      <c r="F21" s="7" t="str">
        <f>IF($DC21="","",IF(AND(INDEX(排期计算!$O$10:$O$109,$DC21)="",NOT(ISNUMBER(INDEX(排期计算!$O$10:$O$109,$DC21)))),"",INDEX(排期计算!$O$10:$O$109,$DC21)))</f>
        <v/>
      </c>
      <c r="G21" s="8" t="str">
        <f>IF($A21="","",IF(OR($C21="",$D21=""),"未排期",IF($F21&gt;=1,"已完成",IF($D21&lt;$B$4,"逾期",IF($C21&gt;$B$4,"未开始","进行中")))))</f>
        <v/>
      </c>
      <c r="H21" s="1" t="str">
        <f>IF($DC21="","",IF(AND(INDEX(排期计算!$C$10:$C$109,$DC21)="",NOT(ISNUMBER(INDEX(排期计算!$C$10:$C$109,$DC21)))),"",INDEX(排期计算!$C$10:$C$109,$DC21)))</f>
        <v/>
      </c>
      <c r="I21" s="1" t="str">
        <f>IF($DC21="","",IF(AND(INDEX(排期计算!$H$10:$H$109,$DC21)="",NOT(ISNUMBER(INDEX(排期计算!$H$10:$H$109,$DC21)))),"",INDEX(排期计算!$H$10:$H$109,$DC21)))</f>
        <v/>
      </c>
      <c r="J21" s="1" t="str">
        <f>IF($DC21="","",IF(AND(INDEX(排期计算!$K$10:$K$109,$DC21)="",NOT(ISNUMBER(INDEX(排期计算!$K$10:$K$109,$DC21)))),"",INDEX(排期计算!$K$10:$K$109,$DC21)))</f>
        <v/>
      </c>
      <c r="K21" s="8" t="str">
        <f>IF(OR($A21="",$C21="",$D21="",$C21&gt;K$6,$D21&lt;K$9),"",IF($J21="里程碑","◆",""))</f>
        <v/>
      </c>
      <c r="L21" s="8" t="str">
        <f>IF(OR($A21="",$C21="",$D21="",$C21&gt;L$6,$D21&lt;L$9),"",IF($J21="里程碑","◆",""))</f>
        <v/>
      </c>
      <c r="M21" s="8" t="str">
        <f>IF(OR($A21="",$C21="",$D21="",$C21&gt;M$6,$D21&lt;M$9),"",IF($J21="里程碑","◆",""))</f>
        <v/>
      </c>
      <c r="N21" s="8" t="str">
        <f>IF(OR($A21="",$C21="",$D21="",$C21&gt;N$6,$D21&lt;N$9),"",IF($J21="里程碑","◆",""))</f>
        <v/>
      </c>
      <c r="O21" s="8" t="str">
        <f>IF(OR($A21="",$C21="",$D21="",$C21&gt;O$6,$D21&lt;O$9),"",IF($J21="里程碑","◆",""))</f>
        <v/>
      </c>
      <c r="P21" s="8" t="str">
        <f>IF(OR($A21="",$C21="",$D21="",$C21&gt;P$6,$D21&lt;P$9),"",IF($J21="里程碑","◆",""))</f>
        <v/>
      </c>
      <c r="Q21" s="8" t="str">
        <f>IF(OR($A21="",$C21="",$D21="",$C21&gt;Q$6,$D21&lt;Q$9),"",IF($J21="里程碑","◆",""))</f>
        <v/>
      </c>
      <c r="R21" s="8" t="str">
        <f>IF(OR($A21="",$C21="",$D21="",$C21&gt;R$6,$D21&lt;R$9),"",IF($J21="里程碑","◆",""))</f>
        <v/>
      </c>
      <c r="S21" s="8" t="str">
        <f>IF(OR($A21="",$C21="",$D21="",$C21&gt;S$6,$D21&lt;S$9),"",IF($J21="里程碑","◆",""))</f>
        <v/>
      </c>
      <c r="T21" s="8" t="str">
        <f>IF(OR($A21="",$C21="",$D21="",$C21&gt;T$6,$D21&lt;T$9),"",IF($J21="里程碑","◆",""))</f>
        <v/>
      </c>
      <c r="U21" s="8" t="str">
        <f>IF(OR($A21="",$C21="",$D21="",$C21&gt;U$6,$D21&lt;U$9),"",IF($J21="里程碑","◆",""))</f>
        <v/>
      </c>
      <c r="V21" s="8" t="str">
        <f>IF(OR($A21="",$C21="",$D21="",$C21&gt;V$6,$D21&lt;V$9),"",IF($J21="里程碑","◆",""))</f>
        <v/>
      </c>
      <c r="W21" s="8" t="str">
        <f>IF(OR($A21="",$C21="",$D21="",$C21&gt;W$6,$D21&lt;W$9),"",IF($J21="里程碑","◆",""))</f>
        <v/>
      </c>
      <c r="X21" s="8" t="str">
        <f>IF(OR($A21="",$C21="",$D21="",$C21&gt;X$6,$D21&lt;X$9),"",IF($J21="里程碑","◆",""))</f>
        <v/>
      </c>
      <c r="Y21" s="8" t="str">
        <f>IF(OR($A21="",$C21="",$D21="",$C21&gt;Y$6,$D21&lt;Y$9),"",IF($J21="里程碑","◆",""))</f>
        <v/>
      </c>
      <c r="Z21" s="8" t="str">
        <f>IF(OR($A21="",$C21="",$D21="",$C21&gt;Z$6,$D21&lt;Z$9),"",IF($J21="里程碑","◆",""))</f>
        <v/>
      </c>
      <c r="AA21" s="8" t="str">
        <f>IF(OR($A21="",$C21="",$D21="",$C21&gt;AA$6,$D21&lt;AA$9),"",IF($J21="里程碑","◆",""))</f>
        <v/>
      </c>
      <c r="AB21" s="8" t="str">
        <f>IF(OR($A21="",$C21="",$D21="",$C21&gt;AB$6,$D21&lt;AB$9),"",IF($J21="里程碑","◆",""))</f>
        <v/>
      </c>
      <c r="AC21" s="8" t="str">
        <f>IF(OR($A21="",$C21="",$D21="",$C21&gt;AC$6,$D21&lt;AC$9),"",IF($J21="里程碑","◆",""))</f>
        <v/>
      </c>
      <c r="AD21" s="8" t="str">
        <f>IF(OR($A21="",$C21="",$D21="",$C21&gt;AD$6,$D21&lt;AD$9),"",IF($J21="里程碑","◆",""))</f>
        <v/>
      </c>
      <c r="AE21" s="8" t="str">
        <f>IF(OR($A21="",$C21="",$D21="",$C21&gt;AE$6,$D21&lt;AE$9),"",IF($J21="里程碑","◆",""))</f>
        <v/>
      </c>
      <c r="AF21" s="8" t="str">
        <f>IF(OR($A21="",$C21="",$D21="",$C21&gt;AF$6,$D21&lt;AF$9),"",IF($J21="里程碑","◆",""))</f>
        <v/>
      </c>
      <c r="AG21" s="8" t="str">
        <f>IF(OR($A21="",$C21="",$D21="",$C21&gt;AG$6,$D21&lt;AG$9),"",IF($J21="里程碑","◆",""))</f>
        <v/>
      </c>
      <c r="AH21" s="8" t="str">
        <f>IF(OR($A21="",$C21="",$D21="",$C21&gt;AH$6,$D21&lt;AH$9),"",IF($J21="里程碑","◆",""))</f>
        <v/>
      </c>
      <c r="AI21" s="8" t="str">
        <f>IF(OR($A21="",$C21="",$D21="",$C21&gt;AI$6,$D21&lt;AI$9),"",IF($J21="里程碑","◆",""))</f>
        <v/>
      </c>
      <c r="AJ21" s="8" t="str">
        <f>IF(OR($A21="",$C21="",$D21="",$C21&gt;AJ$6,$D21&lt;AJ$9),"",IF($J21="里程碑","◆",""))</f>
        <v/>
      </c>
      <c r="AK21" s="8" t="str">
        <f>IF(OR($A21="",$C21="",$D21="",$C21&gt;AK$6,$D21&lt;AK$9),"",IF($J21="里程碑","◆",""))</f>
        <v/>
      </c>
      <c r="AL21" s="8" t="str">
        <f>IF(OR($A21="",$C21="",$D21="",$C21&gt;AL$6,$D21&lt;AL$9),"",IF($J21="里程碑","◆",""))</f>
        <v/>
      </c>
      <c r="AM21" s="8" t="str">
        <f>IF(OR($A21="",$C21="",$D21="",$C21&gt;AM$6,$D21&lt;AM$9),"",IF($J21="里程碑","◆",""))</f>
        <v/>
      </c>
      <c r="AN21" s="8" t="str">
        <f>IF(OR($A21="",$C21="",$D21="",$C21&gt;AN$6,$D21&lt;AN$9),"",IF($J21="里程碑","◆",""))</f>
        <v/>
      </c>
      <c r="AO21" s="8" t="str">
        <f>IF(OR($A21="",$C21="",$D21="",$C21&gt;AO$6,$D21&lt;AO$9),"",IF($J21="里程碑","◆",""))</f>
        <v/>
      </c>
      <c r="AP21" s="8" t="str">
        <f>IF(OR($A21="",$C21="",$D21="",$C21&gt;AP$6,$D21&lt;AP$9),"",IF($J21="里程碑","◆",""))</f>
        <v/>
      </c>
      <c r="AQ21" s="8" t="str">
        <f>IF(OR($A21="",$C21="",$D21="",$C21&gt;AQ$6,$D21&lt;AQ$9),"",IF($J21="里程碑","◆",""))</f>
        <v/>
      </c>
      <c r="AR21" s="8" t="str">
        <f>IF(OR($A21="",$C21="",$D21="",$C21&gt;AR$6,$D21&lt;AR$9),"",IF($J21="里程碑","◆",""))</f>
        <v/>
      </c>
      <c r="AS21" s="8" t="str">
        <f>IF(OR($A21="",$C21="",$D21="",$C21&gt;AS$6,$D21&lt;AS$9),"",IF($J21="里程碑","◆",""))</f>
        <v/>
      </c>
      <c r="AT21" s="8" t="str">
        <f>IF(OR($A21="",$C21="",$D21="",$C21&gt;AT$6,$D21&lt;AT$9),"",IF($J21="里程碑","◆",""))</f>
        <v/>
      </c>
      <c r="AU21" s="8" t="str">
        <f>IF(OR($A21="",$C21="",$D21="",$C21&gt;AU$6,$D21&lt;AU$9),"",IF($J21="里程碑","◆",""))</f>
        <v/>
      </c>
      <c r="AV21" s="8" t="str">
        <f>IF(OR($A21="",$C21="",$D21="",$C21&gt;AV$6,$D21&lt;AV$9),"",IF($J21="里程碑","◆",""))</f>
        <v/>
      </c>
      <c r="AW21" s="8" t="str">
        <f>IF(OR($A21="",$C21="",$D21="",$C21&gt;AW$6,$D21&lt;AW$9),"",IF($J21="里程碑","◆",""))</f>
        <v/>
      </c>
      <c r="AX21" s="8" t="str">
        <f>IF(OR($A21="",$C21="",$D21="",$C21&gt;AX$6,$D21&lt;AX$9),"",IF($J21="里程碑","◆",""))</f>
        <v/>
      </c>
      <c r="AY21" s="8" t="str">
        <f>IF(OR($A21="",$C21="",$D21="",$C21&gt;AY$6,$D21&lt;AY$9),"",IF($J21="里程碑","◆",""))</f>
        <v/>
      </c>
      <c r="AZ21" s="8" t="str">
        <f>IF(OR($A21="",$C21="",$D21="",$C21&gt;AZ$6,$D21&lt;AZ$9),"",IF($J21="里程碑","◆",""))</f>
        <v/>
      </c>
      <c r="BA21" s="8" t="str">
        <f>IF(OR($A21="",$C21="",$D21="",$C21&gt;BA$6,$D21&lt;BA$9),"",IF($J21="里程碑","◆",""))</f>
        <v/>
      </c>
      <c r="BB21" s="8" t="str">
        <f>IF(OR($A21="",$C21="",$D21="",$C21&gt;BB$6,$D21&lt;BB$9),"",IF($J21="里程碑","◆",""))</f>
        <v/>
      </c>
      <c r="BC21" s="8" t="str">
        <f>IF(OR($A21="",$C21="",$D21="",$C21&gt;BC$6,$D21&lt;BC$9),"",IF($J21="里程碑","◆",""))</f>
        <v/>
      </c>
      <c r="BD21" s="8" t="str">
        <f>IF(OR($A21="",$C21="",$D21="",$C21&gt;BD$6,$D21&lt;BD$9),"",IF($J21="里程碑","◆",""))</f>
        <v/>
      </c>
      <c r="BE21" s="8" t="str">
        <f>IF(OR($A21="",$C21="",$D21="",$C21&gt;BE$6,$D21&lt;BE$9),"",IF($J21="里程碑","◆",""))</f>
        <v/>
      </c>
      <c r="BF21" s="8" t="str">
        <f>IF(OR($A21="",$C21="",$D21="",$C21&gt;BF$6,$D21&lt;BF$9),"",IF($J21="里程碑","◆",""))</f>
        <v/>
      </c>
      <c r="BG21" s="8" t="str">
        <f>IF(OR($A21="",$C21="",$D21="",$C21&gt;BG$6,$D21&lt;BG$9),"",IF($J21="里程碑","◆",""))</f>
        <v/>
      </c>
      <c r="BH21" s="8" t="str">
        <f>IF(OR($A21="",$C21="",$D21="",$C21&gt;BH$6,$D21&lt;BH$9),"",IF($J21="里程碑","◆",""))</f>
        <v/>
      </c>
      <c r="BI21" s="8" t="str">
        <f>IF(OR($A21="",$C21="",$D21="",$C21&gt;BI$6,$D21&lt;BI$9),"",IF($J21="里程碑","◆",""))</f>
        <v/>
      </c>
      <c r="BJ21" s="8" t="str">
        <f>IF(OR($A21="",$C21="",$D21="",$C21&gt;BJ$6,$D21&lt;BJ$9),"",IF($J21="里程碑","◆",""))</f>
        <v/>
      </c>
      <c r="BK21" s="8" t="str">
        <f>IF(OR($A21="",$C21="",$D21="",$C21&gt;BK$6,$D21&lt;BK$9),"",IF($J21="里程碑","◆",""))</f>
        <v/>
      </c>
      <c r="BL21" s="8" t="str">
        <f>IF(OR($A21="",$C21="",$D21="",$C21&gt;BL$6,$D21&lt;BL$9),"",IF($J21="里程碑","◆",""))</f>
        <v/>
      </c>
      <c r="BM21" s="8" t="str">
        <f>IF(OR($A21="",$C21="",$D21="",$C21&gt;BM$6,$D21&lt;BM$9),"",IF($J21="里程碑","◆",""))</f>
        <v/>
      </c>
      <c r="BN21" s="8" t="str">
        <f>IF(OR($A21="",$C21="",$D21="",$C21&gt;BN$6,$D21&lt;BN$9),"",IF($J21="里程碑","◆",""))</f>
        <v/>
      </c>
      <c r="BO21" s="8" t="str">
        <f>IF(OR($A21="",$C21="",$D21="",$C21&gt;BO$6,$D21&lt;BO$9),"",IF($J21="里程碑","◆",""))</f>
        <v/>
      </c>
      <c r="BP21" s="8" t="str">
        <f>IF(OR($A21="",$C21="",$D21="",$C21&gt;BP$6,$D21&lt;BP$9),"",IF($J21="里程碑","◆",""))</f>
        <v/>
      </c>
      <c r="BQ21" s="8" t="str">
        <f>IF(OR($A21="",$C21="",$D21="",$C21&gt;BQ$6,$D21&lt;BQ$9),"",IF($J21="里程碑","◆",""))</f>
        <v/>
      </c>
      <c r="BR21" s="8" t="str">
        <f>IF(OR($A21="",$C21="",$D21="",$C21&gt;BR$6,$D21&lt;BR$9),"",IF($J21="里程碑","◆",""))</f>
        <v/>
      </c>
      <c r="BS21" s="8" t="str">
        <f>IF(OR($A21="",$C21="",$D21="",$C21&gt;BS$6,$D21&lt;BS$9),"",IF($J21="里程碑","◆",""))</f>
        <v/>
      </c>
      <c r="BT21" s="8" t="str">
        <f>IF(OR($A21="",$C21="",$D21="",$C21&gt;BT$6,$D21&lt;BT$9),"",IF($J21="里程碑","◆",""))</f>
        <v/>
      </c>
      <c r="BU21" s="8" t="str">
        <f>IF(OR($A21="",$C21="",$D21="",$C21&gt;BU$6,$D21&lt;BU$9),"",IF($J21="里程碑","◆",""))</f>
        <v/>
      </c>
      <c r="BV21" s="8" t="str">
        <f>IF(OR($A21="",$C21="",$D21="",$C21&gt;BV$6,$D21&lt;BV$9),"",IF($J21="里程碑","◆",""))</f>
        <v/>
      </c>
      <c r="BW21" s="8" t="str">
        <f>IF(OR($A21="",$C21="",$D21="",$C21&gt;BW$6,$D21&lt;BW$9),"",IF($J21="里程碑","◆",""))</f>
        <v/>
      </c>
      <c r="BX21" s="8" t="str">
        <f>IF(OR($A21="",$C21="",$D21="",$C21&gt;BX$6,$D21&lt;BX$9),"",IF($J21="里程碑","◆",""))</f>
        <v/>
      </c>
      <c r="BY21" s="8" t="str">
        <f>IF(OR($A21="",$C21="",$D21="",$C21&gt;BY$6,$D21&lt;BY$9),"",IF($J21="里程碑","◆",""))</f>
        <v/>
      </c>
      <c r="BZ21" s="8" t="str">
        <f>IF(OR($A21="",$C21="",$D21="",$C21&gt;BZ$6,$D21&lt;BZ$9),"",IF($J21="里程碑","◆",""))</f>
        <v/>
      </c>
      <c r="CA21" s="8" t="str">
        <f>IF(OR($A21="",$C21="",$D21="",$C21&gt;CA$6,$D21&lt;CA$9),"",IF($J21="里程碑","◆",""))</f>
        <v/>
      </c>
      <c r="CB21" s="8" t="str">
        <f>IF(OR($A21="",$C21="",$D21="",$C21&gt;CB$6,$D21&lt;CB$9),"",IF($J21="里程碑","◆",""))</f>
        <v/>
      </c>
      <c r="CC21" s="8" t="str">
        <f>IF(OR($A21="",$C21="",$D21="",$C21&gt;CC$6,$D21&lt;CC$9),"",IF($J21="里程碑","◆",""))</f>
        <v/>
      </c>
      <c r="CD21" s="8" t="str">
        <f>IF(OR($A21="",$C21="",$D21="",$C21&gt;CD$6,$D21&lt;CD$9),"",IF($J21="里程碑","◆",""))</f>
        <v/>
      </c>
      <c r="CE21" s="8" t="str">
        <f>IF(OR($A21="",$C21="",$D21="",$C21&gt;CE$6,$D21&lt;CE$9),"",IF($J21="里程碑","◆",""))</f>
        <v/>
      </c>
      <c r="CF21" s="8" t="str">
        <f>IF(OR($A21="",$C21="",$D21="",$C21&gt;CF$6,$D21&lt;CF$9),"",IF($J21="里程碑","◆",""))</f>
        <v/>
      </c>
      <c r="CG21" s="8" t="str">
        <f>IF(OR($A21="",$C21="",$D21="",$C21&gt;CG$6,$D21&lt;CG$9),"",IF($J21="里程碑","◆",""))</f>
        <v/>
      </c>
      <c r="CH21" s="8" t="str">
        <f>IF(OR($A21="",$C21="",$D21="",$C21&gt;CH$6,$D21&lt;CH$9),"",IF($J21="里程碑","◆",""))</f>
        <v/>
      </c>
      <c r="CI21" s="8" t="str">
        <f>IF(OR($A21="",$C21="",$D21="",$C21&gt;CI$6,$D21&lt;CI$9),"",IF($J21="里程碑","◆",""))</f>
        <v/>
      </c>
      <c r="CJ21" s="8" t="str">
        <f>IF(OR($A21="",$C21="",$D21="",$C21&gt;CJ$6,$D21&lt;CJ$9),"",IF($J21="里程碑","◆",""))</f>
        <v/>
      </c>
      <c r="CK21" s="8" t="str">
        <f>IF(OR($A21="",$C21="",$D21="",$C21&gt;CK$6,$D21&lt;CK$9),"",IF($J21="里程碑","◆",""))</f>
        <v/>
      </c>
      <c r="CL21" s="8" t="str">
        <f>IF(OR($A21="",$C21="",$D21="",$C21&gt;CL$6,$D21&lt;CL$9),"",IF($J21="里程碑","◆",""))</f>
        <v/>
      </c>
      <c r="CM21" s="8" t="str">
        <f>IF(OR($A21="",$C21="",$D21="",$C21&gt;CM$6,$D21&lt;CM$9),"",IF($J21="里程碑","◆",""))</f>
        <v/>
      </c>
      <c r="CN21" s="8" t="str">
        <f>IF(OR($A21="",$C21="",$D21="",$C21&gt;CN$6,$D21&lt;CN$9),"",IF($J21="里程碑","◆",""))</f>
        <v/>
      </c>
      <c r="CO21" s="8" t="str">
        <f>IF(OR($A21="",$C21="",$D21="",$C21&gt;CO$6,$D21&lt;CO$9),"",IF($J21="里程碑","◆",""))</f>
        <v/>
      </c>
      <c r="CP21" s="8" t="str">
        <f>IF(OR($A21="",$C21="",$D21="",$C21&gt;CP$6,$D21&lt;CP$9),"",IF($J21="里程碑","◆",""))</f>
        <v/>
      </c>
      <c r="CQ21" s="8" t="str">
        <f>IF(OR($A21="",$C21="",$D21="",$C21&gt;CQ$6,$D21&lt;CQ$9),"",IF($J21="里程碑","◆",""))</f>
        <v/>
      </c>
      <c r="CR21" s="8" t="str">
        <f>IF(OR($A21="",$C21="",$D21="",$C21&gt;CR$6,$D21&lt;CR$9),"",IF($J21="里程碑","◆",""))</f>
        <v/>
      </c>
      <c r="CS21" s="8" t="str">
        <f>IF(OR($A21="",$C21="",$D21="",$C21&gt;CS$6,$D21&lt;CS$9),"",IF($J21="里程碑","◆",""))</f>
        <v/>
      </c>
      <c r="CT21" s="8" t="str">
        <f>IF(OR($A21="",$C21="",$D21="",$C21&gt;CT$6,$D21&lt;CT$9),"",IF($J21="里程碑","◆",""))</f>
        <v/>
      </c>
      <c r="CU21" s="8" t="str">
        <f>IF(OR($A21="",$C21="",$D21="",$C21&gt;CU$6,$D21&lt;CU$9),"",IF($J21="里程碑","◆",""))</f>
        <v/>
      </c>
      <c r="CV21" s="8" t="str">
        <f>IF(OR($A21="",$C21="",$D21="",$C21&gt;CV$6,$D21&lt;CV$9),"",IF($J21="里程碑","◆",""))</f>
        <v/>
      </c>
      <c r="CW21" s="8" t="str">
        <f>IF(OR($A21="",$C21="",$D21="",$C21&gt;CW$6,$D21&lt;CW$9),"",IF($J21="里程碑","◆",""))</f>
        <v/>
      </c>
      <c r="CX21" s="8" t="str">
        <f>IF(OR($A21="",$C21="",$D21="",$C21&gt;CX$6,$D21&lt;CX$9),"",IF($J21="里程碑","◆",""))</f>
        <v/>
      </c>
      <c r="CY21" s="8" t="str">
        <f>IF(OR($A21="",$C21="",$D21="",$C21&gt;CY$6,$D21&lt;CY$9),"",IF($J21="里程碑","◆",""))</f>
        <v/>
      </c>
      <c r="CZ21" s="8" t="str">
        <f>IF(OR($A21="",$C21="",$D21="",$C21&gt;CZ$6,$D21&lt;CZ$9),"",IF($J21="里程碑","◆",""))</f>
        <v/>
      </c>
      <c r="DA21" s="8" t="str">
        <f>IF(OR($A21="",$C21="",$D21="",$C21&gt;DA$6,$D21&lt;DA$9),"",IF($J21="里程碑","◆",""))</f>
        <v/>
      </c>
      <c r="DB21" s="8" t="str">
        <f>IF(OR($A21="",$C21="",$D21="",$C21&gt;DB$6,$D21&lt;DB$9),"",IF($J21="里程碑","◆",""))</f>
        <v/>
      </c>
      <c r="DC21" s="1" t="str">
        <f>IF(ROW()-9&gt;$DH$3,"",MATCH(ROW()-9,排期计算!$U$10:$U$109,0))</f>
        <v/>
      </c>
      <c r="DD21" s="1" t="str">
        <f>IF($DC21="","",INDEX(排期计算!$L$10:$L$109,$DC21))</f>
        <v/>
      </c>
      <c r="DE21" s="1"/>
      <c r="DF21" s="1"/>
      <c r="DG21" s="1"/>
      <c r="DH21" s="1"/>
      <c r="DI21" s="1"/>
      <c r="DJ21" s="1"/>
      <c r="DK21" s="1"/>
    </row>
    <row r="22" spans="1:115" ht="24.95" customHeight="1">
      <c r="A22" s="9" t="str">
        <f>IF($DC22="","",IF(AND(INDEX(排期计算!$A$10:$A$109,$DC22)="",NOT(ISNUMBER(INDEX(排期计算!$A$10:$A$109,$DC22)))),"",INDEX(排期计算!$A$10:$A$109,$DC22)))</f>
        <v/>
      </c>
      <c r="B22" s="1" t="str">
        <f>IF($DC22="","",REPT("　",$DD22-1)&amp;INDEX(排期计算!$B$10:$B$109,$DC22))</f>
        <v/>
      </c>
      <c r="C22" s="3" t="str">
        <f>IF($DC22="","",IF(AND(INDEX(排期计算!$M$10:$M$109,$DC22)="",NOT(ISNUMBER(INDEX(排期计算!$M$10:$M$109,$DC22)))),"",INDEX(排期计算!$M$10:$M$109,$DC22)))</f>
        <v/>
      </c>
      <c r="D22" s="3" t="str">
        <f>IF($DC22="","",IF(AND(INDEX(排期计算!$N$10:$N$109,$DC22)="",NOT(ISNUMBER(INDEX(排期计算!$N$10:$N$109,$DC22)))),"",INDEX(排期计算!$N$10:$N$109,$DC22)))</f>
        <v/>
      </c>
      <c r="E22" s="1" t="str">
        <f>IF(OR($C22="",$D22=""),"",IF($J22="里程碑",0,NETWORKDAYS($C22,$D22)))</f>
        <v/>
      </c>
      <c r="F22" s="7" t="str">
        <f>IF($DC22="","",IF(AND(INDEX(排期计算!$O$10:$O$109,$DC22)="",NOT(ISNUMBER(INDEX(排期计算!$O$10:$O$109,$DC22)))),"",INDEX(排期计算!$O$10:$O$109,$DC22)))</f>
        <v/>
      </c>
      <c r="G22" s="8" t="str">
        <f>IF($A22="","",IF(OR($C22="",$D22=""),"未排期",IF($F22&gt;=1,"已完成",IF($D22&lt;$B$4,"逾期",IF($C22&gt;$B$4,"未开始","进行中")))))</f>
        <v/>
      </c>
      <c r="H22" s="1" t="str">
        <f>IF($DC22="","",IF(AND(INDEX(排期计算!$C$10:$C$109,$DC22)="",NOT(ISNUMBER(INDEX(排期计算!$C$10:$C$109,$DC22)))),"",INDEX(排期计算!$C$10:$C$109,$DC22)))</f>
        <v/>
      </c>
      <c r="I22" s="1" t="str">
        <f>IF($DC22="","",IF(AND(INDEX(排期计算!$H$10:$H$109,$DC22)="",NOT(ISNUMBER(INDEX(排期计算!$H$10:$H$109,$DC22)))),"",INDEX(排期计算!$H$10:$H$109,$DC22)))</f>
        <v/>
      </c>
      <c r="J22" s="1" t="str">
        <f>IF($DC22="","",IF(AND(INDEX(排期计算!$K$10:$K$109,$DC22)="",NOT(ISNUMBER(INDEX(排期计算!$K$10:$K$109,$DC22)))),"",INDEX(排期计算!$K$10:$K$109,$DC22)))</f>
        <v/>
      </c>
      <c r="K22" s="8" t="str">
        <f>IF(OR($A22="",$C22="",$D22="",$C22&gt;K$6,$D22&lt;K$9),"",IF($J22="里程碑","◆",""))</f>
        <v/>
      </c>
      <c r="L22" s="8" t="str">
        <f>IF(OR($A22="",$C22="",$D22="",$C22&gt;L$6,$D22&lt;L$9),"",IF($J22="里程碑","◆",""))</f>
        <v/>
      </c>
      <c r="M22" s="8" t="str">
        <f>IF(OR($A22="",$C22="",$D22="",$C22&gt;M$6,$D22&lt;M$9),"",IF($J22="里程碑","◆",""))</f>
        <v/>
      </c>
      <c r="N22" s="8" t="str">
        <f>IF(OR($A22="",$C22="",$D22="",$C22&gt;N$6,$D22&lt;N$9),"",IF($J22="里程碑","◆",""))</f>
        <v/>
      </c>
      <c r="O22" s="8" t="str">
        <f>IF(OR($A22="",$C22="",$D22="",$C22&gt;O$6,$D22&lt;O$9),"",IF($J22="里程碑","◆",""))</f>
        <v/>
      </c>
      <c r="P22" s="8" t="str">
        <f>IF(OR($A22="",$C22="",$D22="",$C22&gt;P$6,$D22&lt;P$9),"",IF($J22="里程碑","◆",""))</f>
        <v/>
      </c>
      <c r="Q22" s="8" t="str">
        <f>IF(OR($A22="",$C22="",$D22="",$C22&gt;Q$6,$D22&lt;Q$9),"",IF($J22="里程碑","◆",""))</f>
        <v/>
      </c>
      <c r="R22" s="8" t="str">
        <f>IF(OR($A22="",$C22="",$D22="",$C22&gt;R$6,$D22&lt;R$9),"",IF($J22="里程碑","◆",""))</f>
        <v/>
      </c>
      <c r="S22" s="8" t="str">
        <f>IF(OR($A22="",$C22="",$D22="",$C22&gt;S$6,$D22&lt;S$9),"",IF($J22="里程碑","◆",""))</f>
        <v/>
      </c>
      <c r="T22" s="8" t="str">
        <f>IF(OR($A22="",$C22="",$D22="",$C22&gt;T$6,$D22&lt;T$9),"",IF($J22="里程碑","◆",""))</f>
        <v/>
      </c>
      <c r="U22" s="8" t="str">
        <f>IF(OR($A22="",$C22="",$D22="",$C22&gt;U$6,$D22&lt;U$9),"",IF($J22="里程碑","◆",""))</f>
        <v/>
      </c>
      <c r="V22" s="8" t="str">
        <f>IF(OR($A22="",$C22="",$D22="",$C22&gt;V$6,$D22&lt;V$9),"",IF($J22="里程碑","◆",""))</f>
        <v/>
      </c>
      <c r="W22" s="8" t="str">
        <f>IF(OR($A22="",$C22="",$D22="",$C22&gt;W$6,$D22&lt;W$9),"",IF($J22="里程碑","◆",""))</f>
        <v/>
      </c>
      <c r="X22" s="8" t="str">
        <f>IF(OR($A22="",$C22="",$D22="",$C22&gt;X$6,$D22&lt;X$9),"",IF($J22="里程碑","◆",""))</f>
        <v/>
      </c>
      <c r="Y22" s="8" t="str">
        <f>IF(OR($A22="",$C22="",$D22="",$C22&gt;Y$6,$D22&lt;Y$9),"",IF($J22="里程碑","◆",""))</f>
        <v/>
      </c>
      <c r="Z22" s="8" t="str">
        <f>IF(OR($A22="",$C22="",$D22="",$C22&gt;Z$6,$D22&lt;Z$9),"",IF($J22="里程碑","◆",""))</f>
        <v/>
      </c>
      <c r="AA22" s="8" t="str">
        <f>IF(OR($A22="",$C22="",$D22="",$C22&gt;AA$6,$D22&lt;AA$9),"",IF($J22="里程碑","◆",""))</f>
        <v/>
      </c>
      <c r="AB22" s="8" t="str">
        <f>IF(OR($A22="",$C22="",$D22="",$C22&gt;AB$6,$D22&lt;AB$9),"",IF($J22="里程碑","◆",""))</f>
        <v/>
      </c>
      <c r="AC22" s="8" t="str">
        <f>IF(OR($A22="",$C22="",$D22="",$C22&gt;AC$6,$D22&lt;AC$9),"",IF($J22="里程碑","◆",""))</f>
        <v/>
      </c>
      <c r="AD22" s="8" t="str">
        <f>IF(OR($A22="",$C22="",$D22="",$C22&gt;AD$6,$D22&lt;AD$9),"",IF($J22="里程碑","◆",""))</f>
        <v/>
      </c>
      <c r="AE22" s="8" t="str">
        <f>IF(OR($A22="",$C22="",$D22="",$C22&gt;AE$6,$D22&lt;AE$9),"",IF($J22="里程碑","◆",""))</f>
        <v/>
      </c>
      <c r="AF22" s="8" t="str">
        <f>IF(OR($A22="",$C22="",$D22="",$C22&gt;AF$6,$D22&lt;AF$9),"",IF($J22="里程碑","◆",""))</f>
        <v/>
      </c>
      <c r="AG22" s="8" t="str">
        <f>IF(OR($A22="",$C22="",$D22="",$C22&gt;AG$6,$D22&lt;AG$9),"",IF($J22="里程碑","◆",""))</f>
        <v/>
      </c>
      <c r="AH22" s="8" t="str">
        <f>IF(OR($A22="",$C22="",$D22="",$C22&gt;AH$6,$D22&lt;AH$9),"",IF($J22="里程碑","◆",""))</f>
        <v/>
      </c>
      <c r="AI22" s="8" t="str">
        <f>IF(OR($A22="",$C22="",$D22="",$C22&gt;AI$6,$D22&lt;AI$9),"",IF($J22="里程碑","◆",""))</f>
        <v/>
      </c>
      <c r="AJ22" s="8" t="str">
        <f>IF(OR($A22="",$C22="",$D22="",$C22&gt;AJ$6,$D22&lt;AJ$9),"",IF($J22="里程碑","◆",""))</f>
        <v/>
      </c>
      <c r="AK22" s="8" t="str">
        <f>IF(OR($A22="",$C22="",$D22="",$C22&gt;AK$6,$D22&lt;AK$9),"",IF($J22="里程碑","◆",""))</f>
        <v/>
      </c>
      <c r="AL22" s="8" t="str">
        <f>IF(OR($A22="",$C22="",$D22="",$C22&gt;AL$6,$D22&lt;AL$9),"",IF($J22="里程碑","◆",""))</f>
        <v/>
      </c>
      <c r="AM22" s="8" t="str">
        <f>IF(OR($A22="",$C22="",$D22="",$C22&gt;AM$6,$D22&lt;AM$9),"",IF($J22="里程碑","◆",""))</f>
        <v/>
      </c>
      <c r="AN22" s="8" t="str">
        <f>IF(OR($A22="",$C22="",$D22="",$C22&gt;AN$6,$D22&lt;AN$9),"",IF($J22="里程碑","◆",""))</f>
        <v/>
      </c>
      <c r="AO22" s="8" t="str">
        <f>IF(OR($A22="",$C22="",$D22="",$C22&gt;AO$6,$D22&lt;AO$9),"",IF($J22="里程碑","◆",""))</f>
        <v/>
      </c>
      <c r="AP22" s="8" t="str">
        <f>IF(OR($A22="",$C22="",$D22="",$C22&gt;AP$6,$D22&lt;AP$9),"",IF($J22="里程碑","◆",""))</f>
        <v/>
      </c>
      <c r="AQ22" s="8" t="str">
        <f>IF(OR($A22="",$C22="",$D22="",$C22&gt;AQ$6,$D22&lt;AQ$9),"",IF($J22="里程碑","◆",""))</f>
        <v/>
      </c>
      <c r="AR22" s="8" t="str">
        <f>IF(OR($A22="",$C22="",$D22="",$C22&gt;AR$6,$D22&lt;AR$9),"",IF($J22="里程碑","◆",""))</f>
        <v/>
      </c>
      <c r="AS22" s="8" t="str">
        <f>IF(OR($A22="",$C22="",$D22="",$C22&gt;AS$6,$D22&lt;AS$9),"",IF($J22="里程碑","◆",""))</f>
        <v/>
      </c>
      <c r="AT22" s="8" t="str">
        <f>IF(OR($A22="",$C22="",$D22="",$C22&gt;AT$6,$D22&lt;AT$9),"",IF($J22="里程碑","◆",""))</f>
        <v/>
      </c>
      <c r="AU22" s="8" t="str">
        <f>IF(OR($A22="",$C22="",$D22="",$C22&gt;AU$6,$D22&lt;AU$9),"",IF($J22="里程碑","◆",""))</f>
        <v/>
      </c>
      <c r="AV22" s="8" t="str">
        <f>IF(OR($A22="",$C22="",$D22="",$C22&gt;AV$6,$D22&lt;AV$9),"",IF($J22="里程碑","◆",""))</f>
        <v/>
      </c>
      <c r="AW22" s="8" t="str">
        <f>IF(OR($A22="",$C22="",$D22="",$C22&gt;AW$6,$D22&lt;AW$9),"",IF($J22="里程碑","◆",""))</f>
        <v/>
      </c>
      <c r="AX22" s="8" t="str">
        <f>IF(OR($A22="",$C22="",$D22="",$C22&gt;AX$6,$D22&lt;AX$9),"",IF($J22="里程碑","◆",""))</f>
        <v/>
      </c>
      <c r="AY22" s="8" t="str">
        <f>IF(OR($A22="",$C22="",$D22="",$C22&gt;AY$6,$D22&lt;AY$9),"",IF($J22="里程碑","◆",""))</f>
        <v/>
      </c>
      <c r="AZ22" s="8" t="str">
        <f>IF(OR($A22="",$C22="",$D22="",$C22&gt;AZ$6,$D22&lt;AZ$9),"",IF($J22="里程碑","◆",""))</f>
        <v/>
      </c>
      <c r="BA22" s="8" t="str">
        <f>IF(OR($A22="",$C22="",$D22="",$C22&gt;BA$6,$D22&lt;BA$9),"",IF($J22="里程碑","◆",""))</f>
        <v/>
      </c>
      <c r="BB22" s="8" t="str">
        <f>IF(OR($A22="",$C22="",$D22="",$C22&gt;BB$6,$D22&lt;BB$9),"",IF($J22="里程碑","◆",""))</f>
        <v/>
      </c>
      <c r="BC22" s="8" t="str">
        <f>IF(OR($A22="",$C22="",$D22="",$C22&gt;BC$6,$D22&lt;BC$9),"",IF($J22="里程碑","◆",""))</f>
        <v/>
      </c>
      <c r="BD22" s="8" t="str">
        <f>IF(OR($A22="",$C22="",$D22="",$C22&gt;BD$6,$D22&lt;BD$9),"",IF($J22="里程碑","◆",""))</f>
        <v/>
      </c>
      <c r="BE22" s="8" t="str">
        <f>IF(OR($A22="",$C22="",$D22="",$C22&gt;BE$6,$D22&lt;BE$9),"",IF($J22="里程碑","◆",""))</f>
        <v/>
      </c>
      <c r="BF22" s="8" t="str">
        <f>IF(OR($A22="",$C22="",$D22="",$C22&gt;BF$6,$D22&lt;BF$9),"",IF($J22="里程碑","◆",""))</f>
        <v/>
      </c>
      <c r="BG22" s="8" t="str">
        <f>IF(OR($A22="",$C22="",$D22="",$C22&gt;BG$6,$D22&lt;BG$9),"",IF($J22="里程碑","◆",""))</f>
        <v/>
      </c>
      <c r="BH22" s="8" t="str">
        <f>IF(OR($A22="",$C22="",$D22="",$C22&gt;BH$6,$D22&lt;BH$9),"",IF($J22="里程碑","◆",""))</f>
        <v/>
      </c>
      <c r="BI22" s="8" t="str">
        <f>IF(OR($A22="",$C22="",$D22="",$C22&gt;BI$6,$D22&lt;BI$9),"",IF($J22="里程碑","◆",""))</f>
        <v/>
      </c>
      <c r="BJ22" s="8" t="str">
        <f>IF(OR($A22="",$C22="",$D22="",$C22&gt;BJ$6,$D22&lt;BJ$9),"",IF($J22="里程碑","◆",""))</f>
        <v/>
      </c>
      <c r="BK22" s="8" t="str">
        <f>IF(OR($A22="",$C22="",$D22="",$C22&gt;BK$6,$D22&lt;BK$9),"",IF($J22="里程碑","◆",""))</f>
        <v/>
      </c>
      <c r="BL22" s="8" t="str">
        <f>IF(OR($A22="",$C22="",$D22="",$C22&gt;BL$6,$D22&lt;BL$9),"",IF($J22="里程碑","◆",""))</f>
        <v/>
      </c>
      <c r="BM22" s="8" t="str">
        <f>IF(OR($A22="",$C22="",$D22="",$C22&gt;BM$6,$D22&lt;BM$9),"",IF($J22="里程碑","◆",""))</f>
        <v/>
      </c>
      <c r="BN22" s="8" t="str">
        <f>IF(OR($A22="",$C22="",$D22="",$C22&gt;BN$6,$D22&lt;BN$9),"",IF($J22="里程碑","◆",""))</f>
        <v/>
      </c>
      <c r="BO22" s="8" t="str">
        <f>IF(OR($A22="",$C22="",$D22="",$C22&gt;BO$6,$D22&lt;BO$9),"",IF($J22="里程碑","◆",""))</f>
        <v/>
      </c>
      <c r="BP22" s="8" t="str">
        <f>IF(OR($A22="",$C22="",$D22="",$C22&gt;BP$6,$D22&lt;BP$9),"",IF($J22="里程碑","◆",""))</f>
        <v/>
      </c>
      <c r="BQ22" s="8" t="str">
        <f>IF(OR($A22="",$C22="",$D22="",$C22&gt;BQ$6,$D22&lt;BQ$9),"",IF($J22="里程碑","◆",""))</f>
        <v/>
      </c>
      <c r="BR22" s="8" t="str">
        <f>IF(OR($A22="",$C22="",$D22="",$C22&gt;BR$6,$D22&lt;BR$9),"",IF($J22="里程碑","◆",""))</f>
        <v/>
      </c>
      <c r="BS22" s="8" t="str">
        <f>IF(OR($A22="",$C22="",$D22="",$C22&gt;BS$6,$D22&lt;BS$9),"",IF($J22="里程碑","◆",""))</f>
        <v/>
      </c>
      <c r="BT22" s="8" t="str">
        <f>IF(OR($A22="",$C22="",$D22="",$C22&gt;BT$6,$D22&lt;BT$9),"",IF($J22="里程碑","◆",""))</f>
        <v/>
      </c>
      <c r="BU22" s="8" t="str">
        <f>IF(OR($A22="",$C22="",$D22="",$C22&gt;BU$6,$D22&lt;BU$9),"",IF($J22="里程碑","◆",""))</f>
        <v/>
      </c>
      <c r="BV22" s="8" t="str">
        <f>IF(OR($A22="",$C22="",$D22="",$C22&gt;BV$6,$D22&lt;BV$9),"",IF($J22="里程碑","◆",""))</f>
        <v/>
      </c>
      <c r="BW22" s="8" t="str">
        <f>IF(OR($A22="",$C22="",$D22="",$C22&gt;BW$6,$D22&lt;BW$9),"",IF($J22="里程碑","◆",""))</f>
        <v/>
      </c>
      <c r="BX22" s="8" t="str">
        <f>IF(OR($A22="",$C22="",$D22="",$C22&gt;BX$6,$D22&lt;BX$9),"",IF($J22="里程碑","◆",""))</f>
        <v/>
      </c>
      <c r="BY22" s="8" t="str">
        <f>IF(OR($A22="",$C22="",$D22="",$C22&gt;BY$6,$D22&lt;BY$9),"",IF($J22="里程碑","◆",""))</f>
        <v/>
      </c>
      <c r="BZ22" s="8" t="str">
        <f>IF(OR($A22="",$C22="",$D22="",$C22&gt;BZ$6,$D22&lt;BZ$9),"",IF($J22="里程碑","◆",""))</f>
        <v/>
      </c>
      <c r="CA22" s="8" t="str">
        <f>IF(OR($A22="",$C22="",$D22="",$C22&gt;CA$6,$D22&lt;CA$9),"",IF($J22="里程碑","◆",""))</f>
        <v/>
      </c>
      <c r="CB22" s="8" t="str">
        <f>IF(OR($A22="",$C22="",$D22="",$C22&gt;CB$6,$D22&lt;CB$9),"",IF($J22="里程碑","◆",""))</f>
        <v/>
      </c>
      <c r="CC22" s="8" t="str">
        <f>IF(OR($A22="",$C22="",$D22="",$C22&gt;CC$6,$D22&lt;CC$9),"",IF($J22="里程碑","◆",""))</f>
        <v/>
      </c>
      <c r="CD22" s="8" t="str">
        <f>IF(OR($A22="",$C22="",$D22="",$C22&gt;CD$6,$D22&lt;CD$9),"",IF($J22="里程碑","◆",""))</f>
        <v/>
      </c>
      <c r="CE22" s="8" t="str">
        <f>IF(OR($A22="",$C22="",$D22="",$C22&gt;CE$6,$D22&lt;CE$9),"",IF($J22="里程碑","◆",""))</f>
        <v/>
      </c>
      <c r="CF22" s="8" t="str">
        <f>IF(OR($A22="",$C22="",$D22="",$C22&gt;CF$6,$D22&lt;CF$9),"",IF($J22="里程碑","◆",""))</f>
        <v/>
      </c>
      <c r="CG22" s="8" t="str">
        <f>IF(OR($A22="",$C22="",$D22="",$C22&gt;CG$6,$D22&lt;CG$9),"",IF($J22="里程碑","◆",""))</f>
        <v/>
      </c>
      <c r="CH22" s="8" t="str">
        <f>IF(OR($A22="",$C22="",$D22="",$C22&gt;CH$6,$D22&lt;CH$9),"",IF($J22="里程碑","◆",""))</f>
        <v/>
      </c>
      <c r="CI22" s="8" t="str">
        <f>IF(OR($A22="",$C22="",$D22="",$C22&gt;CI$6,$D22&lt;CI$9),"",IF($J22="里程碑","◆",""))</f>
        <v/>
      </c>
      <c r="CJ22" s="8" t="str">
        <f>IF(OR($A22="",$C22="",$D22="",$C22&gt;CJ$6,$D22&lt;CJ$9),"",IF($J22="里程碑","◆",""))</f>
        <v/>
      </c>
      <c r="CK22" s="8" t="str">
        <f>IF(OR($A22="",$C22="",$D22="",$C22&gt;CK$6,$D22&lt;CK$9),"",IF($J22="里程碑","◆",""))</f>
        <v/>
      </c>
      <c r="CL22" s="8" t="str">
        <f>IF(OR($A22="",$C22="",$D22="",$C22&gt;CL$6,$D22&lt;CL$9),"",IF($J22="里程碑","◆",""))</f>
        <v/>
      </c>
      <c r="CM22" s="8" t="str">
        <f>IF(OR($A22="",$C22="",$D22="",$C22&gt;CM$6,$D22&lt;CM$9),"",IF($J22="里程碑","◆",""))</f>
        <v/>
      </c>
      <c r="CN22" s="8" t="str">
        <f>IF(OR($A22="",$C22="",$D22="",$C22&gt;CN$6,$D22&lt;CN$9),"",IF($J22="里程碑","◆",""))</f>
        <v/>
      </c>
      <c r="CO22" s="8" t="str">
        <f>IF(OR($A22="",$C22="",$D22="",$C22&gt;CO$6,$D22&lt;CO$9),"",IF($J22="里程碑","◆",""))</f>
        <v/>
      </c>
      <c r="CP22" s="8" t="str">
        <f>IF(OR($A22="",$C22="",$D22="",$C22&gt;CP$6,$D22&lt;CP$9),"",IF($J22="里程碑","◆",""))</f>
        <v/>
      </c>
      <c r="CQ22" s="8" t="str">
        <f>IF(OR($A22="",$C22="",$D22="",$C22&gt;CQ$6,$D22&lt;CQ$9),"",IF($J22="里程碑","◆",""))</f>
        <v/>
      </c>
      <c r="CR22" s="8" t="str">
        <f>IF(OR($A22="",$C22="",$D22="",$C22&gt;CR$6,$D22&lt;CR$9),"",IF($J22="里程碑","◆",""))</f>
        <v/>
      </c>
      <c r="CS22" s="8" t="str">
        <f>IF(OR($A22="",$C22="",$D22="",$C22&gt;CS$6,$D22&lt;CS$9),"",IF($J22="里程碑","◆",""))</f>
        <v/>
      </c>
      <c r="CT22" s="8" t="str">
        <f>IF(OR($A22="",$C22="",$D22="",$C22&gt;CT$6,$D22&lt;CT$9),"",IF($J22="里程碑","◆",""))</f>
        <v/>
      </c>
      <c r="CU22" s="8" t="str">
        <f>IF(OR($A22="",$C22="",$D22="",$C22&gt;CU$6,$D22&lt;CU$9),"",IF($J22="里程碑","◆",""))</f>
        <v/>
      </c>
      <c r="CV22" s="8" t="str">
        <f>IF(OR($A22="",$C22="",$D22="",$C22&gt;CV$6,$D22&lt;CV$9),"",IF($J22="里程碑","◆",""))</f>
        <v/>
      </c>
      <c r="CW22" s="8" t="str">
        <f>IF(OR($A22="",$C22="",$D22="",$C22&gt;CW$6,$D22&lt;CW$9),"",IF($J22="里程碑","◆",""))</f>
        <v/>
      </c>
      <c r="CX22" s="8" t="str">
        <f>IF(OR($A22="",$C22="",$D22="",$C22&gt;CX$6,$D22&lt;CX$9),"",IF($J22="里程碑","◆",""))</f>
        <v/>
      </c>
      <c r="CY22" s="8" t="str">
        <f>IF(OR($A22="",$C22="",$D22="",$C22&gt;CY$6,$D22&lt;CY$9),"",IF($J22="里程碑","◆",""))</f>
        <v/>
      </c>
      <c r="CZ22" s="8" t="str">
        <f>IF(OR($A22="",$C22="",$D22="",$C22&gt;CZ$6,$D22&lt;CZ$9),"",IF($J22="里程碑","◆",""))</f>
        <v/>
      </c>
      <c r="DA22" s="8" t="str">
        <f>IF(OR($A22="",$C22="",$D22="",$C22&gt;DA$6,$D22&lt;DA$9),"",IF($J22="里程碑","◆",""))</f>
        <v/>
      </c>
      <c r="DB22" s="8" t="str">
        <f>IF(OR($A22="",$C22="",$D22="",$C22&gt;DB$6,$D22&lt;DB$9),"",IF($J22="里程碑","◆",""))</f>
        <v/>
      </c>
      <c r="DC22" s="1" t="str">
        <f>IF(ROW()-9&gt;$DH$3,"",MATCH(ROW()-9,排期计算!$U$10:$U$109,0))</f>
        <v/>
      </c>
      <c r="DD22" s="1" t="str">
        <f>IF($DC22="","",INDEX(排期计算!$L$10:$L$109,$DC22))</f>
        <v/>
      </c>
      <c r="DE22" s="1"/>
      <c r="DF22" s="1"/>
      <c r="DG22" s="1"/>
      <c r="DH22" s="1"/>
      <c r="DI22" s="1"/>
      <c r="DJ22" s="1"/>
      <c r="DK22" s="1"/>
    </row>
    <row r="23" spans="1:115" ht="24.95" customHeight="1">
      <c r="A23" s="9" t="str">
        <f>IF($DC23="","",IF(AND(INDEX(排期计算!$A$10:$A$109,$DC23)="",NOT(ISNUMBER(INDEX(排期计算!$A$10:$A$109,$DC23)))),"",INDEX(排期计算!$A$10:$A$109,$DC23)))</f>
        <v/>
      </c>
      <c r="B23" s="1" t="str">
        <f>IF($DC23="","",REPT("　",$DD23-1)&amp;INDEX(排期计算!$B$10:$B$109,$DC23))</f>
        <v/>
      </c>
      <c r="C23" s="3" t="str">
        <f>IF($DC23="","",IF(AND(INDEX(排期计算!$M$10:$M$109,$DC23)="",NOT(ISNUMBER(INDEX(排期计算!$M$10:$M$109,$DC23)))),"",INDEX(排期计算!$M$10:$M$109,$DC23)))</f>
        <v/>
      </c>
      <c r="D23" s="3" t="str">
        <f>IF($DC23="","",IF(AND(INDEX(排期计算!$N$10:$N$109,$DC23)="",NOT(ISNUMBER(INDEX(排期计算!$N$10:$N$109,$DC23)))),"",INDEX(排期计算!$N$10:$N$109,$DC23)))</f>
        <v/>
      </c>
      <c r="E23" s="1" t="str">
        <f>IF(OR($C23="",$D23=""),"",IF($J23="里程碑",0,NETWORKDAYS($C23,$D23)))</f>
        <v/>
      </c>
      <c r="F23" s="7" t="str">
        <f>IF($DC23="","",IF(AND(INDEX(排期计算!$O$10:$O$109,$DC23)="",NOT(ISNUMBER(INDEX(排期计算!$O$10:$O$109,$DC23)))),"",INDEX(排期计算!$O$10:$O$109,$DC23)))</f>
        <v/>
      </c>
      <c r="G23" s="8" t="str">
        <f>IF($A23="","",IF(OR($C23="",$D23=""),"未排期",IF($F23&gt;=1,"已完成",IF($D23&lt;$B$4,"逾期",IF($C23&gt;$B$4,"未开始","进行中")))))</f>
        <v/>
      </c>
      <c r="H23" s="1" t="str">
        <f>IF($DC23="","",IF(AND(INDEX(排期计算!$C$10:$C$109,$DC23)="",NOT(ISNUMBER(INDEX(排期计算!$C$10:$C$109,$DC23)))),"",INDEX(排期计算!$C$10:$C$109,$DC23)))</f>
        <v/>
      </c>
      <c r="I23" s="1" t="str">
        <f>IF($DC23="","",IF(AND(INDEX(排期计算!$H$10:$H$109,$DC23)="",NOT(ISNUMBER(INDEX(排期计算!$H$10:$H$109,$DC23)))),"",INDEX(排期计算!$H$10:$H$109,$DC23)))</f>
        <v/>
      </c>
      <c r="J23" s="1" t="str">
        <f>IF($DC23="","",IF(AND(INDEX(排期计算!$K$10:$K$109,$DC23)="",NOT(ISNUMBER(INDEX(排期计算!$K$10:$K$109,$DC23)))),"",INDEX(排期计算!$K$10:$K$109,$DC23)))</f>
        <v/>
      </c>
      <c r="K23" s="8" t="str">
        <f>IF(OR($A23="",$C23="",$D23="",$C23&gt;K$6,$D23&lt;K$9),"",IF($J23="里程碑","◆",""))</f>
        <v/>
      </c>
      <c r="L23" s="8" t="str">
        <f>IF(OR($A23="",$C23="",$D23="",$C23&gt;L$6,$D23&lt;L$9),"",IF($J23="里程碑","◆",""))</f>
        <v/>
      </c>
      <c r="M23" s="8" t="str">
        <f>IF(OR($A23="",$C23="",$D23="",$C23&gt;M$6,$D23&lt;M$9),"",IF($J23="里程碑","◆",""))</f>
        <v/>
      </c>
      <c r="N23" s="8" t="str">
        <f>IF(OR($A23="",$C23="",$D23="",$C23&gt;N$6,$D23&lt;N$9),"",IF($J23="里程碑","◆",""))</f>
        <v/>
      </c>
      <c r="O23" s="8" t="str">
        <f>IF(OR($A23="",$C23="",$D23="",$C23&gt;O$6,$D23&lt;O$9),"",IF($J23="里程碑","◆",""))</f>
        <v/>
      </c>
      <c r="P23" s="8" t="str">
        <f>IF(OR($A23="",$C23="",$D23="",$C23&gt;P$6,$D23&lt;P$9),"",IF($J23="里程碑","◆",""))</f>
        <v/>
      </c>
      <c r="Q23" s="8" t="str">
        <f>IF(OR($A23="",$C23="",$D23="",$C23&gt;Q$6,$D23&lt;Q$9),"",IF($J23="里程碑","◆",""))</f>
        <v/>
      </c>
      <c r="R23" s="8" t="str">
        <f>IF(OR($A23="",$C23="",$D23="",$C23&gt;R$6,$D23&lt;R$9),"",IF($J23="里程碑","◆",""))</f>
        <v/>
      </c>
      <c r="S23" s="8" t="str">
        <f>IF(OR($A23="",$C23="",$D23="",$C23&gt;S$6,$D23&lt;S$9),"",IF($J23="里程碑","◆",""))</f>
        <v/>
      </c>
      <c r="T23" s="8" t="str">
        <f>IF(OR($A23="",$C23="",$D23="",$C23&gt;T$6,$D23&lt;T$9),"",IF($J23="里程碑","◆",""))</f>
        <v/>
      </c>
      <c r="U23" s="8" t="str">
        <f>IF(OR($A23="",$C23="",$D23="",$C23&gt;U$6,$D23&lt;U$9),"",IF($J23="里程碑","◆",""))</f>
        <v/>
      </c>
      <c r="V23" s="8" t="str">
        <f>IF(OR($A23="",$C23="",$D23="",$C23&gt;V$6,$D23&lt;V$9),"",IF($J23="里程碑","◆",""))</f>
        <v/>
      </c>
      <c r="W23" s="8" t="str">
        <f>IF(OR($A23="",$C23="",$D23="",$C23&gt;W$6,$D23&lt;W$9),"",IF($J23="里程碑","◆",""))</f>
        <v/>
      </c>
      <c r="X23" s="8" t="str">
        <f>IF(OR($A23="",$C23="",$D23="",$C23&gt;X$6,$D23&lt;X$9),"",IF($J23="里程碑","◆",""))</f>
        <v/>
      </c>
      <c r="Y23" s="8" t="str">
        <f>IF(OR($A23="",$C23="",$D23="",$C23&gt;Y$6,$D23&lt;Y$9),"",IF($J23="里程碑","◆",""))</f>
        <v/>
      </c>
      <c r="Z23" s="8" t="str">
        <f>IF(OR($A23="",$C23="",$D23="",$C23&gt;Z$6,$D23&lt;Z$9),"",IF($J23="里程碑","◆",""))</f>
        <v/>
      </c>
      <c r="AA23" s="8" t="str">
        <f>IF(OR($A23="",$C23="",$D23="",$C23&gt;AA$6,$D23&lt;AA$9),"",IF($J23="里程碑","◆",""))</f>
        <v/>
      </c>
      <c r="AB23" s="8" t="str">
        <f>IF(OR($A23="",$C23="",$D23="",$C23&gt;AB$6,$D23&lt;AB$9),"",IF($J23="里程碑","◆",""))</f>
        <v/>
      </c>
      <c r="AC23" s="8" t="str">
        <f>IF(OR($A23="",$C23="",$D23="",$C23&gt;AC$6,$D23&lt;AC$9),"",IF($J23="里程碑","◆",""))</f>
        <v/>
      </c>
      <c r="AD23" s="8" t="str">
        <f>IF(OR($A23="",$C23="",$D23="",$C23&gt;AD$6,$D23&lt;AD$9),"",IF($J23="里程碑","◆",""))</f>
        <v/>
      </c>
      <c r="AE23" s="8" t="str">
        <f>IF(OR($A23="",$C23="",$D23="",$C23&gt;AE$6,$D23&lt;AE$9),"",IF($J23="里程碑","◆",""))</f>
        <v/>
      </c>
      <c r="AF23" s="8" t="str">
        <f>IF(OR($A23="",$C23="",$D23="",$C23&gt;AF$6,$D23&lt;AF$9),"",IF($J23="里程碑","◆",""))</f>
        <v/>
      </c>
      <c r="AG23" s="8" t="str">
        <f>IF(OR($A23="",$C23="",$D23="",$C23&gt;AG$6,$D23&lt;AG$9),"",IF($J23="里程碑","◆",""))</f>
        <v/>
      </c>
      <c r="AH23" s="8" t="str">
        <f>IF(OR($A23="",$C23="",$D23="",$C23&gt;AH$6,$D23&lt;AH$9),"",IF($J23="里程碑","◆",""))</f>
        <v/>
      </c>
      <c r="AI23" s="8" t="str">
        <f>IF(OR($A23="",$C23="",$D23="",$C23&gt;AI$6,$D23&lt;AI$9),"",IF($J23="里程碑","◆",""))</f>
        <v/>
      </c>
      <c r="AJ23" s="8" t="str">
        <f>IF(OR($A23="",$C23="",$D23="",$C23&gt;AJ$6,$D23&lt;AJ$9),"",IF($J23="里程碑","◆",""))</f>
        <v/>
      </c>
      <c r="AK23" s="8" t="str">
        <f>IF(OR($A23="",$C23="",$D23="",$C23&gt;AK$6,$D23&lt;AK$9),"",IF($J23="里程碑","◆",""))</f>
        <v/>
      </c>
      <c r="AL23" s="8" t="str">
        <f>IF(OR($A23="",$C23="",$D23="",$C23&gt;AL$6,$D23&lt;AL$9),"",IF($J23="里程碑","◆",""))</f>
        <v/>
      </c>
      <c r="AM23" s="8" t="str">
        <f>IF(OR($A23="",$C23="",$D23="",$C23&gt;AM$6,$D23&lt;AM$9),"",IF($J23="里程碑","◆",""))</f>
        <v/>
      </c>
      <c r="AN23" s="8" t="str">
        <f>IF(OR($A23="",$C23="",$D23="",$C23&gt;AN$6,$D23&lt;AN$9),"",IF($J23="里程碑","◆",""))</f>
        <v/>
      </c>
      <c r="AO23" s="8" t="str">
        <f>IF(OR($A23="",$C23="",$D23="",$C23&gt;AO$6,$D23&lt;AO$9),"",IF($J23="里程碑","◆",""))</f>
        <v/>
      </c>
      <c r="AP23" s="8" t="str">
        <f>IF(OR($A23="",$C23="",$D23="",$C23&gt;AP$6,$D23&lt;AP$9),"",IF($J23="里程碑","◆",""))</f>
        <v/>
      </c>
      <c r="AQ23" s="8" t="str">
        <f>IF(OR($A23="",$C23="",$D23="",$C23&gt;AQ$6,$D23&lt;AQ$9),"",IF($J23="里程碑","◆",""))</f>
        <v/>
      </c>
      <c r="AR23" s="8" t="str">
        <f>IF(OR($A23="",$C23="",$D23="",$C23&gt;AR$6,$D23&lt;AR$9),"",IF($J23="里程碑","◆",""))</f>
        <v/>
      </c>
      <c r="AS23" s="8" t="str">
        <f>IF(OR($A23="",$C23="",$D23="",$C23&gt;AS$6,$D23&lt;AS$9),"",IF($J23="里程碑","◆",""))</f>
        <v/>
      </c>
      <c r="AT23" s="8" t="str">
        <f>IF(OR($A23="",$C23="",$D23="",$C23&gt;AT$6,$D23&lt;AT$9),"",IF($J23="里程碑","◆",""))</f>
        <v/>
      </c>
      <c r="AU23" s="8" t="str">
        <f>IF(OR($A23="",$C23="",$D23="",$C23&gt;AU$6,$D23&lt;AU$9),"",IF($J23="里程碑","◆",""))</f>
        <v/>
      </c>
      <c r="AV23" s="8" t="str">
        <f>IF(OR($A23="",$C23="",$D23="",$C23&gt;AV$6,$D23&lt;AV$9),"",IF($J23="里程碑","◆",""))</f>
        <v/>
      </c>
      <c r="AW23" s="8" t="str">
        <f>IF(OR($A23="",$C23="",$D23="",$C23&gt;AW$6,$D23&lt;AW$9),"",IF($J23="里程碑","◆",""))</f>
        <v/>
      </c>
      <c r="AX23" s="8" t="str">
        <f>IF(OR($A23="",$C23="",$D23="",$C23&gt;AX$6,$D23&lt;AX$9),"",IF($J23="里程碑","◆",""))</f>
        <v/>
      </c>
      <c r="AY23" s="8" t="str">
        <f>IF(OR($A23="",$C23="",$D23="",$C23&gt;AY$6,$D23&lt;AY$9),"",IF($J23="里程碑","◆",""))</f>
        <v/>
      </c>
      <c r="AZ23" s="8" t="str">
        <f>IF(OR($A23="",$C23="",$D23="",$C23&gt;AZ$6,$D23&lt;AZ$9),"",IF($J23="里程碑","◆",""))</f>
        <v/>
      </c>
      <c r="BA23" s="8" t="str">
        <f>IF(OR($A23="",$C23="",$D23="",$C23&gt;BA$6,$D23&lt;BA$9),"",IF($J23="里程碑","◆",""))</f>
        <v/>
      </c>
      <c r="BB23" s="8" t="str">
        <f>IF(OR($A23="",$C23="",$D23="",$C23&gt;BB$6,$D23&lt;BB$9),"",IF($J23="里程碑","◆",""))</f>
        <v/>
      </c>
      <c r="BC23" s="8" t="str">
        <f>IF(OR($A23="",$C23="",$D23="",$C23&gt;BC$6,$D23&lt;BC$9),"",IF($J23="里程碑","◆",""))</f>
        <v/>
      </c>
      <c r="BD23" s="8" t="str">
        <f>IF(OR($A23="",$C23="",$D23="",$C23&gt;BD$6,$D23&lt;BD$9),"",IF($J23="里程碑","◆",""))</f>
        <v/>
      </c>
      <c r="BE23" s="8" t="str">
        <f>IF(OR($A23="",$C23="",$D23="",$C23&gt;BE$6,$D23&lt;BE$9),"",IF($J23="里程碑","◆",""))</f>
        <v/>
      </c>
      <c r="BF23" s="8" t="str">
        <f>IF(OR($A23="",$C23="",$D23="",$C23&gt;BF$6,$D23&lt;BF$9),"",IF($J23="里程碑","◆",""))</f>
        <v/>
      </c>
      <c r="BG23" s="8" t="str">
        <f>IF(OR($A23="",$C23="",$D23="",$C23&gt;BG$6,$D23&lt;BG$9),"",IF($J23="里程碑","◆",""))</f>
        <v/>
      </c>
      <c r="BH23" s="8" t="str">
        <f>IF(OR($A23="",$C23="",$D23="",$C23&gt;BH$6,$D23&lt;BH$9),"",IF($J23="里程碑","◆",""))</f>
        <v/>
      </c>
      <c r="BI23" s="8" t="str">
        <f>IF(OR($A23="",$C23="",$D23="",$C23&gt;BI$6,$D23&lt;BI$9),"",IF($J23="里程碑","◆",""))</f>
        <v/>
      </c>
      <c r="BJ23" s="8" t="str">
        <f>IF(OR($A23="",$C23="",$D23="",$C23&gt;BJ$6,$D23&lt;BJ$9),"",IF($J23="里程碑","◆",""))</f>
        <v/>
      </c>
      <c r="BK23" s="8" t="str">
        <f>IF(OR($A23="",$C23="",$D23="",$C23&gt;BK$6,$D23&lt;BK$9),"",IF($J23="里程碑","◆",""))</f>
        <v/>
      </c>
      <c r="BL23" s="8" t="str">
        <f>IF(OR($A23="",$C23="",$D23="",$C23&gt;BL$6,$D23&lt;BL$9),"",IF($J23="里程碑","◆",""))</f>
        <v/>
      </c>
      <c r="BM23" s="8" t="str">
        <f>IF(OR($A23="",$C23="",$D23="",$C23&gt;BM$6,$D23&lt;BM$9),"",IF($J23="里程碑","◆",""))</f>
        <v/>
      </c>
      <c r="BN23" s="8" t="str">
        <f>IF(OR($A23="",$C23="",$D23="",$C23&gt;BN$6,$D23&lt;BN$9),"",IF($J23="里程碑","◆",""))</f>
        <v/>
      </c>
      <c r="BO23" s="8" t="str">
        <f>IF(OR($A23="",$C23="",$D23="",$C23&gt;BO$6,$D23&lt;BO$9),"",IF($J23="里程碑","◆",""))</f>
        <v/>
      </c>
      <c r="BP23" s="8" t="str">
        <f>IF(OR($A23="",$C23="",$D23="",$C23&gt;BP$6,$D23&lt;BP$9),"",IF($J23="里程碑","◆",""))</f>
        <v/>
      </c>
      <c r="BQ23" s="8" t="str">
        <f>IF(OR($A23="",$C23="",$D23="",$C23&gt;BQ$6,$D23&lt;BQ$9),"",IF($J23="里程碑","◆",""))</f>
        <v/>
      </c>
      <c r="BR23" s="8" t="str">
        <f>IF(OR($A23="",$C23="",$D23="",$C23&gt;BR$6,$D23&lt;BR$9),"",IF($J23="里程碑","◆",""))</f>
        <v/>
      </c>
      <c r="BS23" s="8" t="str">
        <f>IF(OR($A23="",$C23="",$D23="",$C23&gt;BS$6,$D23&lt;BS$9),"",IF($J23="里程碑","◆",""))</f>
        <v/>
      </c>
      <c r="BT23" s="8" t="str">
        <f>IF(OR($A23="",$C23="",$D23="",$C23&gt;BT$6,$D23&lt;BT$9),"",IF($J23="里程碑","◆",""))</f>
        <v/>
      </c>
      <c r="BU23" s="8" t="str">
        <f>IF(OR($A23="",$C23="",$D23="",$C23&gt;BU$6,$D23&lt;BU$9),"",IF($J23="里程碑","◆",""))</f>
        <v/>
      </c>
      <c r="BV23" s="8" t="str">
        <f>IF(OR($A23="",$C23="",$D23="",$C23&gt;BV$6,$D23&lt;BV$9),"",IF($J23="里程碑","◆",""))</f>
        <v/>
      </c>
      <c r="BW23" s="8" t="str">
        <f>IF(OR($A23="",$C23="",$D23="",$C23&gt;BW$6,$D23&lt;BW$9),"",IF($J23="里程碑","◆",""))</f>
        <v/>
      </c>
      <c r="BX23" s="8" t="str">
        <f>IF(OR($A23="",$C23="",$D23="",$C23&gt;BX$6,$D23&lt;BX$9),"",IF($J23="里程碑","◆",""))</f>
        <v/>
      </c>
      <c r="BY23" s="8" t="str">
        <f>IF(OR($A23="",$C23="",$D23="",$C23&gt;BY$6,$D23&lt;BY$9),"",IF($J23="里程碑","◆",""))</f>
        <v/>
      </c>
      <c r="BZ23" s="8" t="str">
        <f>IF(OR($A23="",$C23="",$D23="",$C23&gt;BZ$6,$D23&lt;BZ$9),"",IF($J23="里程碑","◆",""))</f>
        <v/>
      </c>
      <c r="CA23" s="8" t="str">
        <f>IF(OR($A23="",$C23="",$D23="",$C23&gt;CA$6,$D23&lt;CA$9),"",IF($J23="里程碑","◆",""))</f>
        <v/>
      </c>
      <c r="CB23" s="8" t="str">
        <f>IF(OR($A23="",$C23="",$D23="",$C23&gt;CB$6,$D23&lt;CB$9),"",IF($J23="里程碑","◆",""))</f>
        <v/>
      </c>
      <c r="CC23" s="8" t="str">
        <f>IF(OR($A23="",$C23="",$D23="",$C23&gt;CC$6,$D23&lt;CC$9),"",IF($J23="里程碑","◆",""))</f>
        <v/>
      </c>
      <c r="CD23" s="8" t="str">
        <f>IF(OR($A23="",$C23="",$D23="",$C23&gt;CD$6,$D23&lt;CD$9),"",IF($J23="里程碑","◆",""))</f>
        <v/>
      </c>
      <c r="CE23" s="8" t="str">
        <f>IF(OR($A23="",$C23="",$D23="",$C23&gt;CE$6,$D23&lt;CE$9),"",IF($J23="里程碑","◆",""))</f>
        <v/>
      </c>
      <c r="CF23" s="8" t="str">
        <f>IF(OR($A23="",$C23="",$D23="",$C23&gt;CF$6,$D23&lt;CF$9),"",IF($J23="里程碑","◆",""))</f>
        <v/>
      </c>
      <c r="CG23" s="8" t="str">
        <f>IF(OR($A23="",$C23="",$D23="",$C23&gt;CG$6,$D23&lt;CG$9),"",IF($J23="里程碑","◆",""))</f>
        <v/>
      </c>
      <c r="CH23" s="8" t="str">
        <f>IF(OR($A23="",$C23="",$D23="",$C23&gt;CH$6,$D23&lt;CH$9),"",IF($J23="里程碑","◆",""))</f>
        <v/>
      </c>
      <c r="CI23" s="8" t="str">
        <f>IF(OR($A23="",$C23="",$D23="",$C23&gt;CI$6,$D23&lt;CI$9),"",IF($J23="里程碑","◆",""))</f>
        <v/>
      </c>
      <c r="CJ23" s="8" t="str">
        <f>IF(OR($A23="",$C23="",$D23="",$C23&gt;CJ$6,$D23&lt;CJ$9),"",IF($J23="里程碑","◆",""))</f>
        <v/>
      </c>
      <c r="CK23" s="8" t="str">
        <f>IF(OR($A23="",$C23="",$D23="",$C23&gt;CK$6,$D23&lt;CK$9),"",IF($J23="里程碑","◆",""))</f>
        <v/>
      </c>
      <c r="CL23" s="8" t="str">
        <f>IF(OR($A23="",$C23="",$D23="",$C23&gt;CL$6,$D23&lt;CL$9),"",IF($J23="里程碑","◆",""))</f>
        <v/>
      </c>
      <c r="CM23" s="8" t="str">
        <f>IF(OR($A23="",$C23="",$D23="",$C23&gt;CM$6,$D23&lt;CM$9),"",IF($J23="里程碑","◆",""))</f>
        <v/>
      </c>
      <c r="CN23" s="8" t="str">
        <f>IF(OR($A23="",$C23="",$D23="",$C23&gt;CN$6,$D23&lt;CN$9),"",IF($J23="里程碑","◆",""))</f>
        <v/>
      </c>
      <c r="CO23" s="8" t="str">
        <f>IF(OR($A23="",$C23="",$D23="",$C23&gt;CO$6,$D23&lt;CO$9),"",IF($J23="里程碑","◆",""))</f>
        <v/>
      </c>
      <c r="CP23" s="8" t="str">
        <f>IF(OR($A23="",$C23="",$D23="",$C23&gt;CP$6,$D23&lt;CP$9),"",IF($J23="里程碑","◆",""))</f>
        <v/>
      </c>
      <c r="CQ23" s="8" t="str">
        <f>IF(OR($A23="",$C23="",$D23="",$C23&gt;CQ$6,$D23&lt;CQ$9),"",IF($J23="里程碑","◆",""))</f>
        <v/>
      </c>
      <c r="CR23" s="8" t="str">
        <f>IF(OR($A23="",$C23="",$D23="",$C23&gt;CR$6,$D23&lt;CR$9),"",IF($J23="里程碑","◆",""))</f>
        <v/>
      </c>
      <c r="CS23" s="8" t="str">
        <f>IF(OR($A23="",$C23="",$D23="",$C23&gt;CS$6,$D23&lt;CS$9),"",IF($J23="里程碑","◆",""))</f>
        <v/>
      </c>
      <c r="CT23" s="8" t="str">
        <f>IF(OR($A23="",$C23="",$D23="",$C23&gt;CT$6,$D23&lt;CT$9),"",IF($J23="里程碑","◆",""))</f>
        <v/>
      </c>
      <c r="CU23" s="8" t="str">
        <f>IF(OR($A23="",$C23="",$D23="",$C23&gt;CU$6,$D23&lt;CU$9),"",IF($J23="里程碑","◆",""))</f>
        <v/>
      </c>
      <c r="CV23" s="8" t="str">
        <f>IF(OR($A23="",$C23="",$D23="",$C23&gt;CV$6,$D23&lt;CV$9),"",IF($J23="里程碑","◆",""))</f>
        <v/>
      </c>
      <c r="CW23" s="8" t="str">
        <f>IF(OR($A23="",$C23="",$D23="",$C23&gt;CW$6,$D23&lt;CW$9),"",IF($J23="里程碑","◆",""))</f>
        <v/>
      </c>
      <c r="CX23" s="8" t="str">
        <f>IF(OR($A23="",$C23="",$D23="",$C23&gt;CX$6,$D23&lt;CX$9),"",IF($J23="里程碑","◆",""))</f>
        <v/>
      </c>
      <c r="CY23" s="8" t="str">
        <f>IF(OR($A23="",$C23="",$D23="",$C23&gt;CY$6,$D23&lt;CY$9),"",IF($J23="里程碑","◆",""))</f>
        <v/>
      </c>
      <c r="CZ23" s="8" t="str">
        <f>IF(OR($A23="",$C23="",$D23="",$C23&gt;CZ$6,$D23&lt;CZ$9),"",IF($J23="里程碑","◆",""))</f>
        <v/>
      </c>
      <c r="DA23" s="8" t="str">
        <f>IF(OR($A23="",$C23="",$D23="",$C23&gt;DA$6,$D23&lt;DA$9),"",IF($J23="里程碑","◆",""))</f>
        <v/>
      </c>
      <c r="DB23" s="8" t="str">
        <f>IF(OR($A23="",$C23="",$D23="",$C23&gt;DB$6,$D23&lt;DB$9),"",IF($J23="里程碑","◆",""))</f>
        <v/>
      </c>
      <c r="DC23" s="1" t="str">
        <f>IF(ROW()-9&gt;$DH$3,"",MATCH(ROW()-9,排期计算!$U$10:$U$109,0))</f>
        <v/>
      </c>
      <c r="DD23" s="1" t="str">
        <f>IF($DC23="","",INDEX(排期计算!$L$10:$L$109,$DC23))</f>
        <v/>
      </c>
      <c r="DE23" s="1"/>
      <c r="DF23" s="1"/>
      <c r="DG23" s="1"/>
      <c r="DH23" s="1"/>
      <c r="DI23" s="1"/>
      <c r="DJ23" s="1"/>
      <c r="DK23" s="1"/>
    </row>
    <row r="24" spans="1:115" ht="24.95" customHeight="1">
      <c r="A24" s="9" t="str">
        <f>IF($DC24="","",IF(AND(INDEX(排期计算!$A$10:$A$109,$DC24)="",NOT(ISNUMBER(INDEX(排期计算!$A$10:$A$109,$DC24)))),"",INDEX(排期计算!$A$10:$A$109,$DC24)))</f>
        <v/>
      </c>
      <c r="B24" s="1" t="str">
        <f>IF($DC24="","",REPT("　",$DD24-1)&amp;INDEX(排期计算!$B$10:$B$109,$DC24))</f>
        <v/>
      </c>
      <c r="C24" s="3" t="str">
        <f>IF($DC24="","",IF(AND(INDEX(排期计算!$M$10:$M$109,$DC24)="",NOT(ISNUMBER(INDEX(排期计算!$M$10:$M$109,$DC24)))),"",INDEX(排期计算!$M$10:$M$109,$DC24)))</f>
        <v/>
      </c>
      <c r="D24" s="3" t="str">
        <f>IF($DC24="","",IF(AND(INDEX(排期计算!$N$10:$N$109,$DC24)="",NOT(ISNUMBER(INDEX(排期计算!$N$10:$N$109,$DC24)))),"",INDEX(排期计算!$N$10:$N$109,$DC24)))</f>
        <v/>
      </c>
      <c r="E24" s="1" t="str">
        <f>IF(OR($C24="",$D24=""),"",IF($J24="里程碑",0,NETWORKDAYS($C24,$D24)))</f>
        <v/>
      </c>
      <c r="F24" s="7" t="str">
        <f>IF($DC24="","",IF(AND(INDEX(排期计算!$O$10:$O$109,$DC24)="",NOT(ISNUMBER(INDEX(排期计算!$O$10:$O$109,$DC24)))),"",INDEX(排期计算!$O$10:$O$109,$DC24)))</f>
        <v/>
      </c>
      <c r="G24" s="8" t="str">
        <f>IF($A24="","",IF(OR($C24="",$D24=""),"未排期",IF($F24&gt;=1,"已完成",IF($D24&lt;$B$4,"逾期",IF($C24&gt;$B$4,"未开始","进行中")))))</f>
        <v/>
      </c>
      <c r="H24" s="1" t="str">
        <f>IF($DC24="","",IF(AND(INDEX(排期计算!$C$10:$C$109,$DC24)="",NOT(ISNUMBER(INDEX(排期计算!$C$10:$C$109,$DC24)))),"",INDEX(排期计算!$C$10:$C$109,$DC24)))</f>
        <v/>
      </c>
      <c r="I24" s="1" t="str">
        <f>IF($DC24="","",IF(AND(INDEX(排期计算!$H$10:$H$109,$DC24)="",NOT(ISNUMBER(INDEX(排期计算!$H$10:$H$109,$DC24)))),"",INDEX(排期计算!$H$10:$H$109,$DC24)))</f>
        <v/>
      </c>
      <c r="J24" s="1" t="str">
        <f>IF($DC24="","",IF(AND(INDEX(排期计算!$K$10:$K$109,$DC24)="",NOT(ISNUMBER(INDEX(排期计算!$K$10:$K$109,$DC24)))),"",INDEX(排期计算!$K$10:$K$109,$DC24)))</f>
        <v/>
      </c>
      <c r="K24" s="8" t="str">
        <f>IF(OR($A24="",$C24="",$D24="",$C24&gt;K$6,$D24&lt;K$9),"",IF($J24="里程碑","◆",""))</f>
        <v/>
      </c>
      <c r="L24" s="8" t="str">
        <f>IF(OR($A24="",$C24="",$D24="",$C24&gt;L$6,$D24&lt;L$9),"",IF($J24="里程碑","◆",""))</f>
        <v/>
      </c>
      <c r="M24" s="8" t="str">
        <f>IF(OR($A24="",$C24="",$D24="",$C24&gt;M$6,$D24&lt;M$9),"",IF($J24="里程碑","◆",""))</f>
        <v/>
      </c>
      <c r="N24" s="8" t="str">
        <f>IF(OR($A24="",$C24="",$D24="",$C24&gt;N$6,$D24&lt;N$9),"",IF($J24="里程碑","◆",""))</f>
        <v/>
      </c>
      <c r="O24" s="8" t="str">
        <f>IF(OR($A24="",$C24="",$D24="",$C24&gt;O$6,$D24&lt;O$9),"",IF($J24="里程碑","◆",""))</f>
        <v/>
      </c>
      <c r="P24" s="8" t="str">
        <f>IF(OR($A24="",$C24="",$D24="",$C24&gt;P$6,$D24&lt;P$9),"",IF($J24="里程碑","◆",""))</f>
        <v/>
      </c>
      <c r="Q24" s="8" t="str">
        <f>IF(OR($A24="",$C24="",$D24="",$C24&gt;Q$6,$D24&lt;Q$9),"",IF($J24="里程碑","◆",""))</f>
        <v/>
      </c>
      <c r="R24" s="8" t="str">
        <f>IF(OR($A24="",$C24="",$D24="",$C24&gt;R$6,$D24&lt;R$9),"",IF($J24="里程碑","◆",""))</f>
        <v/>
      </c>
      <c r="S24" s="8" t="str">
        <f>IF(OR($A24="",$C24="",$D24="",$C24&gt;S$6,$D24&lt;S$9),"",IF($J24="里程碑","◆",""))</f>
        <v/>
      </c>
      <c r="T24" s="8" t="str">
        <f>IF(OR($A24="",$C24="",$D24="",$C24&gt;T$6,$D24&lt;T$9),"",IF($J24="里程碑","◆",""))</f>
        <v/>
      </c>
      <c r="U24" s="8" t="str">
        <f>IF(OR($A24="",$C24="",$D24="",$C24&gt;U$6,$D24&lt;U$9),"",IF($J24="里程碑","◆",""))</f>
        <v/>
      </c>
      <c r="V24" s="8" t="str">
        <f>IF(OR($A24="",$C24="",$D24="",$C24&gt;V$6,$D24&lt;V$9),"",IF($J24="里程碑","◆",""))</f>
        <v/>
      </c>
      <c r="W24" s="8" t="str">
        <f>IF(OR($A24="",$C24="",$D24="",$C24&gt;W$6,$D24&lt;W$9),"",IF($J24="里程碑","◆",""))</f>
        <v/>
      </c>
      <c r="X24" s="8" t="str">
        <f>IF(OR($A24="",$C24="",$D24="",$C24&gt;X$6,$D24&lt;X$9),"",IF($J24="里程碑","◆",""))</f>
        <v/>
      </c>
      <c r="Y24" s="8" t="str">
        <f>IF(OR($A24="",$C24="",$D24="",$C24&gt;Y$6,$D24&lt;Y$9),"",IF($J24="里程碑","◆",""))</f>
        <v/>
      </c>
      <c r="Z24" s="8" t="str">
        <f>IF(OR($A24="",$C24="",$D24="",$C24&gt;Z$6,$D24&lt;Z$9),"",IF($J24="里程碑","◆",""))</f>
        <v/>
      </c>
      <c r="AA24" s="8" t="str">
        <f>IF(OR($A24="",$C24="",$D24="",$C24&gt;AA$6,$D24&lt;AA$9),"",IF($J24="里程碑","◆",""))</f>
        <v/>
      </c>
      <c r="AB24" s="8" t="str">
        <f>IF(OR($A24="",$C24="",$D24="",$C24&gt;AB$6,$D24&lt;AB$9),"",IF($J24="里程碑","◆",""))</f>
        <v/>
      </c>
      <c r="AC24" s="8" t="str">
        <f>IF(OR($A24="",$C24="",$D24="",$C24&gt;AC$6,$D24&lt;AC$9),"",IF($J24="里程碑","◆",""))</f>
        <v/>
      </c>
      <c r="AD24" s="8" t="str">
        <f>IF(OR($A24="",$C24="",$D24="",$C24&gt;AD$6,$D24&lt;AD$9),"",IF($J24="里程碑","◆",""))</f>
        <v/>
      </c>
      <c r="AE24" s="8" t="str">
        <f>IF(OR($A24="",$C24="",$D24="",$C24&gt;AE$6,$D24&lt;AE$9),"",IF($J24="里程碑","◆",""))</f>
        <v/>
      </c>
      <c r="AF24" s="8" t="str">
        <f>IF(OR($A24="",$C24="",$D24="",$C24&gt;AF$6,$D24&lt;AF$9),"",IF($J24="里程碑","◆",""))</f>
        <v/>
      </c>
      <c r="AG24" s="8" t="str">
        <f>IF(OR($A24="",$C24="",$D24="",$C24&gt;AG$6,$D24&lt;AG$9),"",IF($J24="里程碑","◆",""))</f>
        <v/>
      </c>
      <c r="AH24" s="8" t="str">
        <f>IF(OR($A24="",$C24="",$D24="",$C24&gt;AH$6,$D24&lt;AH$9),"",IF($J24="里程碑","◆",""))</f>
        <v/>
      </c>
      <c r="AI24" s="8" t="str">
        <f>IF(OR($A24="",$C24="",$D24="",$C24&gt;AI$6,$D24&lt;AI$9),"",IF($J24="里程碑","◆",""))</f>
        <v/>
      </c>
      <c r="AJ24" s="8" t="str">
        <f>IF(OR($A24="",$C24="",$D24="",$C24&gt;AJ$6,$D24&lt;AJ$9),"",IF($J24="里程碑","◆",""))</f>
        <v/>
      </c>
      <c r="AK24" s="8" t="str">
        <f>IF(OR($A24="",$C24="",$D24="",$C24&gt;AK$6,$D24&lt;AK$9),"",IF($J24="里程碑","◆",""))</f>
        <v/>
      </c>
      <c r="AL24" s="8" t="str">
        <f>IF(OR($A24="",$C24="",$D24="",$C24&gt;AL$6,$D24&lt;AL$9),"",IF($J24="里程碑","◆",""))</f>
        <v/>
      </c>
      <c r="AM24" s="8" t="str">
        <f>IF(OR($A24="",$C24="",$D24="",$C24&gt;AM$6,$D24&lt;AM$9),"",IF($J24="里程碑","◆",""))</f>
        <v/>
      </c>
      <c r="AN24" s="8" t="str">
        <f>IF(OR($A24="",$C24="",$D24="",$C24&gt;AN$6,$D24&lt;AN$9),"",IF($J24="里程碑","◆",""))</f>
        <v/>
      </c>
      <c r="AO24" s="8" t="str">
        <f>IF(OR($A24="",$C24="",$D24="",$C24&gt;AO$6,$D24&lt;AO$9),"",IF($J24="里程碑","◆",""))</f>
        <v/>
      </c>
      <c r="AP24" s="8" t="str">
        <f>IF(OR($A24="",$C24="",$D24="",$C24&gt;AP$6,$D24&lt;AP$9),"",IF($J24="里程碑","◆",""))</f>
        <v/>
      </c>
      <c r="AQ24" s="8" t="str">
        <f>IF(OR($A24="",$C24="",$D24="",$C24&gt;AQ$6,$D24&lt;AQ$9),"",IF($J24="里程碑","◆",""))</f>
        <v/>
      </c>
      <c r="AR24" s="8" t="str">
        <f>IF(OR($A24="",$C24="",$D24="",$C24&gt;AR$6,$D24&lt;AR$9),"",IF($J24="里程碑","◆",""))</f>
        <v/>
      </c>
      <c r="AS24" s="8" t="str">
        <f>IF(OR($A24="",$C24="",$D24="",$C24&gt;AS$6,$D24&lt;AS$9),"",IF($J24="里程碑","◆",""))</f>
        <v/>
      </c>
      <c r="AT24" s="8" t="str">
        <f>IF(OR($A24="",$C24="",$D24="",$C24&gt;AT$6,$D24&lt;AT$9),"",IF($J24="里程碑","◆",""))</f>
        <v/>
      </c>
      <c r="AU24" s="8" t="str">
        <f>IF(OR($A24="",$C24="",$D24="",$C24&gt;AU$6,$D24&lt;AU$9),"",IF($J24="里程碑","◆",""))</f>
        <v/>
      </c>
      <c r="AV24" s="8" t="str">
        <f>IF(OR($A24="",$C24="",$D24="",$C24&gt;AV$6,$D24&lt;AV$9),"",IF($J24="里程碑","◆",""))</f>
        <v/>
      </c>
      <c r="AW24" s="8" t="str">
        <f>IF(OR($A24="",$C24="",$D24="",$C24&gt;AW$6,$D24&lt;AW$9),"",IF($J24="里程碑","◆",""))</f>
        <v/>
      </c>
      <c r="AX24" s="8" t="str">
        <f>IF(OR($A24="",$C24="",$D24="",$C24&gt;AX$6,$D24&lt;AX$9),"",IF($J24="里程碑","◆",""))</f>
        <v/>
      </c>
      <c r="AY24" s="8" t="str">
        <f>IF(OR($A24="",$C24="",$D24="",$C24&gt;AY$6,$D24&lt;AY$9),"",IF($J24="里程碑","◆",""))</f>
        <v/>
      </c>
      <c r="AZ24" s="8" t="str">
        <f>IF(OR($A24="",$C24="",$D24="",$C24&gt;AZ$6,$D24&lt;AZ$9),"",IF($J24="里程碑","◆",""))</f>
        <v/>
      </c>
      <c r="BA24" s="8" t="str">
        <f>IF(OR($A24="",$C24="",$D24="",$C24&gt;BA$6,$D24&lt;BA$9),"",IF($J24="里程碑","◆",""))</f>
        <v/>
      </c>
      <c r="BB24" s="8" t="str">
        <f>IF(OR($A24="",$C24="",$D24="",$C24&gt;BB$6,$D24&lt;BB$9),"",IF($J24="里程碑","◆",""))</f>
        <v/>
      </c>
      <c r="BC24" s="8" t="str">
        <f>IF(OR($A24="",$C24="",$D24="",$C24&gt;BC$6,$D24&lt;BC$9),"",IF($J24="里程碑","◆",""))</f>
        <v/>
      </c>
      <c r="BD24" s="8" t="str">
        <f>IF(OR($A24="",$C24="",$D24="",$C24&gt;BD$6,$D24&lt;BD$9),"",IF($J24="里程碑","◆",""))</f>
        <v/>
      </c>
      <c r="BE24" s="8" t="str">
        <f>IF(OR($A24="",$C24="",$D24="",$C24&gt;BE$6,$D24&lt;BE$9),"",IF($J24="里程碑","◆",""))</f>
        <v/>
      </c>
      <c r="BF24" s="8" t="str">
        <f>IF(OR($A24="",$C24="",$D24="",$C24&gt;BF$6,$D24&lt;BF$9),"",IF($J24="里程碑","◆",""))</f>
        <v/>
      </c>
      <c r="BG24" s="8" t="str">
        <f>IF(OR($A24="",$C24="",$D24="",$C24&gt;BG$6,$D24&lt;BG$9),"",IF($J24="里程碑","◆",""))</f>
        <v/>
      </c>
      <c r="BH24" s="8" t="str">
        <f>IF(OR($A24="",$C24="",$D24="",$C24&gt;BH$6,$D24&lt;BH$9),"",IF($J24="里程碑","◆",""))</f>
        <v/>
      </c>
      <c r="BI24" s="8" t="str">
        <f>IF(OR($A24="",$C24="",$D24="",$C24&gt;BI$6,$D24&lt;BI$9),"",IF($J24="里程碑","◆",""))</f>
        <v/>
      </c>
      <c r="BJ24" s="8" t="str">
        <f>IF(OR($A24="",$C24="",$D24="",$C24&gt;BJ$6,$D24&lt;BJ$9),"",IF($J24="里程碑","◆",""))</f>
        <v/>
      </c>
      <c r="BK24" s="8" t="str">
        <f>IF(OR($A24="",$C24="",$D24="",$C24&gt;BK$6,$D24&lt;BK$9),"",IF($J24="里程碑","◆",""))</f>
        <v/>
      </c>
      <c r="BL24" s="8" t="str">
        <f>IF(OR($A24="",$C24="",$D24="",$C24&gt;BL$6,$D24&lt;BL$9),"",IF($J24="里程碑","◆",""))</f>
        <v/>
      </c>
      <c r="BM24" s="8" t="str">
        <f>IF(OR($A24="",$C24="",$D24="",$C24&gt;BM$6,$D24&lt;BM$9),"",IF($J24="里程碑","◆",""))</f>
        <v/>
      </c>
      <c r="BN24" s="8" t="str">
        <f>IF(OR($A24="",$C24="",$D24="",$C24&gt;BN$6,$D24&lt;BN$9),"",IF($J24="里程碑","◆",""))</f>
        <v/>
      </c>
      <c r="BO24" s="8" t="str">
        <f>IF(OR($A24="",$C24="",$D24="",$C24&gt;BO$6,$D24&lt;BO$9),"",IF($J24="里程碑","◆",""))</f>
        <v/>
      </c>
      <c r="BP24" s="8" t="str">
        <f>IF(OR($A24="",$C24="",$D24="",$C24&gt;BP$6,$D24&lt;BP$9),"",IF($J24="里程碑","◆",""))</f>
        <v/>
      </c>
      <c r="BQ24" s="8" t="str">
        <f>IF(OR($A24="",$C24="",$D24="",$C24&gt;BQ$6,$D24&lt;BQ$9),"",IF($J24="里程碑","◆",""))</f>
        <v/>
      </c>
      <c r="BR24" s="8" t="str">
        <f>IF(OR($A24="",$C24="",$D24="",$C24&gt;BR$6,$D24&lt;BR$9),"",IF($J24="里程碑","◆",""))</f>
        <v/>
      </c>
      <c r="BS24" s="8" t="str">
        <f>IF(OR($A24="",$C24="",$D24="",$C24&gt;BS$6,$D24&lt;BS$9),"",IF($J24="里程碑","◆",""))</f>
        <v/>
      </c>
      <c r="BT24" s="8" t="str">
        <f>IF(OR($A24="",$C24="",$D24="",$C24&gt;BT$6,$D24&lt;BT$9),"",IF($J24="里程碑","◆",""))</f>
        <v/>
      </c>
      <c r="BU24" s="8" t="str">
        <f>IF(OR($A24="",$C24="",$D24="",$C24&gt;BU$6,$D24&lt;BU$9),"",IF($J24="里程碑","◆",""))</f>
        <v/>
      </c>
      <c r="BV24" s="8" t="str">
        <f>IF(OR($A24="",$C24="",$D24="",$C24&gt;BV$6,$D24&lt;BV$9),"",IF($J24="里程碑","◆",""))</f>
        <v/>
      </c>
      <c r="BW24" s="8" t="str">
        <f>IF(OR($A24="",$C24="",$D24="",$C24&gt;BW$6,$D24&lt;BW$9),"",IF($J24="里程碑","◆",""))</f>
        <v/>
      </c>
      <c r="BX24" s="8" t="str">
        <f>IF(OR($A24="",$C24="",$D24="",$C24&gt;BX$6,$D24&lt;BX$9),"",IF($J24="里程碑","◆",""))</f>
        <v/>
      </c>
      <c r="BY24" s="8" t="str">
        <f>IF(OR($A24="",$C24="",$D24="",$C24&gt;BY$6,$D24&lt;BY$9),"",IF($J24="里程碑","◆",""))</f>
        <v/>
      </c>
      <c r="BZ24" s="8" t="str">
        <f>IF(OR($A24="",$C24="",$D24="",$C24&gt;BZ$6,$D24&lt;BZ$9),"",IF($J24="里程碑","◆",""))</f>
        <v/>
      </c>
      <c r="CA24" s="8" t="str">
        <f>IF(OR($A24="",$C24="",$D24="",$C24&gt;CA$6,$D24&lt;CA$9),"",IF($J24="里程碑","◆",""))</f>
        <v/>
      </c>
      <c r="CB24" s="8" t="str">
        <f>IF(OR($A24="",$C24="",$D24="",$C24&gt;CB$6,$D24&lt;CB$9),"",IF($J24="里程碑","◆",""))</f>
        <v/>
      </c>
      <c r="CC24" s="8" t="str">
        <f>IF(OR($A24="",$C24="",$D24="",$C24&gt;CC$6,$D24&lt;CC$9),"",IF($J24="里程碑","◆",""))</f>
        <v/>
      </c>
      <c r="CD24" s="8" t="str">
        <f>IF(OR($A24="",$C24="",$D24="",$C24&gt;CD$6,$D24&lt;CD$9),"",IF($J24="里程碑","◆",""))</f>
        <v/>
      </c>
      <c r="CE24" s="8" t="str">
        <f>IF(OR($A24="",$C24="",$D24="",$C24&gt;CE$6,$D24&lt;CE$9),"",IF($J24="里程碑","◆",""))</f>
        <v/>
      </c>
      <c r="CF24" s="8" t="str">
        <f>IF(OR($A24="",$C24="",$D24="",$C24&gt;CF$6,$D24&lt;CF$9),"",IF($J24="里程碑","◆",""))</f>
        <v/>
      </c>
      <c r="CG24" s="8" t="str">
        <f>IF(OR($A24="",$C24="",$D24="",$C24&gt;CG$6,$D24&lt;CG$9),"",IF($J24="里程碑","◆",""))</f>
        <v/>
      </c>
      <c r="CH24" s="8" t="str">
        <f>IF(OR($A24="",$C24="",$D24="",$C24&gt;CH$6,$D24&lt;CH$9),"",IF($J24="里程碑","◆",""))</f>
        <v/>
      </c>
      <c r="CI24" s="8" t="str">
        <f>IF(OR($A24="",$C24="",$D24="",$C24&gt;CI$6,$D24&lt;CI$9),"",IF($J24="里程碑","◆",""))</f>
        <v/>
      </c>
      <c r="CJ24" s="8" t="str">
        <f>IF(OR($A24="",$C24="",$D24="",$C24&gt;CJ$6,$D24&lt;CJ$9),"",IF($J24="里程碑","◆",""))</f>
        <v/>
      </c>
      <c r="CK24" s="8" t="str">
        <f>IF(OR($A24="",$C24="",$D24="",$C24&gt;CK$6,$D24&lt;CK$9),"",IF($J24="里程碑","◆",""))</f>
        <v/>
      </c>
      <c r="CL24" s="8" t="str">
        <f>IF(OR($A24="",$C24="",$D24="",$C24&gt;CL$6,$D24&lt;CL$9),"",IF($J24="里程碑","◆",""))</f>
        <v/>
      </c>
      <c r="CM24" s="8" t="str">
        <f>IF(OR($A24="",$C24="",$D24="",$C24&gt;CM$6,$D24&lt;CM$9),"",IF($J24="里程碑","◆",""))</f>
        <v/>
      </c>
      <c r="CN24" s="8" t="str">
        <f>IF(OR($A24="",$C24="",$D24="",$C24&gt;CN$6,$D24&lt;CN$9),"",IF($J24="里程碑","◆",""))</f>
        <v/>
      </c>
      <c r="CO24" s="8" t="str">
        <f>IF(OR($A24="",$C24="",$D24="",$C24&gt;CO$6,$D24&lt;CO$9),"",IF($J24="里程碑","◆",""))</f>
        <v/>
      </c>
      <c r="CP24" s="8" t="str">
        <f>IF(OR($A24="",$C24="",$D24="",$C24&gt;CP$6,$D24&lt;CP$9),"",IF($J24="里程碑","◆",""))</f>
        <v/>
      </c>
      <c r="CQ24" s="8" t="str">
        <f>IF(OR($A24="",$C24="",$D24="",$C24&gt;CQ$6,$D24&lt;CQ$9),"",IF($J24="里程碑","◆",""))</f>
        <v/>
      </c>
      <c r="CR24" s="8" t="str">
        <f>IF(OR($A24="",$C24="",$D24="",$C24&gt;CR$6,$D24&lt;CR$9),"",IF($J24="里程碑","◆",""))</f>
        <v/>
      </c>
      <c r="CS24" s="8" t="str">
        <f>IF(OR($A24="",$C24="",$D24="",$C24&gt;CS$6,$D24&lt;CS$9),"",IF($J24="里程碑","◆",""))</f>
        <v/>
      </c>
      <c r="CT24" s="8" t="str">
        <f>IF(OR($A24="",$C24="",$D24="",$C24&gt;CT$6,$D24&lt;CT$9),"",IF($J24="里程碑","◆",""))</f>
        <v/>
      </c>
      <c r="CU24" s="8" t="str">
        <f>IF(OR($A24="",$C24="",$D24="",$C24&gt;CU$6,$D24&lt;CU$9),"",IF($J24="里程碑","◆",""))</f>
        <v/>
      </c>
      <c r="CV24" s="8" t="str">
        <f>IF(OR($A24="",$C24="",$D24="",$C24&gt;CV$6,$D24&lt;CV$9),"",IF($J24="里程碑","◆",""))</f>
        <v/>
      </c>
      <c r="CW24" s="8" t="str">
        <f>IF(OR($A24="",$C24="",$D24="",$C24&gt;CW$6,$D24&lt;CW$9),"",IF($J24="里程碑","◆",""))</f>
        <v/>
      </c>
      <c r="CX24" s="8" t="str">
        <f>IF(OR($A24="",$C24="",$D24="",$C24&gt;CX$6,$D24&lt;CX$9),"",IF($J24="里程碑","◆",""))</f>
        <v/>
      </c>
      <c r="CY24" s="8" t="str">
        <f>IF(OR($A24="",$C24="",$D24="",$C24&gt;CY$6,$D24&lt;CY$9),"",IF($J24="里程碑","◆",""))</f>
        <v/>
      </c>
      <c r="CZ24" s="8" t="str">
        <f>IF(OR($A24="",$C24="",$D24="",$C24&gt;CZ$6,$D24&lt;CZ$9),"",IF($J24="里程碑","◆",""))</f>
        <v/>
      </c>
      <c r="DA24" s="8" t="str">
        <f>IF(OR($A24="",$C24="",$D24="",$C24&gt;DA$6,$D24&lt;DA$9),"",IF($J24="里程碑","◆",""))</f>
        <v/>
      </c>
      <c r="DB24" s="8" t="str">
        <f>IF(OR($A24="",$C24="",$D24="",$C24&gt;DB$6,$D24&lt;DB$9),"",IF($J24="里程碑","◆",""))</f>
        <v/>
      </c>
      <c r="DC24" s="1" t="str">
        <f>IF(ROW()-9&gt;$DH$3,"",MATCH(ROW()-9,排期计算!$U$10:$U$109,0))</f>
        <v/>
      </c>
      <c r="DD24" s="1" t="str">
        <f>IF($DC24="","",INDEX(排期计算!$L$10:$L$109,$DC24))</f>
        <v/>
      </c>
      <c r="DE24" s="1"/>
      <c r="DF24" s="1"/>
      <c r="DG24" s="1"/>
      <c r="DH24" s="1"/>
      <c r="DI24" s="1"/>
      <c r="DJ24" s="1"/>
      <c r="DK24" s="1"/>
    </row>
    <row r="25" spans="1:115" ht="24.95" customHeight="1">
      <c r="A25" s="9" t="str">
        <f>IF($DC25="","",IF(AND(INDEX(排期计算!$A$10:$A$109,$DC25)="",NOT(ISNUMBER(INDEX(排期计算!$A$10:$A$109,$DC25)))),"",INDEX(排期计算!$A$10:$A$109,$DC25)))</f>
        <v/>
      </c>
      <c r="B25" s="1" t="str">
        <f>IF($DC25="","",REPT("　",$DD25-1)&amp;INDEX(排期计算!$B$10:$B$109,$DC25))</f>
        <v/>
      </c>
      <c r="C25" s="3" t="str">
        <f>IF($DC25="","",IF(AND(INDEX(排期计算!$M$10:$M$109,$DC25)="",NOT(ISNUMBER(INDEX(排期计算!$M$10:$M$109,$DC25)))),"",INDEX(排期计算!$M$10:$M$109,$DC25)))</f>
        <v/>
      </c>
      <c r="D25" s="3" t="str">
        <f>IF($DC25="","",IF(AND(INDEX(排期计算!$N$10:$N$109,$DC25)="",NOT(ISNUMBER(INDEX(排期计算!$N$10:$N$109,$DC25)))),"",INDEX(排期计算!$N$10:$N$109,$DC25)))</f>
        <v/>
      </c>
      <c r="E25" s="1" t="str">
        <f>IF(OR($C25="",$D25=""),"",IF($J25="里程碑",0,NETWORKDAYS($C25,$D25)))</f>
        <v/>
      </c>
      <c r="F25" s="7" t="str">
        <f>IF($DC25="","",IF(AND(INDEX(排期计算!$O$10:$O$109,$DC25)="",NOT(ISNUMBER(INDEX(排期计算!$O$10:$O$109,$DC25)))),"",INDEX(排期计算!$O$10:$O$109,$DC25)))</f>
        <v/>
      </c>
      <c r="G25" s="8" t="str">
        <f>IF($A25="","",IF(OR($C25="",$D25=""),"未排期",IF($F25&gt;=1,"已完成",IF($D25&lt;$B$4,"逾期",IF($C25&gt;$B$4,"未开始","进行中")))))</f>
        <v/>
      </c>
      <c r="H25" s="1" t="str">
        <f>IF($DC25="","",IF(AND(INDEX(排期计算!$C$10:$C$109,$DC25)="",NOT(ISNUMBER(INDEX(排期计算!$C$10:$C$109,$DC25)))),"",INDEX(排期计算!$C$10:$C$109,$DC25)))</f>
        <v/>
      </c>
      <c r="I25" s="1" t="str">
        <f>IF($DC25="","",IF(AND(INDEX(排期计算!$H$10:$H$109,$DC25)="",NOT(ISNUMBER(INDEX(排期计算!$H$10:$H$109,$DC25)))),"",INDEX(排期计算!$H$10:$H$109,$DC25)))</f>
        <v/>
      </c>
      <c r="J25" s="1" t="str">
        <f>IF($DC25="","",IF(AND(INDEX(排期计算!$K$10:$K$109,$DC25)="",NOT(ISNUMBER(INDEX(排期计算!$K$10:$K$109,$DC25)))),"",INDEX(排期计算!$K$10:$K$109,$DC25)))</f>
        <v/>
      </c>
      <c r="K25" s="8" t="str">
        <f>IF(OR($A25="",$C25="",$D25="",$C25&gt;K$6,$D25&lt;K$9),"",IF($J25="里程碑","◆",""))</f>
        <v/>
      </c>
      <c r="L25" s="8" t="str">
        <f>IF(OR($A25="",$C25="",$D25="",$C25&gt;L$6,$D25&lt;L$9),"",IF($J25="里程碑","◆",""))</f>
        <v/>
      </c>
      <c r="M25" s="8" t="str">
        <f>IF(OR($A25="",$C25="",$D25="",$C25&gt;M$6,$D25&lt;M$9),"",IF($J25="里程碑","◆",""))</f>
        <v/>
      </c>
      <c r="N25" s="8" t="str">
        <f>IF(OR($A25="",$C25="",$D25="",$C25&gt;N$6,$D25&lt;N$9),"",IF($J25="里程碑","◆",""))</f>
        <v/>
      </c>
      <c r="O25" s="8" t="str">
        <f>IF(OR($A25="",$C25="",$D25="",$C25&gt;O$6,$D25&lt;O$9),"",IF($J25="里程碑","◆",""))</f>
        <v/>
      </c>
      <c r="P25" s="8" t="str">
        <f>IF(OR($A25="",$C25="",$D25="",$C25&gt;P$6,$D25&lt;P$9),"",IF($J25="里程碑","◆",""))</f>
        <v/>
      </c>
      <c r="Q25" s="8" t="str">
        <f>IF(OR($A25="",$C25="",$D25="",$C25&gt;Q$6,$D25&lt;Q$9),"",IF($J25="里程碑","◆",""))</f>
        <v/>
      </c>
      <c r="R25" s="8" t="str">
        <f>IF(OR($A25="",$C25="",$D25="",$C25&gt;R$6,$D25&lt;R$9),"",IF($J25="里程碑","◆",""))</f>
        <v/>
      </c>
      <c r="S25" s="8" t="str">
        <f>IF(OR($A25="",$C25="",$D25="",$C25&gt;S$6,$D25&lt;S$9),"",IF($J25="里程碑","◆",""))</f>
        <v/>
      </c>
      <c r="T25" s="8" t="str">
        <f>IF(OR($A25="",$C25="",$D25="",$C25&gt;T$6,$D25&lt;T$9),"",IF($J25="里程碑","◆",""))</f>
        <v/>
      </c>
      <c r="U25" s="8" t="str">
        <f>IF(OR($A25="",$C25="",$D25="",$C25&gt;U$6,$D25&lt;U$9),"",IF($J25="里程碑","◆",""))</f>
        <v/>
      </c>
      <c r="V25" s="8" t="str">
        <f>IF(OR($A25="",$C25="",$D25="",$C25&gt;V$6,$D25&lt;V$9),"",IF($J25="里程碑","◆",""))</f>
        <v/>
      </c>
      <c r="W25" s="8" t="str">
        <f>IF(OR($A25="",$C25="",$D25="",$C25&gt;W$6,$D25&lt;W$9),"",IF($J25="里程碑","◆",""))</f>
        <v/>
      </c>
      <c r="X25" s="8" t="str">
        <f>IF(OR($A25="",$C25="",$D25="",$C25&gt;X$6,$D25&lt;X$9),"",IF($J25="里程碑","◆",""))</f>
        <v/>
      </c>
      <c r="Y25" s="8" t="str">
        <f>IF(OR($A25="",$C25="",$D25="",$C25&gt;Y$6,$D25&lt;Y$9),"",IF($J25="里程碑","◆",""))</f>
        <v/>
      </c>
      <c r="Z25" s="8" t="str">
        <f>IF(OR($A25="",$C25="",$D25="",$C25&gt;Z$6,$D25&lt;Z$9),"",IF($J25="里程碑","◆",""))</f>
        <v/>
      </c>
      <c r="AA25" s="8" t="str">
        <f>IF(OR($A25="",$C25="",$D25="",$C25&gt;AA$6,$D25&lt;AA$9),"",IF($J25="里程碑","◆",""))</f>
        <v/>
      </c>
      <c r="AB25" s="8" t="str">
        <f>IF(OR($A25="",$C25="",$D25="",$C25&gt;AB$6,$D25&lt;AB$9),"",IF($J25="里程碑","◆",""))</f>
        <v/>
      </c>
      <c r="AC25" s="8" t="str">
        <f>IF(OR($A25="",$C25="",$D25="",$C25&gt;AC$6,$D25&lt;AC$9),"",IF($J25="里程碑","◆",""))</f>
        <v/>
      </c>
      <c r="AD25" s="8" t="str">
        <f>IF(OR($A25="",$C25="",$D25="",$C25&gt;AD$6,$D25&lt;AD$9),"",IF($J25="里程碑","◆",""))</f>
        <v/>
      </c>
      <c r="AE25" s="8" t="str">
        <f>IF(OR($A25="",$C25="",$D25="",$C25&gt;AE$6,$D25&lt;AE$9),"",IF($J25="里程碑","◆",""))</f>
        <v/>
      </c>
      <c r="AF25" s="8" t="str">
        <f>IF(OR($A25="",$C25="",$D25="",$C25&gt;AF$6,$D25&lt;AF$9),"",IF($J25="里程碑","◆",""))</f>
        <v/>
      </c>
      <c r="AG25" s="8" t="str">
        <f>IF(OR($A25="",$C25="",$D25="",$C25&gt;AG$6,$D25&lt;AG$9),"",IF($J25="里程碑","◆",""))</f>
        <v/>
      </c>
      <c r="AH25" s="8" t="str">
        <f>IF(OR($A25="",$C25="",$D25="",$C25&gt;AH$6,$D25&lt;AH$9),"",IF($J25="里程碑","◆",""))</f>
        <v/>
      </c>
      <c r="AI25" s="8" t="str">
        <f>IF(OR($A25="",$C25="",$D25="",$C25&gt;AI$6,$D25&lt;AI$9),"",IF($J25="里程碑","◆",""))</f>
        <v/>
      </c>
      <c r="AJ25" s="8" t="str">
        <f>IF(OR($A25="",$C25="",$D25="",$C25&gt;AJ$6,$D25&lt;AJ$9),"",IF($J25="里程碑","◆",""))</f>
        <v/>
      </c>
      <c r="AK25" s="8" t="str">
        <f>IF(OR($A25="",$C25="",$D25="",$C25&gt;AK$6,$D25&lt;AK$9),"",IF($J25="里程碑","◆",""))</f>
        <v/>
      </c>
      <c r="AL25" s="8" t="str">
        <f>IF(OR($A25="",$C25="",$D25="",$C25&gt;AL$6,$D25&lt;AL$9),"",IF($J25="里程碑","◆",""))</f>
        <v/>
      </c>
      <c r="AM25" s="8" t="str">
        <f>IF(OR($A25="",$C25="",$D25="",$C25&gt;AM$6,$D25&lt;AM$9),"",IF($J25="里程碑","◆",""))</f>
        <v/>
      </c>
      <c r="AN25" s="8" t="str">
        <f>IF(OR($A25="",$C25="",$D25="",$C25&gt;AN$6,$D25&lt;AN$9),"",IF($J25="里程碑","◆",""))</f>
        <v/>
      </c>
      <c r="AO25" s="8" t="str">
        <f>IF(OR($A25="",$C25="",$D25="",$C25&gt;AO$6,$D25&lt;AO$9),"",IF($J25="里程碑","◆",""))</f>
        <v/>
      </c>
      <c r="AP25" s="8" t="str">
        <f>IF(OR($A25="",$C25="",$D25="",$C25&gt;AP$6,$D25&lt;AP$9),"",IF($J25="里程碑","◆",""))</f>
        <v/>
      </c>
      <c r="AQ25" s="8" t="str">
        <f>IF(OR($A25="",$C25="",$D25="",$C25&gt;AQ$6,$D25&lt;AQ$9),"",IF($J25="里程碑","◆",""))</f>
        <v/>
      </c>
      <c r="AR25" s="8" t="str">
        <f>IF(OR($A25="",$C25="",$D25="",$C25&gt;AR$6,$D25&lt;AR$9),"",IF($J25="里程碑","◆",""))</f>
        <v/>
      </c>
      <c r="AS25" s="8" t="str">
        <f>IF(OR($A25="",$C25="",$D25="",$C25&gt;AS$6,$D25&lt;AS$9),"",IF($J25="里程碑","◆",""))</f>
        <v/>
      </c>
      <c r="AT25" s="8" t="str">
        <f>IF(OR($A25="",$C25="",$D25="",$C25&gt;AT$6,$D25&lt;AT$9),"",IF($J25="里程碑","◆",""))</f>
        <v/>
      </c>
      <c r="AU25" s="8" t="str">
        <f>IF(OR($A25="",$C25="",$D25="",$C25&gt;AU$6,$D25&lt;AU$9),"",IF($J25="里程碑","◆",""))</f>
        <v/>
      </c>
      <c r="AV25" s="8" t="str">
        <f>IF(OR($A25="",$C25="",$D25="",$C25&gt;AV$6,$D25&lt;AV$9),"",IF($J25="里程碑","◆",""))</f>
        <v/>
      </c>
      <c r="AW25" s="8" t="str">
        <f>IF(OR($A25="",$C25="",$D25="",$C25&gt;AW$6,$D25&lt;AW$9),"",IF($J25="里程碑","◆",""))</f>
        <v/>
      </c>
      <c r="AX25" s="8" t="str">
        <f>IF(OR($A25="",$C25="",$D25="",$C25&gt;AX$6,$D25&lt;AX$9),"",IF($J25="里程碑","◆",""))</f>
        <v/>
      </c>
      <c r="AY25" s="8" t="str">
        <f>IF(OR($A25="",$C25="",$D25="",$C25&gt;AY$6,$D25&lt;AY$9),"",IF($J25="里程碑","◆",""))</f>
        <v/>
      </c>
      <c r="AZ25" s="8" t="str">
        <f>IF(OR($A25="",$C25="",$D25="",$C25&gt;AZ$6,$D25&lt;AZ$9),"",IF($J25="里程碑","◆",""))</f>
        <v/>
      </c>
      <c r="BA25" s="8" t="str">
        <f>IF(OR($A25="",$C25="",$D25="",$C25&gt;BA$6,$D25&lt;BA$9),"",IF($J25="里程碑","◆",""))</f>
        <v/>
      </c>
      <c r="BB25" s="8" t="str">
        <f>IF(OR($A25="",$C25="",$D25="",$C25&gt;BB$6,$D25&lt;BB$9),"",IF($J25="里程碑","◆",""))</f>
        <v/>
      </c>
      <c r="BC25" s="8" t="str">
        <f>IF(OR($A25="",$C25="",$D25="",$C25&gt;BC$6,$D25&lt;BC$9),"",IF($J25="里程碑","◆",""))</f>
        <v/>
      </c>
      <c r="BD25" s="8" t="str">
        <f>IF(OR($A25="",$C25="",$D25="",$C25&gt;BD$6,$D25&lt;BD$9),"",IF($J25="里程碑","◆",""))</f>
        <v/>
      </c>
      <c r="BE25" s="8" t="str">
        <f>IF(OR($A25="",$C25="",$D25="",$C25&gt;BE$6,$D25&lt;BE$9),"",IF($J25="里程碑","◆",""))</f>
        <v/>
      </c>
      <c r="BF25" s="8" t="str">
        <f>IF(OR($A25="",$C25="",$D25="",$C25&gt;BF$6,$D25&lt;BF$9),"",IF($J25="里程碑","◆",""))</f>
        <v/>
      </c>
      <c r="BG25" s="8" t="str">
        <f>IF(OR($A25="",$C25="",$D25="",$C25&gt;BG$6,$D25&lt;BG$9),"",IF($J25="里程碑","◆",""))</f>
        <v/>
      </c>
      <c r="BH25" s="8" t="str">
        <f>IF(OR($A25="",$C25="",$D25="",$C25&gt;BH$6,$D25&lt;BH$9),"",IF($J25="里程碑","◆",""))</f>
        <v/>
      </c>
      <c r="BI25" s="8" t="str">
        <f>IF(OR($A25="",$C25="",$D25="",$C25&gt;BI$6,$D25&lt;BI$9),"",IF($J25="里程碑","◆",""))</f>
        <v/>
      </c>
      <c r="BJ25" s="8" t="str">
        <f>IF(OR($A25="",$C25="",$D25="",$C25&gt;BJ$6,$D25&lt;BJ$9),"",IF($J25="里程碑","◆",""))</f>
        <v/>
      </c>
      <c r="BK25" s="8" t="str">
        <f>IF(OR($A25="",$C25="",$D25="",$C25&gt;BK$6,$D25&lt;BK$9),"",IF($J25="里程碑","◆",""))</f>
        <v/>
      </c>
      <c r="BL25" s="8" t="str">
        <f>IF(OR($A25="",$C25="",$D25="",$C25&gt;BL$6,$D25&lt;BL$9),"",IF($J25="里程碑","◆",""))</f>
        <v/>
      </c>
      <c r="BM25" s="8" t="str">
        <f>IF(OR($A25="",$C25="",$D25="",$C25&gt;BM$6,$D25&lt;BM$9),"",IF($J25="里程碑","◆",""))</f>
        <v/>
      </c>
      <c r="BN25" s="8" t="str">
        <f>IF(OR($A25="",$C25="",$D25="",$C25&gt;BN$6,$D25&lt;BN$9),"",IF($J25="里程碑","◆",""))</f>
        <v/>
      </c>
      <c r="BO25" s="8" t="str">
        <f>IF(OR($A25="",$C25="",$D25="",$C25&gt;BO$6,$D25&lt;BO$9),"",IF($J25="里程碑","◆",""))</f>
        <v/>
      </c>
      <c r="BP25" s="8" t="str">
        <f>IF(OR($A25="",$C25="",$D25="",$C25&gt;BP$6,$D25&lt;BP$9),"",IF($J25="里程碑","◆",""))</f>
        <v/>
      </c>
      <c r="BQ25" s="8" t="str">
        <f>IF(OR($A25="",$C25="",$D25="",$C25&gt;BQ$6,$D25&lt;BQ$9),"",IF($J25="里程碑","◆",""))</f>
        <v/>
      </c>
      <c r="BR25" s="8" t="str">
        <f>IF(OR($A25="",$C25="",$D25="",$C25&gt;BR$6,$D25&lt;BR$9),"",IF($J25="里程碑","◆",""))</f>
        <v/>
      </c>
      <c r="BS25" s="8" t="str">
        <f>IF(OR($A25="",$C25="",$D25="",$C25&gt;BS$6,$D25&lt;BS$9),"",IF($J25="里程碑","◆",""))</f>
        <v/>
      </c>
      <c r="BT25" s="8" t="str">
        <f>IF(OR($A25="",$C25="",$D25="",$C25&gt;BT$6,$D25&lt;BT$9),"",IF($J25="里程碑","◆",""))</f>
        <v/>
      </c>
      <c r="BU25" s="8" t="str">
        <f>IF(OR($A25="",$C25="",$D25="",$C25&gt;BU$6,$D25&lt;BU$9),"",IF($J25="里程碑","◆",""))</f>
        <v/>
      </c>
      <c r="BV25" s="8" t="str">
        <f>IF(OR($A25="",$C25="",$D25="",$C25&gt;BV$6,$D25&lt;BV$9),"",IF($J25="里程碑","◆",""))</f>
        <v/>
      </c>
      <c r="BW25" s="8" t="str">
        <f>IF(OR($A25="",$C25="",$D25="",$C25&gt;BW$6,$D25&lt;BW$9),"",IF($J25="里程碑","◆",""))</f>
        <v/>
      </c>
      <c r="BX25" s="8" t="str">
        <f>IF(OR($A25="",$C25="",$D25="",$C25&gt;BX$6,$D25&lt;BX$9),"",IF($J25="里程碑","◆",""))</f>
        <v/>
      </c>
      <c r="BY25" s="8" t="str">
        <f>IF(OR($A25="",$C25="",$D25="",$C25&gt;BY$6,$D25&lt;BY$9),"",IF($J25="里程碑","◆",""))</f>
        <v/>
      </c>
      <c r="BZ25" s="8" t="str">
        <f>IF(OR($A25="",$C25="",$D25="",$C25&gt;BZ$6,$D25&lt;BZ$9),"",IF($J25="里程碑","◆",""))</f>
        <v/>
      </c>
      <c r="CA25" s="8" t="str">
        <f>IF(OR($A25="",$C25="",$D25="",$C25&gt;CA$6,$D25&lt;CA$9),"",IF($J25="里程碑","◆",""))</f>
        <v/>
      </c>
      <c r="CB25" s="8" t="str">
        <f>IF(OR($A25="",$C25="",$D25="",$C25&gt;CB$6,$D25&lt;CB$9),"",IF($J25="里程碑","◆",""))</f>
        <v/>
      </c>
      <c r="CC25" s="8" t="str">
        <f>IF(OR($A25="",$C25="",$D25="",$C25&gt;CC$6,$D25&lt;CC$9),"",IF($J25="里程碑","◆",""))</f>
        <v/>
      </c>
      <c r="CD25" s="8" t="str">
        <f>IF(OR($A25="",$C25="",$D25="",$C25&gt;CD$6,$D25&lt;CD$9),"",IF($J25="里程碑","◆",""))</f>
        <v/>
      </c>
      <c r="CE25" s="8" t="str">
        <f>IF(OR($A25="",$C25="",$D25="",$C25&gt;CE$6,$D25&lt;CE$9),"",IF($J25="里程碑","◆",""))</f>
        <v/>
      </c>
      <c r="CF25" s="8" t="str">
        <f>IF(OR($A25="",$C25="",$D25="",$C25&gt;CF$6,$D25&lt;CF$9),"",IF($J25="里程碑","◆",""))</f>
        <v/>
      </c>
      <c r="CG25" s="8" t="str">
        <f>IF(OR($A25="",$C25="",$D25="",$C25&gt;CG$6,$D25&lt;CG$9),"",IF($J25="里程碑","◆",""))</f>
        <v/>
      </c>
      <c r="CH25" s="8" t="str">
        <f>IF(OR($A25="",$C25="",$D25="",$C25&gt;CH$6,$D25&lt;CH$9),"",IF($J25="里程碑","◆",""))</f>
        <v/>
      </c>
      <c r="CI25" s="8" t="str">
        <f>IF(OR($A25="",$C25="",$D25="",$C25&gt;CI$6,$D25&lt;CI$9),"",IF($J25="里程碑","◆",""))</f>
        <v/>
      </c>
      <c r="CJ25" s="8" t="str">
        <f>IF(OR($A25="",$C25="",$D25="",$C25&gt;CJ$6,$D25&lt;CJ$9),"",IF($J25="里程碑","◆",""))</f>
        <v/>
      </c>
      <c r="CK25" s="8" t="str">
        <f>IF(OR($A25="",$C25="",$D25="",$C25&gt;CK$6,$D25&lt;CK$9),"",IF($J25="里程碑","◆",""))</f>
        <v/>
      </c>
      <c r="CL25" s="8" t="str">
        <f>IF(OR($A25="",$C25="",$D25="",$C25&gt;CL$6,$D25&lt;CL$9),"",IF($J25="里程碑","◆",""))</f>
        <v/>
      </c>
      <c r="CM25" s="8" t="str">
        <f>IF(OR($A25="",$C25="",$D25="",$C25&gt;CM$6,$D25&lt;CM$9),"",IF($J25="里程碑","◆",""))</f>
        <v/>
      </c>
      <c r="CN25" s="8" t="str">
        <f>IF(OR($A25="",$C25="",$D25="",$C25&gt;CN$6,$D25&lt;CN$9),"",IF($J25="里程碑","◆",""))</f>
        <v/>
      </c>
      <c r="CO25" s="8" t="str">
        <f>IF(OR($A25="",$C25="",$D25="",$C25&gt;CO$6,$D25&lt;CO$9),"",IF($J25="里程碑","◆",""))</f>
        <v/>
      </c>
      <c r="CP25" s="8" t="str">
        <f>IF(OR($A25="",$C25="",$D25="",$C25&gt;CP$6,$D25&lt;CP$9),"",IF($J25="里程碑","◆",""))</f>
        <v/>
      </c>
      <c r="CQ25" s="8" t="str">
        <f>IF(OR($A25="",$C25="",$D25="",$C25&gt;CQ$6,$D25&lt;CQ$9),"",IF($J25="里程碑","◆",""))</f>
        <v/>
      </c>
      <c r="CR25" s="8" t="str">
        <f>IF(OR($A25="",$C25="",$D25="",$C25&gt;CR$6,$D25&lt;CR$9),"",IF($J25="里程碑","◆",""))</f>
        <v/>
      </c>
      <c r="CS25" s="8" t="str">
        <f>IF(OR($A25="",$C25="",$D25="",$C25&gt;CS$6,$D25&lt;CS$9),"",IF($J25="里程碑","◆",""))</f>
        <v/>
      </c>
      <c r="CT25" s="8" t="str">
        <f>IF(OR($A25="",$C25="",$D25="",$C25&gt;CT$6,$D25&lt;CT$9),"",IF($J25="里程碑","◆",""))</f>
        <v/>
      </c>
      <c r="CU25" s="8" t="str">
        <f>IF(OR($A25="",$C25="",$D25="",$C25&gt;CU$6,$D25&lt;CU$9),"",IF($J25="里程碑","◆",""))</f>
        <v/>
      </c>
      <c r="CV25" s="8" t="str">
        <f>IF(OR($A25="",$C25="",$D25="",$C25&gt;CV$6,$D25&lt;CV$9),"",IF($J25="里程碑","◆",""))</f>
        <v/>
      </c>
      <c r="CW25" s="8" t="str">
        <f>IF(OR($A25="",$C25="",$D25="",$C25&gt;CW$6,$D25&lt;CW$9),"",IF($J25="里程碑","◆",""))</f>
        <v/>
      </c>
      <c r="CX25" s="8" t="str">
        <f>IF(OR($A25="",$C25="",$D25="",$C25&gt;CX$6,$D25&lt;CX$9),"",IF($J25="里程碑","◆",""))</f>
        <v/>
      </c>
      <c r="CY25" s="8" t="str">
        <f>IF(OR($A25="",$C25="",$D25="",$C25&gt;CY$6,$D25&lt;CY$9),"",IF($J25="里程碑","◆",""))</f>
        <v/>
      </c>
      <c r="CZ25" s="8" t="str">
        <f>IF(OR($A25="",$C25="",$D25="",$C25&gt;CZ$6,$D25&lt;CZ$9),"",IF($J25="里程碑","◆",""))</f>
        <v/>
      </c>
      <c r="DA25" s="8" t="str">
        <f>IF(OR($A25="",$C25="",$D25="",$C25&gt;DA$6,$D25&lt;DA$9),"",IF($J25="里程碑","◆",""))</f>
        <v/>
      </c>
      <c r="DB25" s="8" t="str">
        <f>IF(OR($A25="",$C25="",$D25="",$C25&gt;DB$6,$D25&lt;DB$9),"",IF($J25="里程碑","◆",""))</f>
        <v/>
      </c>
      <c r="DC25" s="1" t="str">
        <f>IF(ROW()-9&gt;$DH$3,"",MATCH(ROW()-9,排期计算!$U$10:$U$109,0))</f>
        <v/>
      </c>
      <c r="DD25" s="1" t="str">
        <f>IF($DC25="","",INDEX(排期计算!$L$10:$L$109,$DC25))</f>
        <v/>
      </c>
      <c r="DE25" s="1"/>
      <c r="DF25" s="1"/>
      <c r="DG25" s="1"/>
      <c r="DH25" s="1"/>
      <c r="DI25" s="1"/>
      <c r="DJ25" s="1"/>
      <c r="DK25" s="1"/>
    </row>
    <row r="26" spans="1:115" ht="24.95" customHeight="1">
      <c r="A26" s="9" t="str">
        <f>IF($DC26="","",IF(AND(INDEX(排期计算!$A$10:$A$109,$DC26)="",NOT(ISNUMBER(INDEX(排期计算!$A$10:$A$109,$DC26)))),"",INDEX(排期计算!$A$10:$A$109,$DC26)))</f>
        <v/>
      </c>
      <c r="B26" s="1" t="str">
        <f>IF($DC26="","",REPT("　",$DD26-1)&amp;INDEX(排期计算!$B$10:$B$109,$DC26))</f>
        <v/>
      </c>
      <c r="C26" s="3" t="str">
        <f>IF($DC26="","",IF(AND(INDEX(排期计算!$M$10:$M$109,$DC26)="",NOT(ISNUMBER(INDEX(排期计算!$M$10:$M$109,$DC26)))),"",INDEX(排期计算!$M$10:$M$109,$DC26)))</f>
        <v/>
      </c>
      <c r="D26" s="3" t="str">
        <f>IF($DC26="","",IF(AND(INDEX(排期计算!$N$10:$N$109,$DC26)="",NOT(ISNUMBER(INDEX(排期计算!$N$10:$N$109,$DC26)))),"",INDEX(排期计算!$N$10:$N$109,$DC26)))</f>
        <v/>
      </c>
      <c r="E26" s="1" t="str">
        <f>IF(OR($C26="",$D26=""),"",IF($J26="里程碑",0,NETWORKDAYS($C26,$D26)))</f>
        <v/>
      </c>
      <c r="F26" s="7" t="str">
        <f>IF($DC26="","",IF(AND(INDEX(排期计算!$O$10:$O$109,$DC26)="",NOT(ISNUMBER(INDEX(排期计算!$O$10:$O$109,$DC26)))),"",INDEX(排期计算!$O$10:$O$109,$DC26)))</f>
        <v/>
      </c>
      <c r="G26" s="8" t="str">
        <f>IF($A26="","",IF(OR($C26="",$D26=""),"未排期",IF($F26&gt;=1,"已完成",IF($D26&lt;$B$4,"逾期",IF($C26&gt;$B$4,"未开始","进行中")))))</f>
        <v/>
      </c>
      <c r="H26" s="1" t="str">
        <f>IF($DC26="","",IF(AND(INDEX(排期计算!$C$10:$C$109,$DC26)="",NOT(ISNUMBER(INDEX(排期计算!$C$10:$C$109,$DC26)))),"",INDEX(排期计算!$C$10:$C$109,$DC26)))</f>
        <v/>
      </c>
      <c r="I26" s="1" t="str">
        <f>IF($DC26="","",IF(AND(INDEX(排期计算!$H$10:$H$109,$DC26)="",NOT(ISNUMBER(INDEX(排期计算!$H$10:$H$109,$DC26)))),"",INDEX(排期计算!$H$10:$H$109,$DC26)))</f>
        <v/>
      </c>
      <c r="J26" s="1" t="str">
        <f>IF($DC26="","",IF(AND(INDEX(排期计算!$K$10:$K$109,$DC26)="",NOT(ISNUMBER(INDEX(排期计算!$K$10:$K$109,$DC26)))),"",INDEX(排期计算!$K$10:$K$109,$DC26)))</f>
        <v/>
      </c>
      <c r="K26" s="8" t="str">
        <f>IF(OR($A26="",$C26="",$D26="",$C26&gt;K$6,$D26&lt;K$9),"",IF($J26="里程碑","◆",""))</f>
        <v/>
      </c>
      <c r="L26" s="8" t="str">
        <f>IF(OR($A26="",$C26="",$D26="",$C26&gt;L$6,$D26&lt;L$9),"",IF($J26="里程碑","◆",""))</f>
        <v/>
      </c>
      <c r="M26" s="8" t="str">
        <f>IF(OR($A26="",$C26="",$D26="",$C26&gt;M$6,$D26&lt;M$9),"",IF($J26="里程碑","◆",""))</f>
        <v/>
      </c>
      <c r="N26" s="8" t="str">
        <f>IF(OR($A26="",$C26="",$D26="",$C26&gt;N$6,$D26&lt;N$9),"",IF($J26="里程碑","◆",""))</f>
        <v/>
      </c>
      <c r="O26" s="8" t="str">
        <f>IF(OR($A26="",$C26="",$D26="",$C26&gt;O$6,$D26&lt;O$9),"",IF($J26="里程碑","◆",""))</f>
        <v/>
      </c>
      <c r="P26" s="8" t="str">
        <f>IF(OR($A26="",$C26="",$D26="",$C26&gt;P$6,$D26&lt;P$9),"",IF($J26="里程碑","◆",""))</f>
        <v/>
      </c>
      <c r="Q26" s="8" t="str">
        <f>IF(OR($A26="",$C26="",$D26="",$C26&gt;Q$6,$D26&lt;Q$9),"",IF($J26="里程碑","◆",""))</f>
        <v/>
      </c>
      <c r="R26" s="8" t="str">
        <f>IF(OR($A26="",$C26="",$D26="",$C26&gt;R$6,$D26&lt;R$9),"",IF($J26="里程碑","◆",""))</f>
        <v/>
      </c>
      <c r="S26" s="8" t="str">
        <f>IF(OR($A26="",$C26="",$D26="",$C26&gt;S$6,$D26&lt;S$9),"",IF($J26="里程碑","◆",""))</f>
        <v/>
      </c>
      <c r="T26" s="8" t="str">
        <f>IF(OR($A26="",$C26="",$D26="",$C26&gt;T$6,$D26&lt;T$9),"",IF($J26="里程碑","◆",""))</f>
        <v/>
      </c>
      <c r="U26" s="8" t="str">
        <f>IF(OR($A26="",$C26="",$D26="",$C26&gt;U$6,$D26&lt;U$9),"",IF($J26="里程碑","◆",""))</f>
        <v/>
      </c>
      <c r="V26" s="8" t="str">
        <f>IF(OR($A26="",$C26="",$D26="",$C26&gt;V$6,$D26&lt;V$9),"",IF($J26="里程碑","◆",""))</f>
        <v/>
      </c>
      <c r="W26" s="8" t="str">
        <f>IF(OR($A26="",$C26="",$D26="",$C26&gt;W$6,$D26&lt;W$9),"",IF($J26="里程碑","◆",""))</f>
        <v/>
      </c>
      <c r="X26" s="8" t="str">
        <f>IF(OR($A26="",$C26="",$D26="",$C26&gt;X$6,$D26&lt;X$9),"",IF($J26="里程碑","◆",""))</f>
        <v/>
      </c>
      <c r="Y26" s="8" t="str">
        <f>IF(OR($A26="",$C26="",$D26="",$C26&gt;Y$6,$D26&lt;Y$9),"",IF($J26="里程碑","◆",""))</f>
        <v/>
      </c>
      <c r="Z26" s="8" t="str">
        <f>IF(OR($A26="",$C26="",$D26="",$C26&gt;Z$6,$D26&lt;Z$9),"",IF($J26="里程碑","◆",""))</f>
        <v/>
      </c>
      <c r="AA26" s="8" t="str">
        <f>IF(OR($A26="",$C26="",$D26="",$C26&gt;AA$6,$D26&lt;AA$9),"",IF($J26="里程碑","◆",""))</f>
        <v/>
      </c>
      <c r="AB26" s="8" t="str">
        <f>IF(OR($A26="",$C26="",$D26="",$C26&gt;AB$6,$D26&lt;AB$9),"",IF($J26="里程碑","◆",""))</f>
        <v/>
      </c>
      <c r="AC26" s="8" t="str">
        <f>IF(OR($A26="",$C26="",$D26="",$C26&gt;AC$6,$D26&lt;AC$9),"",IF($J26="里程碑","◆",""))</f>
        <v/>
      </c>
      <c r="AD26" s="8" t="str">
        <f>IF(OR($A26="",$C26="",$D26="",$C26&gt;AD$6,$D26&lt;AD$9),"",IF($J26="里程碑","◆",""))</f>
        <v/>
      </c>
      <c r="AE26" s="8" t="str">
        <f>IF(OR($A26="",$C26="",$D26="",$C26&gt;AE$6,$D26&lt;AE$9),"",IF($J26="里程碑","◆",""))</f>
        <v/>
      </c>
      <c r="AF26" s="8" t="str">
        <f>IF(OR($A26="",$C26="",$D26="",$C26&gt;AF$6,$D26&lt;AF$9),"",IF($J26="里程碑","◆",""))</f>
        <v/>
      </c>
      <c r="AG26" s="8" t="str">
        <f>IF(OR($A26="",$C26="",$D26="",$C26&gt;AG$6,$D26&lt;AG$9),"",IF($J26="里程碑","◆",""))</f>
        <v/>
      </c>
      <c r="AH26" s="8" t="str">
        <f>IF(OR($A26="",$C26="",$D26="",$C26&gt;AH$6,$D26&lt;AH$9),"",IF($J26="里程碑","◆",""))</f>
        <v/>
      </c>
      <c r="AI26" s="8" t="str">
        <f>IF(OR($A26="",$C26="",$D26="",$C26&gt;AI$6,$D26&lt;AI$9),"",IF($J26="里程碑","◆",""))</f>
        <v/>
      </c>
      <c r="AJ26" s="8" t="str">
        <f>IF(OR($A26="",$C26="",$D26="",$C26&gt;AJ$6,$D26&lt;AJ$9),"",IF($J26="里程碑","◆",""))</f>
        <v/>
      </c>
      <c r="AK26" s="8" t="str">
        <f>IF(OR($A26="",$C26="",$D26="",$C26&gt;AK$6,$D26&lt;AK$9),"",IF($J26="里程碑","◆",""))</f>
        <v/>
      </c>
      <c r="AL26" s="8" t="str">
        <f>IF(OR($A26="",$C26="",$D26="",$C26&gt;AL$6,$D26&lt;AL$9),"",IF($J26="里程碑","◆",""))</f>
        <v/>
      </c>
      <c r="AM26" s="8" t="str">
        <f>IF(OR($A26="",$C26="",$D26="",$C26&gt;AM$6,$D26&lt;AM$9),"",IF($J26="里程碑","◆",""))</f>
        <v/>
      </c>
      <c r="AN26" s="8" t="str">
        <f>IF(OR($A26="",$C26="",$D26="",$C26&gt;AN$6,$D26&lt;AN$9),"",IF($J26="里程碑","◆",""))</f>
        <v/>
      </c>
      <c r="AO26" s="8" t="str">
        <f>IF(OR($A26="",$C26="",$D26="",$C26&gt;AO$6,$D26&lt;AO$9),"",IF($J26="里程碑","◆",""))</f>
        <v/>
      </c>
      <c r="AP26" s="8" t="str">
        <f>IF(OR($A26="",$C26="",$D26="",$C26&gt;AP$6,$D26&lt;AP$9),"",IF($J26="里程碑","◆",""))</f>
        <v/>
      </c>
      <c r="AQ26" s="8" t="str">
        <f>IF(OR($A26="",$C26="",$D26="",$C26&gt;AQ$6,$D26&lt;AQ$9),"",IF($J26="里程碑","◆",""))</f>
        <v/>
      </c>
      <c r="AR26" s="8" t="str">
        <f>IF(OR($A26="",$C26="",$D26="",$C26&gt;AR$6,$D26&lt;AR$9),"",IF($J26="里程碑","◆",""))</f>
        <v/>
      </c>
      <c r="AS26" s="8" t="str">
        <f>IF(OR($A26="",$C26="",$D26="",$C26&gt;AS$6,$D26&lt;AS$9),"",IF($J26="里程碑","◆",""))</f>
        <v/>
      </c>
      <c r="AT26" s="8" t="str">
        <f>IF(OR($A26="",$C26="",$D26="",$C26&gt;AT$6,$D26&lt;AT$9),"",IF($J26="里程碑","◆",""))</f>
        <v/>
      </c>
      <c r="AU26" s="8" t="str">
        <f>IF(OR($A26="",$C26="",$D26="",$C26&gt;AU$6,$D26&lt;AU$9),"",IF($J26="里程碑","◆",""))</f>
        <v/>
      </c>
      <c r="AV26" s="8" t="str">
        <f>IF(OR($A26="",$C26="",$D26="",$C26&gt;AV$6,$D26&lt;AV$9),"",IF($J26="里程碑","◆",""))</f>
        <v/>
      </c>
      <c r="AW26" s="8" t="str">
        <f>IF(OR($A26="",$C26="",$D26="",$C26&gt;AW$6,$D26&lt;AW$9),"",IF($J26="里程碑","◆",""))</f>
        <v/>
      </c>
      <c r="AX26" s="8" t="str">
        <f>IF(OR($A26="",$C26="",$D26="",$C26&gt;AX$6,$D26&lt;AX$9),"",IF($J26="里程碑","◆",""))</f>
        <v/>
      </c>
      <c r="AY26" s="8" t="str">
        <f>IF(OR($A26="",$C26="",$D26="",$C26&gt;AY$6,$D26&lt;AY$9),"",IF($J26="里程碑","◆",""))</f>
        <v/>
      </c>
      <c r="AZ26" s="8" t="str">
        <f>IF(OR($A26="",$C26="",$D26="",$C26&gt;AZ$6,$D26&lt;AZ$9),"",IF($J26="里程碑","◆",""))</f>
        <v/>
      </c>
      <c r="BA26" s="8" t="str">
        <f>IF(OR($A26="",$C26="",$D26="",$C26&gt;BA$6,$D26&lt;BA$9),"",IF($J26="里程碑","◆",""))</f>
        <v/>
      </c>
      <c r="BB26" s="8" t="str">
        <f>IF(OR($A26="",$C26="",$D26="",$C26&gt;BB$6,$D26&lt;BB$9),"",IF($J26="里程碑","◆",""))</f>
        <v/>
      </c>
      <c r="BC26" s="8" t="str">
        <f>IF(OR($A26="",$C26="",$D26="",$C26&gt;BC$6,$D26&lt;BC$9),"",IF($J26="里程碑","◆",""))</f>
        <v/>
      </c>
      <c r="BD26" s="8" t="str">
        <f>IF(OR($A26="",$C26="",$D26="",$C26&gt;BD$6,$D26&lt;BD$9),"",IF($J26="里程碑","◆",""))</f>
        <v/>
      </c>
      <c r="BE26" s="8" t="str">
        <f>IF(OR($A26="",$C26="",$D26="",$C26&gt;BE$6,$D26&lt;BE$9),"",IF($J26="里程碑","◆",""))</f>
        <v/>
      </c>
      <c r="BF26" s="8" t="str">
        <f>IF(OR($A26="",$C26="",$D26="",$C26&gt;BF$6,$D26&lt;BF$9),"",IF($J26="里程碑","◆",""))</f>
        <v/>
      </c>
      <c r="BG26" s="8" t="str">
        <f>IF(OR($A26="",$C26="",$D26="",$C26&gt;BG$6,$D26&lt;BG$9),"",IF($J26="里程碑","◆",""))</f>
        <v/>
      </c>
      <c r="BH26" s="8" t="str">
        <f>IF(OR($A26="",$C26="",$D26="",$C26&gt;BH$6,$D26&lt;BH$9),"",IF($J26="里程碑","◆",""))</f>
        <v/>
      </c>
      <c r="BI26" s="8" t="str">
        <f>IF(OR($A26="",$C26="",$D26="",$C26&gt;BI$6,$D26&lt;BI$9),"",IF($J26="里程碑","◆",""))</f>
        <v/>
      </c>
      <c r="BJ26" s="8" t="str">
        <f>IF(OR($A26="",$C26="",$D26="",$C26&gt;BJ$6,$D26&lt;BJ$9),"",IF($J26="里程碑","◆",""))</f>
        <v/>
      </c>
      <c r="BK26" s="8" t="str">
        <f>IF(OR($A26="",$C26="",$D26="",$C26&gt;BK$6,$D26&lt;BK$9),"",IF($J26="里程碑","◆",""))</f>
        <v/>
      </c>
      <c r="BL26" s="8" t="str">
        <f>IF(OR($A26="",$C26="",$D26="",$C26&gt;BL$6,$D26&lt;BL$9),"",IF($J26="里程碑","◆",""))</f>
        <v/>
      </c>
      <c r="BM26" s="8" t="str">
        <f>IF(OR($A26="",$C26="",$D26="",$C26&gt;BM$6,$D26&lt;BM$9),"",IF($J26="里程碑","◆",""))</f>
        <v/>
      </c>
      <c r="BN26" s="8" t="str">
        <f>IF(OR($A26="",$C26="",$D26="",$C26&gt;BN$6,$D26&lt;BN$9),"",IF($J26="里程碑","◆",""))</f>
        <v/>
      </c>
      <c r="BO26" s="8" t="str">
        <f>IF(OR($A26="",$C26="",$D26="",$C26&gt;BO$6,$D26&lt;BO$9),"",IF($J26="里程碑","◆",""))</f>
        <v/>
      </c>
      <c r="BP26" s="8" t="str">
        <f>IF(OR($A26="",$C26="",$D26="",$C26&gt;BP$6,$D26&lt;BP$9),"",IF($J26="里程碑","◆",""))</f>
        <v/>
      </c>
      <c r="BQ26" s="8" t="str">
        <f>IF(OR($A26="",$C26="",$D26="",$C26&gt;BQ$6,$D26&lt;BQ$9),"",IF($J26="里程碑","◆",""))</f>
        <v/>
      </c>
      <c r="BR26" s="8" t="str">
        <f>IF(OR($A26="",$C26="",$D26="",$C26&gt;BR$6,$D26&lt;BR$9),"",IF($J26="里程碑","◆",""))</f>
        <v/>
      </c>
      <c r="BS26" s="8" t="str">
        <f>IF(OR($A26="",$C26="",$D26="",$C26&gt;BS$6,$D26&lt;BS$9),"",IF($J26="里程碑","◆",""))</f>
        <v/>
      </c>
      <c r="BT26" s="8" t="str">
        <f>IF(OR($A26="",$C26="",$D26="",$C26&gt;BT$6,$D26&lt;BT$9),"",IF($J26="里程碑","◆",""))</f>
        <v/>
      </c>
      <c r="BU26" s="8" t="str">
        <f>IF(OR($A26="",$C26="",$D26="",$C26&gt;BU$6,$D26&lt;BU$9),"",IF($J26="里程碑","◆",""))</f>
        <v/>
      </c>
      <c r="BV26" s="8" t="str">
        <f>IF(OR($A26="",$C26="",$D26="",$C26&gt;BV$6,$D26&lt;BV$9),"",IF($J26="里程碑","◆",""))</f>
        <v/>
      </c>
      <c r="BW26" s="8" t="str">
        <f>IF(OR($A26="",$C26="",$D26="",$C26&gt;BW$6,$D26&lt;BW$9),"",IF($J26="里程碑","◆",""))</f>
        <v/>
      </c>
      <c r="BX26" s="8" t="str">
        <f>IF(OR($A26="",$C26="",$D26="",$C26&gt;BX$6,$D26&lt;BX$9),"",IF($J26="里程碑","◆",""))</f>
        <v/>
      </c>
      <c r="BY26" s="8" t="str">
        <f>IF(OR($A26="",$C26="",$D26="",$C26&gt;BY$6,$D26&lt;BY$9),"",IF($J26="里程碑","◆",""))</f>
        <v/>
      </c>
      <c r="BZ26" s="8" t="str">
        <f>IF(OR($A26="",$C26="",$D26="",$C26&gt;BZ$6,$D26&lt;BZ$9),"",IF($J26="里程碑","◆",""))</f>
        <v/>
      </c>
      <c r="CA26" s="8" t="str">
        <f>IF(OR($A26="",$C26="",$D26="",$C26&gt;CA$6,$D26&lt;CA$9),"",IF($J26="里程碑","◆",""))</f>
        <v/>
      </c>
      <c r="CB26" s="8" t="str">
        <f>IF(OR($A26="",$C26="",$D26="",$C26&gt;CB$6,$D26&lt;CB$9),"",IF($J26="里程碑","◆",""))</f>
        <v/>
      </c>
      <c r="CC26" s="8" t="str">
        <f>IF(OR($A26="",$C26="",$D26="",$C26&gt;CC$6,$D26&lt;CC$9),"",IF($J26="里程碑","◆",""))</f>
        <v/>
      </c>
      <c r="CD26" s="8" t="str">
        <f>IF(OR($A26="",$C26="",$D26="",$C26&gt;CD$6,$D26&lt;CD$9),"",IF($J26="里程碑","◆",""))</f>
        <v/>
      </c>
      <c r="CE26" s="8" t="str">
        <f>IF(OR($A26="",$C26="",$D26="",$C26&gt;CE$6,$D26&lt;CE$9),"",IF($J26="里程碑","◆",""))</f>
        <v/>
      </c>
      <c r="CF26" s="8" t="str">
        <f>IF(OR($A26="",$C26="",$D26="",$C26&gt;CF$6,$D26&lt;CF$9),"",IF($J26="里程碑","◆",""))</f>
        <v/>
      </c>
      <c r="CG26" s="8" t="str">
        <f>IF(OR($A26="",$C26="",$D26="",$C26&gt;CG$6,$D26&lt;CG$9),"",IF($J26="里程碑","◆",""))</f>
        <v/>
      </c>
      <c r="CH26" s="8" t="str">
        <f>IF(OR($A26="",$C26="",$D26="",$C26&gt;CH$6,$D26&lt;CH$9),"",IF($J26="里程碑","◆",""))</f>
        <v/>
      </c>
      <c r="CI26" s="8" t="str">
        <f>IF(OR($A26="",$C26="",$D26="",$C26&gt;CI$6,$D26&lt;CI$9),"",IF($J26="里程碑","◆",""))</f>
        <v/>
      </c>
      <c r="CJ26" s="8" t="str">
        <f>IF(OR($A26="",$C26="",$D26="",$C26&gt;CJ$6,$D26&lt;CJ$9),"",IF($J26="里程碑","◆",""))</f>
        <v/>
      </c>
      <c r="CK26" s="8" t="str">
        <f>IF(OR($A26="",$C26="",$D26="",$C26&gt;CK$6,$D26&lt;CK$9),"",IF($J26="里程碑","◆",""))</f>
        <v/>
      </c>
      <c r="CL26" s="8" t="str">
        <f>IF(OR($A26="",$C26="",$D26="",$C26&gt;CL$6,$D26&lt;CL$9),"",IF($J26="里程碑","◆",""))</f>
        <v/>
      </c>
      <c r="CM26" s="8" t="str">
        <f>IF(OR($A26="",$C26="",$D26="",$C26&gt;CM$6,$D26&lt;CM$9),"",IF($J26="里程碑","◆",""))</f>
        <v/>
      </c>
      <c r="CN26" s="8" t="str">
        <f>IF(OR($A26="",$C26="",$D26="",$C26&gt;CN$6,$D26&lt;CN$9),"",IF($J26="里程碑","◆",""))</f>
        <v/>
      </c>
      <c r="CO26" s="8" t="str">
        <f>IF(OR($A26="",$C26="",$D26="",$C26&gt;CO$6,$D26&lt;CO$9),"",IF($J26="里程碑","◆",""))</f>
        <v/>
      </c>
      <c r="CP26" s="8" t="str">
        <f>IF(OR($A26="",$C26="",$D26="",$C26&gt;CP$6,$D26&lt;CP$9),"",IF($J26="里程碑","◆",""))</f>
        <v/>
      </c>
      <c r="CQ26" s="8" t="str">
        <f>IF(OR($A26="",$C26="",$D26="",$C26&gt;CQ$6,$D26&lt;CQ$9),"",IF($J26="里程碑","◆",""))</f>
        <v/>
      </c>
      <c r="CR26" s="8" t="str">
        <f>IF(OR($A26="",$C26="",$D26="",$C26&gt;CR$6,$D26&lt;CR$9),"",IF($J26="里程碑","◆",""))</f>
        <v/>
      </c>
      <c r="CS26" s="8" t="str">
        <f>IF(OR($A26="",$C26="",$D26="",$C26&gt;CS$6,$D26&lt;CS$9),"",IF($J26="里程碑","◆",""))</f>
        <v/>
      </c>
      <c r="CT26" s="8" t="str">
        <f>IF(OR($A26="",$C26="",$D26="",$C26&gt;CT$6,$D26&lt;CT$9),"",IF($J26="里程碑","◆",""))</f>
        <v/>
      </c>
      <c r="CU26" s="8" t="str">
        <f>IF(OR($A26="",$C26="",$D26="",$C26&gt;CU$6,$D26&lt;CU$9),"",IF($J26="里程碑","◆",""))</f>
        <v/>
      </c>
      <c r="CV26" s="8" t="str">
        <f>IF(OR($A26="",$C26="",$D26="",$C26&gt;CV$6,$D26&lt;CV$9),"",IF($J26="里程碑","◆",""))</f>
        <v/>
      </c>
      <c r="CW26" s="8" t="str">
        <f>IF(OR($A26="",$C26="",$D26="",$C26&gt;CW$6,$D26&lt;CW$9),"",IF($J26="里程碑","◆",""))</f>
        <v/>
      </c>
      <c r="CX26" s="8" t="str">
        <f>IF(OR($A26="",$C26="",$D26="",$C26&gt;CX$6,$D26&lt;CX$9),"",IF($J26="里程碑","◆",""))</f>
        <v/>
      </c>
      <c r="CY26" s="8" t="str">
        <f>IF(OR($A26="",$C26="",$D26="",$C26&gt;CY$6,$D26&lt;CY$9),"",IF($J26="里程碑","◆",""))</f>
        <v/>
      </c>
      <c r="CZ26" s="8" t="str">
        <f>IF(OR($A26="",$C26="",$D26="",$C26&gt;CZ$6,$D26&lt;CZ$9),"",IF($J26="里程碑","◆",""))</f>
        <v/>
      </c>
      <c r="DA26" s="8" t="str">
        <f>IF(OR($A26="",$C26="",$D26="",$C26&gt;DA$6,$D26&lt;DA$9),"",IF($J26="里程碑","◆",""))</f>
        <v/>
      </c>
      <c r="DB26" s="8" t="str">
        <f>IF(OR($A26="",$C26="",$D26="",$C26&gt;DB$6,$D26&lt;DB$9),"",IF($J26="里程碑","◆",""))</f>
        <v/>
      </c>
      <c r="DC26" s="1" t="str">
        <f>IF(ROW()-9&gt;$DH$3,"",MATCH(ROW()-9,排期计算!$U$10:$U$109,0))</f>
        <v/>
      </c>
      <c r="DD26" s="1" t="str">
        <f>IF($DC26="","",INDEX(排期计算!$L$10:$L$109,$DC26))</f>
        <v/>
      </c>
      <c r="DE26" s="1"/>
      <c r="DF26" s="1"/>
      <c r="DG26" s="1"/>
      <c r="DH26" s="1"/>
      <c r="DI26" s="1"/>
      <c r="DJ26" s="1"/>
      <c r="DK26" s="1"/>
    </row>
    <row r="27" spans="1:115" ht="24.95" customHeight="1">
      <c r="A27" s="9" t="str">
        <f>IF($DC27="","",IF(AND(INDEX(排期计算!$A$10:$A$109,$DC27)="",NOT(ISNUMBER(INDEX(排期计算!$A$10:$A$109,$DC27)))),"",INDEX(排期计算!$A$10:$A$109,$DC27)))</f>
        <v/>
      </c>
      <c r="B27" s="1" t="str">
        <f>IF($DC27="","",REPT("　",$DD27-1)&amp;INDEX(排期计算!$B$10:$B$109,$DC27))</f>
        <v/>
      </c>
      <c r="C27" s="3" t="str">
        <f>IF($DC27="","",IF(AND(INDEX(排期计算!$M$10:$M$109,$DC27)="",NOT(ISNUMBER(INDEX(排期计算!$M$10:$M$109,$DC27)))),"",INDEX(排期计算!$M$10:$M$109,$DC27)))</f>
        <v/>
      </c>
      <c r="D27" s="3" t="str">
        <f>IF($DC27="","",IF(AND(INDEX(排期计算!$N$10:$N$109,$DC27)="",NOT(ISNUMBER(INDEX(排期计算!$N$10:$N$109,$DC27)))),"",INDEX(排期计算!$N$10:$N$109,$DC27)))</f>
        <v/>
      </c>
      <c r="E27" s="1" t="str">
        <f>IF(OR($C27="",$D27=""),"",IF($J27="里程碑",0,NETWORKDAYS($C27,$D27)))</f>
        <v/>
      </c>
      <c r="F27" s="7" t="str">
        <f>IF($DC27="","",IF(AND(INDEX(排期计算!$O$10:$O$109,$DC27)="",NOT(ISNUMBER(INDEX(排期计算!$O$10:$O$109,$DC27)))),"",INDEX(排期计算!$O$10:$O$109,$DC27)))</f>
        <v/>
      </c>
      <c r="G27" s="8" t="str">
        <f>IF($A27="","",IF(OR($C27="",$D27=""),"未排期",IF($F27&gt;=1,"已完成",IF($D27&lt;$B$4,"逾期",IF($C27&gt;$B$4,"未开始","进行中")))))</f>
        <v/>
      </c>
      <c r="H27" s="1" t="str">
        <f>IF($DC27="","",IF(AND(INDEX(排期计算!$C$10:$C$109,$DC27)="",NOT(ISNUMBER(INDEX(排期计算!$C$10:$C$109,$DC27)))),"",INDEX(排期计算!$C$10:$C$109,$DC27)))</f>
        <v/>
      </c>
      <c r="I27" s="1" t="str">
        <f>IF($DC27="","",IF(AND(INDEX(排期计算!$H$10:$H$109,$DC27)="",NOT(ISNUMBER(INDEX(排期计算!$H$10:$H$109,$DC27)))),"",INDEX(排期计算!$H$10:$H$109,$DC27)))</f>
        <v/>
      </c>
      <c r="J27" s="1" t="str">
        <f>IF($DC27="","",IF(AND(INDEX(排期计算!$K$10:$K$109,$DC27)="",NOT(ISNUMBER(INDEX(排期计算!$K$10:$K$109,$DC27)))),"",INDEX(排期计算!$K$10:$K$109,$DC27)))</f>
        <v/>
      </c>
      <c r="K27" s="8" t="str">
        <f>IF(OR($A27="",$C27="",$D27="",$C27&gt;K$6,$D27&lt;K$9),"",IF($J27="里程碑","◆",""))</f>
        <v/>
      </c>
      <c r="L27" s="8" t="str">
        <f>IF(OR($A27="",$C27="",$D27="",$C27&gt;L$6,$D27&lt;L$9),"",IF($J27="里程碑","◆",""))</f>
        <v/>
      </c>
      <c r="M27" s="8" t="str">
        <f>IF(OR($A27="",$C27="",$D27="",$C27&gt;M$6,$D27&lt;M$9),"",IF($J27="里程碑","◆",""))</f>
        <v/>
      </c>
      <c r="N27" s="8" t="str">
        <f>IF(OR($A27="",$C27="",$D27="",$C27&gt;N$6,$D27&lt;N$9),"",IF($J27="里程碑","◆",""))</f>
        <v/>
      </c>
      <c r="O27" s="8" t="str">
        <f>IF(OR($A27="",$C27="",$D27="",$C27&gt;O$6,$D27&lt;O$9),"",IF($J27="里程碑","◆",""))</f>
        <v/>
      </c>
      <c r="P27" s="8" t="str">
        <f>IF(OR($A27="",$C27="",$D27="",$C27&gt;P$6,$D27&lt;P$9),"",IF($J27="里程碑","◆",""))</f>
        <v/>
      </c>
      <c r="Q27" s="8" t="str">
        <f>IF(OR($A27="",$C27="",$D27="",$C27&gt;Q$6,$D27&lt;Q$9),"",IF($J27="里程碑","◆",""))</f>
        <v/>
      </c>
      <c r="R27" s="8" t="str">
        <f>IF(OR($A27="",$C27="",$D27="",$C27&gt;R$6,$D27&lt;R$9),"",IF($J27="里程碑","◆",""))</f>
        <v/>
      </c>
      <c r="S27" s="8" t="str">
        <f>IF(OR($A27="",$C27="",$D27="",$C27&gt;S$6,$D27&lt;S$9),"",IF($J27="里程碑","◆",""))</f>
        <v/>
      </c>
      <c r="T27" s="8" t="str">
        <f>IF(OR($A27="",$C27="",$D27="",$C27&gt;T$6,$D27&lt;T$9),"",IF($J27="里程碑","◆",""))</f>
        <v/>
      </c>
      <c r="U27" s="8" t="str">
        <f>IF(OR($A27="",$C27="",$D27="",$C27&gt;U$6,$D27&lt;U$9),"",IF($J27="里程碑","◆",""))</f>
        <v/>
      </c>
      <c r="V27" s="8" t="str">
        <f>IF(OR($A27="",$C27="",$D27="",$C27&gt;V$6,$D27&lt;V$9),"",IF($J27="里程碑","◆",""))</f>
        <v/>
      </c>
      <c r="W27" s="8" t="str">
        <f>IF(OR($A27="",$C27="",$D27="",$C27&gt;W$6,$D27&lt;W$9),"",IF($J27="里程碑","◆",""))</f>
        <v/>
      </c>
      <c r="X27" s="8" t="str">
        <f>IF(OR($A27="",$C27="",$D27="",$C27&gt;X$6,$D27&lt;X$9),"",IF($J27="里程碑","◆",""))</f>
        <v/>
      </c>
      <c r="Y27" s="8" t="str">
        <f>IF(OR($A27="",$C27="",$D27="",$C27&gt;Y$6,$D27&lt;Y$9),"",IF($J27="里程碑","◆",""))</f>
        <v/>
      </c>
      <c r="Z27" s="8" t="str">
        <f>IF(OR($A27="",$C27="",$D27="",$C27&gt;Z$6,$D27&lt;Z$9),"",IF($J27="里程碑","◆",""))</f>
        <v/>
      </c>
      <c r="AA27" s="8" t="str">
        <f>IF(OR($A27="",$C27="",$D27="",$C27&gt;AA$6,$D27&lt;AA$9),"",IF($J27="里程碑","◆",""))</f>
        <v/>
      </c>
      <c r="AB27" s="8" t="str">
        <f>IF(OR($A27="",$C27="",$D27="",$C27&gt;AB$6,$D27&lt;AB$9),"",IF($J27="里程碑","◆",""))</f>
        <v/>
      </c>
      <c r="AC27" s="8" t="str">
        <f>IF(OR($A27="",$C27="",$D27="",$C27&gt;AC$6,$D27&lt;AC$9),"",IF($J27="里程碑","◆",""))</f>
        <v/>
      </c>
      <c r="AD27" s="8" t="str">
        <f>IF(OR($A27="",$C27="",$D27="",$C27&gt;AD$6,$D27&lt;AD$9),"",IF($J27="里程碑","◆",""))</f>
        <v/>
      </c>
      <c r="AE27" s="8" t="str">
        <f>IF(OR($A27="",$C27="",$D27="",$C27&gt;AE$6,$D27&lt;AE$9),"",IF($J27="里程碑","◆",""))</f>
        <v/>
      </c>
      <c r="AF27" s="8" t="str">
        <f>IF(OR($A27="",$C27="",$D27="",$C27&gt;AF$6,$D27&lt;AF$9),"",IF($J27="里程碑","◆",""))</f>
        <v/>
      </c>
      <c r="AG27" s="8" t="str">
        <f>IF(OR($A27="",$C27="",$D27="",$C27&gt;AG$6,$D27&lt;AG$9),"",IF($J27="里程碑","◆",""))</f>
        <v/>
      </c>
      <c r="AH27" s="8" t="str">
        <f>IF(OR($A27="",$C27="",$D27="",$C27&gt;AH$6,$D27&lt;AH$9),"",IF($J27="里程碑","◆",""))</f>
        <v/>
      </c>
      <c r="AI27" s="8" t="str">
        <f>IF(OR($A27="",$C27="",$D27="",$C27&gt;AI$6,$D27&lt;AI$9),"",IF($J27="里程碑","◆",""))</f>
        <v/>
      </c>
      <c r="AJ27" s="8" t="str">
        <f>IF(OR($A27="",$C27="",$D27="",$C27&gt;AJ$6,$D27&lt;AJ$9),"",IF($J27="里程碑","◆",""))</f>
        <v/>
      </c>
      <c r="AK27" s="8" t="str">
        <f>IF(OR($A27="",$C27="",$D27="",$C27&gt;AK$6,$D27&lt;AK$9),"",IF($J27="里程碑","◆",""))</f>
        <v/>
      </c>
      <c r="AL27" s="8" t="str">
        <f>IF(OR($A27="",$C27="",$D27="",$C27&gt;AL$6,$D27&lt;AL$9),"",IF($J27="里程碑","◆",""))</f>
        <v/>
      </c>
      <c r="AM27" s="8" t="str">
        <f>IF(OR($A27="",$C27="",$D27="",$C27&gt;AM$6,$D27&lt;AM$9),"",IF($J27="里程碑","◆",""))</f>
        <v/>
      </c>
      <c r="AN27" s="8" t="str">
        <f>IF(OR($A27="",$C27="",$D27="",$C27&gt;AN$6,$D27&lt;AN$9),"",IF($J27="里程碑","◆",""))</f>
        <v/>
      </c>
      <c r="AO27" s="8" t="str">
        <f>IF(OR($A27="",$C27="",$D27="",$C27&gt;AO$6,$D27&lt;AO$9),"",IF($J27="里程碑","◆",""))</f>
        <v/>
      </c>
      <c r="AP27" s="8" t="str">
        <f>IF(OR($A27="",$C27="",$D27="",$C27&gt;AP$6,$D27&lt;AP$9),"",IF($J27="里程碑","◆",""))</f>
        <v/>
      </c>
      <c r="AQ27" s="8" t="str">
        <f>IF(OR($A27="",$C27="",$D27="",$C27&gt;AQ$6,$D27&lt;AQ$9),"",IF($J27="里程碑","◆",""))</f>
        <v/>
      </c>
      <c r="AR27" s="8" t="str">
        <f>IF(OR($A27="",$C27="",$D27="",$C27&gt;AR$6,$D27&lt;AR$9),"",IF($J27="里程碑","◆",""))</f>
        <v/>
      </c>
      <c r="AS27" s="8" t="str">
        <f>IF(OR($A27="",$C27="",$D27="",$C27&gt;AS$6,$D27&lt;AS$9),"",IF($J27="里程碑","◆",""))</f>
        <v/>
      </c>
      <c r="AT27" s="8" t="str">
        <f>IF(OR($A27="",$C27="",$D27="",$C27&gt;AT$6,$D27&lt;AT$9),"",IF($J27="里程碑","◆",""))</f>
        <v/>
      </c>
      <c r="AU27" s="8" t="str">
        <f>IF(OR($A27="",$C27="",$D27="",$C27&gt;AU$6,$D27&lt;AU$9),"",IF($J27="里程碑","◆",""))</f>
        <v/>
      </c>
      <c r="AV27" s="8" t="str">
        <f>IF(OR($A27="",$C27="",$D27="",$C27&gt;AV$6,$D27&lt;AV$9),"",IF($J27="里程碑","◆",""))</f>
        <v/>
      </c>
      <c r="AW27" s="8" t="str">
        <f>IF(OR($A27="",$C27="",$D27="",$C27&gt;AW$6,$D27&lt;AW$9),"",IF($J27="里程碑","◆",""))</f>
        <v/>
      </c>
      <c r="AX27" s="8" t="str">
        <f>IF(OR($A27="",$C27="",$D27="",$C27&gt;AX$6,$D27&lt;AX$9),"",IF($J27="里程碑","◆",""))</f>
        <v/>
      </c>
      <c r="AY27" s="8" t="str">
        <f>IF(OR($A27="",$C27="",$D27="",$C27&gt;AY$6,$D27&lt;AY$9),"",IF($J27="里程碑","◆",""))</f>
        <v/>
      </c>
      <c r="AZ27" s="8" t="str">
        <f>IF(OR($A27="",$C27="",$D27="",$C27&gt;AZ$6,$D27&lt;AZ$9),"",IF($J27="里程碑","◆",""))</f>
        <v/>
      </c>
      <c r="BA27" s="8" t="str">
        <f>IF(OR($A27="",$C27="",$D27="",$C27&gt;BA$6,$D27&lt;BA$9),"",IF($J27="里程碑","◆",""))</f>
        <v/>
      </c>
      <c r="BB27" s="8" t="str">
        <f>IF(OR($A27="",$C27="",$D27="",$C27&gt;BB$6,$D27&lt;BB$9),"",IF($J27="里程碑","◆",""))</f>
        <v/>
      </c>
      <c r="BC27" s="8" t="str">
        <f>IF(OR($A27="",$C27="",$D27="",$C27&gt;BC$6,$D27&lt;BC$9),"",IF($J27="里程碑","◆",""))</f>
        <v/>
      </c>
      <c r="BD27" s="8" t="str">
        <f>IF(OR($A27="",$C27="",$D27="",$C27&gt;BD$6,$D27&lt;BD$9),"",IF($J27="里程碑","◆",""))</f>
        <v/>
      </c>
      <c r="BE27" s="8" t="str">
        <f>IF(OR($A27="",$C27="",$D27="",$C27&gt;BE$6,$D27&lt;BE$9),"",IF($J27="里程碑","◆",""))</f>
        <v/>
      </c>
      <c r="BF27" s="8" t="str">
        <f>IF(OR($A27="",$C27="",$D27="",$C27&gt;BF$6,$D27&lt;BF$9),"",IF($J27="里程碑","◆",""))</f>
        <v/>
      </c>
      <c r="BG27" s="8" t="str">
        <f>IF(OR($A27="",$C27="",$D27="",$C27&gt;BG$6,$D27&lt;BG$9),"",IF($J27="里程碑","◆",""))</f>
        <v/>
      </c>
      <c r="BH27" s="8" t="str">
        <f>IF(OR($A27="",$C27="",$D27="",$C27&gt;BH$6,$D27&lt;BH$9),"",IF($J27="里程碑","◆",""))</f>
        <v/>
      </c>
      <c r="BI27" s="8" t="str">
        <f>IF(OR($A27="",$C27="",$D27="",$C27&gt;BI$6,$D27&lt;BI$9),"",IF($J27="里程碑","◆",""))</f>
        <v/>
      </c>
      <c r="BJ27" s="8" t="str">
        <f>IF(OR($A27="",$C27="",$D27="",$C27&gt;BJ$6,$D27&lt;BJ$9),"",IF($J27="里程碑","◆",""))</f>
        <v/>
      </c>
      <c r="BK27" s="8" t="str">
        <f>IF(OR($A27="",$C27="",$D27="",$C27&gt;BK$6,$D27&lt;BK$9),"",IF($J27="里程碑","◆",""))</f>
        <v/>
      </c>
      <c r="BL27" s="8" t="str">
        <f>IF(OR($A27="",$C27="",$D27="",$C27&gt;BL$6,$D27&lt;BL$9),"",IF($J27="里程碑","◆",""))</f>
        <v/>
      </c>
      <c r="BM27" s="8" t="str">
        <f>IF(OR($A27="",$C27="",$D27="",$C27&gt;BM$6,$D27&lt;BM$9),"",IF($J27="里程碑","◆",""))</f>
        <v/>
      </c>
      <c r="BN27" s="8" t="str">
        <f>IF(OR($A27="",$C27="",$D27="",$C27&gt;BN$6,$D27&lt;BN$9),"",IF($J27="里程碑","◆",""))</f>
        <v/>
      </c>
      <c r="BO27" s="8" t="str">
        <f>IF(OR($A27="",$C27="",$D27="",$C27&gt;BO$6,$D27&lt;BO$9),"",IF($J27="里程碑","◆",""))</f>
        <v/>
      </c>
      <c r="BP27" s="8" t="str">
        <f>IF(OR($A27="",$C27="",$D27="",$C27&gt;BP$6,$D27&lt;BP$9),"",IF($J27="里程碑","◆",""))</f>
        <v/>
      </c>
      <c r="BQ27" s="8" t="str">
        <f>IF(OR($A27="",$C27="",$D27="",$C27&gt;BQ$6,$D27&lt;BQ$9),"",IF($J27="里程碑","◆",""))</f>
        <v/>
      </c>
      <c r="BR27" s="8" t="str">
        <f>IF(OR($A27="",$C27="",$D27="",$C27&gt;BR$6,$D27&lt;BR$9),"",IF($J27="里程碑","◆",""))</f>
        <v/>
      </c>
      <c r="BS27" s="8" t="str">
        <f>IF(OR($A27="",$C27="",$D27="",$C27&gt;BS$6,$D27&lt;BS$9),"",IF($J27="里程碑","◆",""))</f>
        <v/>
      </c>
      <c r="BT27" s="8" t="str">
        <f>IF(OR($A27="",$C27="",$D27="",$C27&gt;BT$6,$D27&lt;BT$9),"",IF($J27="里程碑","◆",""))</f>
        <v/>
      </c>
      <c r="BU27" s="8" t="str">
        <f>IF(OR($A27="",$C27="",$D27="",$C27&gt;BU$6,$D27&lt;BU$9),"",IF($J27="里程碑","◆",""))</f>
        <v/>
      </c>
      <c r="BV27" s="8" t="str">
        <f>IF(OR($A27="",$C27="",$D27="",$C27&gt;BV$6,$D27&lt;BV$9),"",IF($J27="里程碑","◆",""))</f>
        <v/>
      </c>
      <c r="BW27" s="8" t="str">
        <f>IF(OR($A27="",$C27="",$D27="",$C27&gt;BW$6,$D27&lt;BW$9),"",IF($J27="里程碑","◆",""))</f>
        <v/>
      </c>
      <c r="BX27" s="8" t="str">
        <f>IF(OR($A27="",$C27="",$D27="",$C27&gt;BX$6,$D27&lt;BX$9),"",IF($J27="里程碑","◆",""))</f>
        <v/>
      </c>
      <c r="BY27" s="8" t="str">
        <f>IF(OR($A27="",$C27="",$D27="",$C27&gt;BY$6,$D27&lt;BY$9),"",IF($J27="里程碑","◆",""))</f>
        <v/>
      </c>
      <c r="BZ27" s="8" t="str">
        <f>IF(OR($A27="",$C27="",$D27="",$C27&gt;BZ$6,$D27&lt;BZ$9),"",IF($J27="里程碑","◆",""))</f>
        <v/>
      </c>
      <c r="CA27" s="8" t="str">
        <f>IF(OR($A27="",$C27="",$D27="",$C27&gt;CA$6,$D27&lt;CA$9),"",IF($J27="里程碑","◆",""))</f>
        <v/>
      </c>
      <c r="CB27" s="8" t="str">
        <f>IF(OR($A27="",$C27="",$D27="",$C27&gt;CB$6,$D27&lt;CB$9),"",IF($J27="里程碑","◆",""))</f>
        <v/>
      </c>
      <c r="CC27" s="8" t="str">
        <f>IF(OR($A27="",$C27="",$D27="",$C27&gt;CC$6,$D27&lt;CC$9),"",IF($J27="里程碑","◆",""))</f>
        <v/>
      </c>
      <c r="CD27" s="8" t="str">
        <f>IF(OR($A27="",$C27="",$D27="",$C27&gt;CD$6,$D27&lt;CD$9),"",IF($J27="里程碑","◆",""))</f>
        <v/>
      </c>
      <c r="CE27" s="8" t="str">
        <f>IF(OR($A27="",$C27="",$D27="",$C27&gt;CE$6,$D27&lt;CE$9),"",IF($J27="里程碑","◆",""))</f>
        <v/>
      </c>
      <c r="CF27" s="8" t="str">
        <f>IF(OR($A27="",$C27="",$D27="",$C27&gt;CF$6,$D27&lt;CF$9),"",IF($J27="里程碑","◆",""))</f>
        <v/>
      </c>
      <c r="CG27" s="8" t="str">
        <f>IF(OR($A27="",$C27="",$D27="",$C27&gt;CG$6,$D27&lt;CG$9),"",IF($J27="里程碑","◆",""))</f>
        <v/>
      </c>
      <c r="CH27" s="8" t="str">
        <f>IF(OR($A27="",$C27="",$D27="",$C27&gt;CH$6,$D27&lt;CH$9),"",IF($J27="里程碑","◆",""))</f>
        <v/>
      </c>
      <c r="CI27" s="8" t="str">
        <f>IF(OR($A27="",$C27="",$D27="",$C27&gt;CI$6,$D27&lt;CI$9),"",IF($J27="里程碑","◆",""))</f>
        <v/>
      </c>
      <c r="CJ27" s="8" t="str">
        <f>IF(OR($A27="",$C27="",$D27="",$C27&gt;CJ$6,$D27&lt;CJ$9),"",IF($J27="里程碑","◆",""))</f>
        <v/>
      </c>
      <c r="CK27" s="8" t="str">
        <f>IF(OR($A27="",$C27="",$D27="",$C27&gt;CK$6,$D27&lt;CK$9),"",IF($J27="里程碑","◆",""))</f>
        <v/>
      </c>
      <c r="CL27" s="8" t="str">
        <f>IF(OR($A27="",$C27="",$D27="",$C27&gt;CL$6,$D27&lt;CL$9),"",IF($J27="里程碑","◆",""))</f>
        <v/>
      </c>
      <c r="CM27" s="8" t="str">
        <f>IF(OR($A27="",$C27="",$D27="",$C27&gt;CM$6,$D27&lt;CM$9),"",IF($J27="里程碑","◆",""))</f>
        <v/>
      </c>
      <c r="CN27" s="8" t="str">
        <f>IF(OR($A27="",$C27="",$D27="",$C27&gt;CN$6,$D27&lt;CN$9),"",IF($J27="里程碑","◆",""))</f>
        <v/>
      </c>
      <c r="CO27" s="8" t="str">
        <f>IF(OR($A27="",$C27="",$D27="",$C27&gt;CO$6,$D27&lt;CO$9),"",IF($J27="里程碑","◆",""))</f>
        <v/>
      </c>
      <c r="CP27" s="8" t="str">
        <f>IF(OR($A27="",$C27="",$D27="",$C27&gt;CP$6,$D27&lt;CP$9),"",IF($J27="里程碑","◆",""))</f>
        <v/>
      </c>
      <c r="CQ27" s="8" t="str">
        <f>IF(OR($A27="",$C27="",$D27="",$C27&gt;CQ$6,$D27&lt;CQ$9),"",IF($J27="里程碑","◆",""))</f>
        <v/>
      </c>
      <c r="CR27" s="8" t="str">
        <f>IF(OR($A27="",$C27="",$D27="",$C27&gt;CR$6,$D27&lt;CR$9),"",IF($J27="里程碑","◆",""))</f>
        <v/>
      </c>
      <c r="CS27" s="8" t="str">
        <f>IF(OR($A27="",$C27="",$D27="",$C27&gt;CS$6,$D27&lt;CS$9),"",IF($J27="里程碑","◆",""))</f>
        <v/>
      </c>
      <c r="CT27" s="8" t="str">
        <f>IF(OR($A27="",$C27="",$D27="",$C27&gt;CT$6,$D27&lt;CT$9),"",IF($J27="里程碑","◆",""))</f>
        <v/>
      </c>
      <c r="CU27" s="8" t="str">
        <f>IF(OR($A27="",$C27="",$D27="",$C27&gt;CU$6,$D27&lt;CU$9),"",IF($J27="里程碑","◆",""))</f>
        <v/>
      </c>
      <c r="CV27" s="8" t="str">
        <f>IF(OR($A27="",$C27="",$D27="",$C27&gt;CV$6,$D27&lt;CV$9),"",IF($J27="里程碑","◆",""))</f>
        <v/>
      </c>
      <c r="CW27" s="8" t="str">
        <f>IF(OR($A27="",$C27="",$D27="",$C27&gt;CW$6,$D27&lt;CW$9),"",IF($J27="里程碑","◆",""))</f>
        <v/>
      </c>
      <c r="CX27" s="8" t="str">
        <f>IF(OR($A27="",$C27="",$D27="",$C27&gt;CX$6,$D27&lt;CX$9),"",IF($J27="里程碑","◆",""))</f>
        <v/>
      </c>
      <c r="CY27" s="8" t="str">
        <f>IF(OR($A27="",$C27="",$D27="",$C27&gt;CY$6,$D27&lt;CY$9),"",IF($J27="里程碑","◆",""))</f>
        <v/>
      </c>
      <c r="CZ27" s="8" t="str">
        <f>IF(OR($A27="",$C27="",$D27="",$C27&gt;CZ$6,$D27&lt;CZ$9),"",IF($J27="里程碑","◆",""))</f>
        <v/>
      </c>
      <c r="DA27" s="8" t="str">
        <f>IF(OR($A27="",$C27="",$D27="",$C27&gt;DA$6,$D27&lt;DA$9),"",IF($J27="里程碑","◆",""))</f>
        <v/>
      </c>
      <c r="DB27" s="8" t="str">
        <f>IF(OR($A27="",$C27="",$D27="",$C27&gt;DB$6,$D27&lt;DB$9),"",IF($J27="里程碑","◆",""))</f>
        <v/>
      </c>
      <c r="DC27" s="1" t="str">
        <f>IF(ROW()-9&gt;$DH$3,"",MATCH(ROW()-9,排期计算!$U$10:$U$109,0))</f>
        <v/>
      </c>
      <c r="DD27" s="1" t="str">
        <f>IF($DC27="","",INDEX(排期计算!$L$10:$L$109,$DC27))</f>
        <v/>
      </c>
      <c r="DE27" s="1"/>
      <c r="DF27" s="1"/>
      <c r="DG27" s="1"/>
      <c r="DH27" s="1"/>
      <c r="DI27" s="1"/>
      <c r="DJ27" s="1"/>
      <c r="DK27" s="1"/>
    </row>
    <row r="28" spans="1:115" ht="24.95" customHeight="1">
      <c r="A28" s="9" t="str">
        <f>IF($DC28="","",IF(AND(INDEX(排期计算!$A$10:$A$109,$DC28)="",NOT(ISNUMBER(INDEX(排期计算!$A$10:$A$109,$DC28)))),"",INDEX(排期计算!$A$10:$A$109,$DC28)))</f>
        <v/>
      </c>
      <c r="B28" s="1" t="str">
        <f>IF($DC28="","",REPT("　",$DD28-1)&amp;INDEX(排期计算!$B$10:$B$109,$DC28))</f>
        <v/>
      </c>
      <c r="C28" s="3" t="str">
        <f>IF($DC28="","",IF(AND(INDEX(排期计算!$M$10:$M$109,$DC28)="",NOT(ISNUMBER(INDEX(排期计算!$M$10:$M$109,$DC28)))),"",INDEX(排期计算!$M$10:$M$109,$DC28)))</f>
        <v/>
      </c>
      <c r="D28" s="3" t="str">
        <f>IF($DC28="","",IF(AND(INDEX(排期计算!$N$10:$N$109,$DC28)="",NOT(ISNUMBER(INDEX(排期计算!$N$10:$N$109,$DC28)))),"",INDEX(排期计算!$N$10:$N$109,$DC28)))</f>
        <v/>
      </c>
      <c r="E28" s="1" t="str">
        <f>IF(OR($C28="",$D28=""),"",IF($J28="里程碑",0,NETWORKDAYS($C28,$D28)))</f>
        <v/>
      </c>
      <c r="F28" s="7" t="str">
        <f>IF($DC28="","",IF(AND(INDEX(排期计算!$O$10:$O$109,$DC28)="",NOT(ISNUMBER(INDEX(排期计算!$O$10:$O$109,$DC28)))),"",INDEX(排期计算!$O$10:$O$109,$DC28)))</f>
        <v/>
      </c>
      <c r="G28" s="8" t="str">
        <f>IF($A28="","",IF(OR($C28="",$D28=""),"未排期",IF($F28&gt;=1,"已完成",IF($D28&lt;$B$4,"逾期",IF($C28&gt;$B$4,"未开始","进行中")))))</f>
        <v/>
      </c>
      <c r="H28" s="1" t="str">
        <f>IF($DC28="","",IF(AND(INDEX(排期计算!$C$10:$C$109,$DC28)="",NOT(ISNUMBER(INDEX(排期计算!$C$10:$C$109,$DC28)))),"",INDEX(排期计算!$C$10:$C$109,$DC28)))</f>
        <v/>
      </c>
      <c r="I28" s="1" t="str">
        <f>IF($DC28="","",IF(AND(INDEX(排期计算!$H$10:$H$109,$DC28)="",NOT(ISNUMBER(INDEX(排期计算!$H$10:$H$109,$DC28)))),"",INDEX(排期计算!$H$10:$H$109,$DC28)))</f>
        <v/>
      </c>
      <c r="J28" s="1" t="str">
        <f>IF($DC28="","",IF(AND(INDEX(排期计算!$K$10:$K$109,$DC28)="",NOT(ISNUMBER(INDEX(排期计算!$K$10:$K$109,$DC28)))),"",INDEX(排期计算!$K$10:$K$109,$DC28)))</f>
        <v/>
      </c>
      <c r="K28" s="8" t="str">
        <f>IF(OR($A28="",$C28="",$D28="",$C28&gt;K$6,$D28&lt;K$9),"",IF($J28="里程碑","◆",""))</f>
        <v/>
      </c>
      <c r="L28" s="8" t="str">
        <f>IF(OR($A28="",$C28="",$D28="",$C28&gt;L$6,$D28&lt;L$9),"",IF($J28="里程碑","◆",""))</f>
        <v/>
      </c>
      <c r="M28" s="8" t="str">
        <f>IF(OR($A28="",$C28="",$D28="",$C28&gt;M$6,$D28&lt;M$9),"",IF($J28="里程碑","◆",""))</f>
        <v/>
      </c>
      <c r="N28" s="8" t="str">
        <f>IF(OR($A28="",$C28="",$D28="",$C28&gt;N$6,$D28&lt;N$9),"",IF($J28="里程碑","◆",""))</f>
        <v/>
      </c>
      <c r="O28" s="8" t="str">
        <f>IF(OR($A28="",$C28="",$D28="",$C28&gt;O$6,$D28&lt;O$9),"",IF($J28="里程碑","◆",""))</f>
        <v/>
      </c>
      <c r="P28" s="8" t="str">
        <f>IF(OR($A28="",$C28="",$D28="",$C28&gt;P$6,$D28&lt;P$9),"",IF($J28="里程碑","◆",""))</f>
        <v/>
      </c>
      <c r="Q28" s="8" t="str">
        <f>IF(OR($A28="",$C28="",$D28="",$C28&gt;Q$6,$D28&lt;Q$9),"",IF($J28="里程碑","◆",""))</f>
        <v/>
      </c>
      <c r="R28" s="8" t="str">
        <f>IF(OR($A28="",$C28="",$D28="",$C28&gt;R$6,$D28&lt;R$9),"",IF($J28="里程碑","◆",""))</f>
        <v/>
      </c>
      <c r="S28" s="8" t="str">
        <f>IF(OR($A28="",$C28="",$D28="",$C28&gt;S$6,$D28&lt;S$9),"",IF($J28="里程碑","◆",""))</f>
        <v/>
      </c>
      <c r="T28" s="8" t="str">
        <f>IF(OR($A28="",$C28="",$D28="",$C28&gt;T$6,$D28&lt;T$9),"",IF($J28="里程碑","◆",""))</f>
        <v/>
      </c>
      <c r="U28" s="8" t="str">
        <f>IF(OR($A28="",$C28="",$D28="",$C28&gt;U$6,$D28&lt;U$9),"",IF($J28="里程碑","◆",""))</f>
        <v/>
      </c>
      <c r="V28" s="8" t="str">
        <f>IF(OR($A28="",$C28="",$D28="",$C28&gt;V$6,$D28&lt;V$9),"",IF($J28="里程碑","◆",""))</f>
        <v/>
      </c>
      <c r="W28" s="8" t="str">
        <f>IF(OR($A28="",$C28="",$D28="",$C28&gt;W$6,$D28&lt;W$9),"",IF($J28="里程碑","◆",""))</f>
        <v/>
      </c>
      <c r="X28" s="8" t="str">
        <f>IF(OR($A28="",$C28="",$D28="",$C28&gt;X$6,$D28&lt;X$9),"",IF($J28="里程碑","◆",""))</f>
        <v/>
      </c>
      <c r="Y28" s="8" t="str">
        <f>IF(OR($A28="",$C28="",$D28="",$C28&gt;Y$6,$D28&lt;Y$9),"",IF($J28="里程碑","◆",""))</f>
        <v/>
      </c>
      <c r="Z28" s="8" t="str">
        <f>IF(OR($A28="",$C28="",$D28="",$C28&gt;Z$6,$D28&lt;Z$9),"",IF($J28="里程碑","◆",""))</f>
        <v/>
      </c>
      <c r="AA28" s="8" t="str">
        <f>IF(OR($A28="",$C28="",$D28="",$C28&gt;AA$6,$D28&lt;AA$9),"",IF($J28="里程碑","◆",""))</f>
        <v/>
      </c>
      <c r="AB28" s="8" t="str">
        <f>IF(OR($A28="",$C28="",$D28="",$C28&gt;AB$6,$D28&lt;AB$9),"",IF($J28="里程碑","◆",""))</f>
        <v/>
      </c>
      <c r="AC28" s="8" t="str">
        <f>IF(OR($A28="",$C28="",$D28="",$C28&gt;AC$6,$D28&lt;AC$9),"",IF($J28="里程碑","◆",""))</f>
        <v/>
      </c>
      <c r="AD28" s="8" t="str">
        <f>IF(OR($A28="",$C28="",$D28="",$C28&gt;AD$6,$D28&lt;AD$9),"",IF($J28="里程碑","◆",""))</f>
        <v/>
      </c>
      <c r="AE28" s="8" t="str">
        <f>IF(OR($A28="",$C28="",$D28="",$C28&gt;AE$6,$D28&lt;AE$9),"",IF($J28="里程碑","◆",""))</f>
        <v/>
      </c>
      <c r="AF28" s="8" t="str">
        <f>IF(OR($A28="",$C28="",$D28="",$C28&gt;AF$6,$D28&lt;AF$9),"",IF($J28="里程碑","◆",""))</f>
        <v/>
      </c>
      <c r="AG28" s="8" t="str">
        <f>IF(OR($A28="",$C28="",$D28="",$C28&gt;AG$6,$D28&lt;AG$9),"",IF($J28="里程碑","◆",""))</f>
        <v/>
      </c>
      <c r="AH28" s="8" t="str">
        <f>IF(OR($A28="",$C28="",$D28="",$C28&gt;AH$6,$D28&lt;AH$9),"",IF($J28="里程碑","◆",""))</f>
        <v/>
      </c>
      <c r="AI28" s="8" t="str">
        <f>IF(OR($A28="",$C28="",$D28="",$C28&gt;AI$6,$D28&lt;AI$9),"",IF($J28="里程碑","◆",""))</f>
        <v/>
      </c>
      <c r="AJ28" s="8" t="str">
        <f>IF(OR($A28="",$C28="",$D28="",$C28&gt;AJ$6,$D28&lt;AJ$9),"",IF($J28="里程碑","◆",""))</f>
        <v/>
      </c>
      <c r="AK28" s="8" t="str">
        <f>IF(OR($A28="",$C28="",$D28="",$C28&gt;AK$6,$D28&lt;AK$9),"",IF($J28="里程碑","◆",""))</f>
        <v/>
      </c>
      <c r="AL28" s="8" t="str">
        <f>IF(OR($A28="",$C28="",$D28="",$C28&gt;AL$6,$D28&lt;AL$9),"",IF($J28="里程碑","◆",""))</f>
        <v/>
      </c>
      <c r="AM28" s="8" t="str">
        <f>IF(OR($A28="",$C28="",$D28="",$C28&gt;AM$6,$D28&lt;AM$9),"",IF($J28="里程碑","◆",""))</f>
        <v/>
      </c>
      <c r="AN28" s="8" t="str">
        <f>IF(OR($A28="",$C28="",$D28="",$C28&gt;AN$6,$D28&lt;AN$9),"",IF($J28="里程碑","◆",""))</f>
        <v/>
      </c>
      <c r="AO28" s="8" t="str">
        <f>IF(OR($A28="",$C28="",$D28="",$C28&gt;AO$6,$D28&lt;AO$9),"",IF($J28="里程碑","◆",""))</f>
        <v/>
      </c>
      <c r="AP28" s="8" t="str">
        <f>IF(OR($A28="",$C28="",$D28="",$C28&gt;AP$6,$D28&lt;AP$9),"",IF($J28="里程碑","◆",""))</f>
        <v/>
      </c>
      <c r="AQ28" s="8" t="str">
        <f>IF(OR($A28="",$C28="",$D28="",$C28&gt;AQ$6,$D28&lt;AQ$9),"",IF($J28="里程碑","◆",""))</f>
        <v/>
      </c>
      <c r="AR28" s="8" t="str">
        <f>IF(OR($A28="",$C28="",$D28="",$C28&gt;AR$6,$D28&lt;AR$9),"",IF($J28="里程碑","◆",""))</f>
        <v/>
      </c>
      <c r="AS28" s="8" t="str">
        <f>IF(OR($A28="",$C28="",$D28="",$C28&gt;AS$6,$D28&lt;AS$9),"",IF($J28="里程碑","◆",""))</f>
        <v/>
      </c>
      <c r="AT28" s="8" t="str">
        <f>IF(OR($A28="",$C28="",$D28="",$C28&gt;AT$6,$D28&lt;AT$9),"",IF($J28="里程碑","◆",""))</f>
        <v/>
      </c>
      <c r="AU28" s="8" t="str">
        <f>IF(OR($A28="",$C28="",$D28="",$C28&gt;AU$6,$D28&lt;AU$9),"",IF($J28="里程碑","◆",""))</f>
        <v/>
      </c>
      <c r="AV28" s="8" t="str">
        <f>IF(OR($A28="",$C28="",$D28="",$C28&gt;AV$6,$D28&lt;AV$9),"",IF($J28="里程碑","◆",""))</f>
        <v/>
      </c>
      <c r="AW28" s="8" t="str">
        <f>IF(OR($A28="",$C28="",$D28="",$C28&gt;AW$6,$D28&lt;AW$9),"",IF($J28="里程碑","◆",""))</f>
        <v/>
      </c>
      <c r="AX28" s="8" t="str">
        <f>IF(OR($A28="",$C28="",$D28="",$C28&gt;AX$6,$D28&lt;AX$9),"",IF($J28="里程碑","◆",""))</f>
        <v/>
      </c>
      <c r="AY28" s="8" t="str">
        <f>IF(OR($A28="",$C28="",$D28="",$C28&gt;AY$6,$D28&lt;AY$9),"",IF($J28="里程碑","◆",""))</f>
        <v/>
      </c>
      <c r="AZ28" s="8" t="str">
        <f>IF(OR($A28="",$C28="",$D28="",$C28&gt;AZ$6,$D28&lt;AZ$9),"",IF($J28="里程碑","◆",""))</f>
        <v/>
      </c>
      <c r="BA28" s="8" t="str">
        <f>IF(OR($A28="",$C28="",$D28="",$C28&gt;BA$6,$D28&lt;BA$9),"",IF($J28="里程碑","◆",""))</f>
        <v/>
      </c>
      <c r="BB28" s="8" t="str">
        <f>IF(OR($A28="",$C28="",$D28="",$C28&gt;BB$6,$D28&lt;BB$9),"",IF($J28="里程碑","◆",""))</f>
        <v/>
      </c>
      <c r="BC28" s="8" t="str">
        <f>IF(OR($A28="",$C28="",$D28="",$C28&gt;BC$6,$D28&lt;BC$9),"",IF($J28="里程碑","◆",""))</f>
        <v/>
      </c>
      <c r="BD28" s="8" t="str">
        <f>IF(OR($A28="",$C28="",$D28="",$C28&gt;BD$6,$D28&lt;BD$9),"",IF($J28="里程碑","◆",""))</f>
        <v/>
      </c>
      <c r="BE28" s="8" t="str">
        <f>IF(OR($A28="",$C28="",$D28="",$C28&gt;BE$6,$D28&lt;BE$9),"",IF($J28="里程碑","◆",""))</f>
        <v/>
      </c>
      <c r="BF28" s="8" t="str">
        <f>IF(OR($A28="",$C28="",$D28="",$C28&gt;BF$6,$D28&lt;BF$9),"",IF($J28="里程碑","◆",""))</f>
        <v/>
      </c>
      <c r="BG28" s="8" t="str">
        <f>IF(OR($A28="",$C28="",$D28="",$C28&gt;BG$6,$D28&lt;BG$9),"",IF($J28="里程碑","◆",""))</f>
        <v/>
      </c>
      <c r="BH28" s="8" t="str">
        <f>IF(OR($A28="",$C28="",$D28="",$C28&gt;BH$6,$D28&lt;BH$9),"",IF($J28="里程碑","◆",""))</f>
        <v/>
      </c>
      <c r="BI28" s="8" t="str">
        <f>IF(OR($A28="",$C28="",$D28="",$C28&gt;BI$6,$D28&lt;BI$9),"",IF($J28="里程碑","◆",""))</f>
        <v/>
      </c>
      <c r="BJ28" s="8" t="str">
        <f>IF(OR($A28="",$C28="",$D28="",$C28&gt;BJ$6,$D28&lt;BJ$9),"",IF($J28="里程碑","◆",""))</f>
        <v/>
      </c>
      <c r="BK28" s="8" t="str">
        <f>IF(OR($A28="",$C28="",$D28="",$C28&gt;BK$6,$D28&lt;BK$9),"",IF($J28="里程碑","◆",""))</f>
        <v/>
      </c>
      <c r="BL28" s="8" t="str">
        <f>IF(OR($A28="",$C28="",$D28="",$C28&gt;BL$6,$D28&lt;BL$9),"",IF($J28="里程碑","◆",""))</f>
        <v/>
      </c>
      <c r="BM28" s="8" t="str">
        <f>IF(OR($A28="",$C28="",$D28="",$C28&gt;BM$6,$D28&lt;BM$9),"",IF($J28="里程碑","◆",""))</f>
        <v/>
      </c>
      <c r="BN28" s="8" t="str">
        <f>IF(OR($A28="",$C28="",$D28="",$C28&gt;BN$6,$D28&lt;BN$9),"",IF($J28="里程碑","◆",""))</f>
        <v/>
      </c>
      <c r="BO28" s="8" t="str">
        <f>IF(OR($A28="",$C28="",$D28="",$C28&gt;BO$6,$D28&lt;BO$9),"",IF($J28="里程碑","◆",""))</f>
        <v/>
      </c>
      <c r="BP28" s="8" t="str">
        <f>IF(OR($A28="",$C28="",$D28="",$C28&gt;BP$6,$D28&lt;BP$9),"",IF($J28="里程碑","◆",""))</f>
        <v/>
      </c>
      <c r="BQ28" s="8" t="str">
        <f>IF(OR($A28="",$C28="",$D28="",$C28&gt;BQ$6,$D28&lt;BQ$9),"",IF($J28="里程碑","◆",""))</f>
        <v/>
      </c>
      <c r="BR28" s="8" t="str">
        <f>IF(OR($A28="",$C28="",$D28="",$C28&gt;BR$6,$D28&lt;BR$9),"",IF($J28="里程碑","◆",""))</f>
        <v/>
      </c>
      <c r="BS28" s="8" t="str">
        <f>IF(OR($A28="",$C28="",$D28="",$C28&gt;BS$6,$D28&lt;BS$9),"",IF($J28="里程碑","◆",""))</f>
        <v/>
      </c>
      <c r="BT28" s="8" t="str">
        <f>IF(OR($A28="",$C28="",$D28="",$C28&gt;BT$6,$D28&lt;BT$9),"",IF($J28="里程碑","◆",""))</f>
        <v/>
      </c>
      <c r="BU28" s="8" t="str">
        <f>IF(OR($A28="",$C28="",$D28="",$C28&gt;BU$6,$D28&lt;BU$9),"",IF($J28="里程碑","◆",""))</f>
        <v/>
      </c>
      <c r="BV28" s="8" t="str">
        <f>IF(OR($A28="",$C28="",$D28="",$C28&gt;BV$6,$D28&lt;BV$9),"",IF($J28="里程碑","◆",""))</f>
        <v/>
      </c>
      <c r="BW28" s="8" t="str">
        <f>IF(OR($A28="",$C28="",$D28="",$C28&gt;BW$6,$D28&lt;BW$9),"",IF($J28="里程碑","◆",""))</f>
        <v/>
      </c>
      <c r="BX28" s="8" t="str">
        <f>IF(OR($A28="",$C28="",$D28="",$C28&gt;BX$6,$D28&lt;BX$9),"",IF($J28="里程碑","◆",""))</f>
        <v/>
      </c>
      <c r="BY28" s="8" t="str">
        <f>IF(OR($A28="",$C28="",$D28="",$C28&gt;BY$6,$D28&lt;BY$9),"",IF($J28="里程碑","◆",""))</f>
        <v/>
      </c>
      <c r="BZ28" s="8" t="str">
        <f>IF(OR($A28="",$C28="",$D28="",$C28&gt;BZ$6,$D28&lt;BZ$9),"",IF($J28="里程碑","◆",""))</f>
        <v/>
      </c>
      <c r="CA28" s="8" t="str">
        <f>IF(OR($A28="",$C28="",$D28="",$C28&gt;CA$6,$D28&lt;CA$9),"",IF($J28="里程碑","◆",""))</f>
        <v/>
      </c>
      <c r="CB28" s="8" t="str">
        <f>IF(OR($A28="",$C28="",$D28="",$C28&gt;CB$6,$D28&lt;CB$9),"",IF($J28="里程碑","◆",""))</f>
        <v/>
      </c>
      <c r="CC28" s="8" t="str">
        <f>IF(OR($A28="",$C28="",$D28="",$C28&gt;CC$6,$D28&lt;CC$9),"",IF($J28="里程碑","◆",""))</f>
        <v/>
      </c>
      <c r="CD28" s="8" t="str">
        <f>IF(OR($A28="",$C28="",$D28="",$C28&gt;CD$6,$D28&lt;CD$9),"",IF($J28="里程碑","◆",""))</f>
        <v/>
      </c>
      <c r="CE28" s="8" t="str">
        <f>IF(OR($A28="",$C28="",$D28="",$C28&gt;CE$6,$D28&lt;CE$9),"",IF($J28="里程碑","◆",""))</f>
        <v/>
      </c>
      <c r="CF28" s="8" t="str">
        <f>IF(OR($A28="",$C28="",$D28="",$C28&gt;CF$6,$D28&lt;CF$9),"",IF($J28="里程碑","◆",""))</f>
        <v/>
      </c>
      <c r="CG28" s="8" t="str">
        <f>IF(OR($A28="",$C28="",$D28="",$C28&gt;CG$6,$D28&lt;CG$9),"",IF($J28="里程碑","◆",""))</f>
        <v/>
      </c>
      <c r="CH28" s="8" t="str">
        <f>IF(OR($A28="",$C28="",$D28="",$C28&gt;CH$6,$D28&lt;CH$9),"",IF($J28="里程碑","◆",""))</f>
        <v/>
      </c>
      <c r="CI28" s="8" t="str">
        <f>IF(OR($A28="",$C28="",$D28="",$C28&gt;CI$6,$D28&lt;CI$9),"",IF($J28="里程碑","◆",""))</f>
        <v/>
      </c>
      <c r="CJ28" s="8" t="str">
        <f>IF(OR($A28="",$C28="",$D28="",$C28&gt;CJ$6,$D28&lt;CJ$9),"",IF($J28="里程碑","◆",""))</f>
        <v/>
      </c>
      <c r="CK28" s="8" t="str">
        <f>IF(OR($A28="",$C28="",$D28="",$C28&gt;CK$6,$D28&lt;CK$9),"",IF($J28="里程碑","◆",""))</f>
        <v/>
      </c>
      <c r="CL28" s="8" t="str">
        <f>IF(OR($A28="",$C28="",$D28="",$C28&gt;CL$6,$D28&lt;CL$9),"",IF($J28="里程碑","◆",""))</f>
        <v/>
      </c>
      <c r="CM28" s="8" t="str">
        <f>IF(OR($A28="",$C28="",$D28="",$C28&gt;CM$6,$D28&lt;CM$9),"",IF($J28="里程碑","◆",""))</f>
        <v/>
      </c>
      <c r="CN28" s="8" t="str">
        <f>IF(OR($A28="",$C28="",$D28="",$C28&gt;CN$6,$D28&lt;CN$9),"",IF($J28="里程碑","◆",""))</f>
        <v/>
      </c>
      <c r="CO28" s="8" t="str">
        <f>IF(OR($A28="",$C28="",$D28="",$C28&gt;CO$6,$D28&lt;CO$9),"",IF($J28="里程碑","◆",""))</f>
        <v/>
      </c>
      <c r="CP28" s="8" t="str">
        <f>IF(OR($A28="",$C28="",$D28="",$C28&gt;CP$6,$D28&lt;CP$9),"",IF($J28="里程碑","◆",""))</f>
        <v/>
      </c>
      <c r="CQ28" s="8" t="str">
        <f>IF(OR($A28="",$C28="",$D28="",$C28&gt;CQ$6,$D28&lt;CQ$9),"",IF($J28="里程碑","◆",""))</f>
        <v/>
      </c>
      <c r="CR28" s="8" t="str">
        <f>IF(OR($A28="",$C28="",$D28="",$C28&gt;CR$6,$D28&lt;CR$9),"",IF($J28="里程碑","◆",""))</f>
        <v/>
      </c>
      <c r="CS28" s="8" t="str">
        <f>IF(OR($A28="",$C28="",$D28="",$C28&gt;CS$6,$D28&lt;CS$9),"",IF($J28="里程碑","◆",""))</f>
        <v/>
      </c>
      <c r="CT28" s="8" t="str">
        <f>IF(OR($A28="",$C28="",$D28="",$C28&gt;CT$6,$D28&lt;CT$9),"",IF($J28="里程碑","◆",""))</f>
        <v/>
      </c>
      <c r="CU28" s="8" t="str">
        <f>IF(OR($A28="",$C28="",$D28="",$C28&gt;CU$6,$D28&lt;CU$9),"",IF($J28="里程碑","◆",""))</f>
        <v/>
      </c>
      <c r="CV28" s="8" t="str">
        <f>IF(OR($A28="",$C28="",$D28="",$C28&gt;CV$6,$D28&lt;CV$9),"",IF($J28="里程碑","◆",""))</f>
        <v/>
      </c>
      <c r="CW28" s="8" t="str">
        <f>IF(OR($A28="",$C28="",$D28="",$C28&gt;CW$6,$D28&lt;CW$9),"",IF($J28="里程碑","◆",""))</f>
        <v/>
      </c>
      <c r="CX28" s="8" t="str">
        <f>IF(OR($A28="",$C28="",$D28="",$C28&gt;CX$6,$D28&lt;CX$9),"",IF($J28="里程碑","◆",""))</f>
        <v/>
      </c>
      <c r="CY28" s="8" t="str">
        <f>IF(OR($A28="",$C28="",$D28="",$C28&gt;CY$6,$D28&lt;CY$9),"",IF($J28="里程碑","◆",""))</f>
        <v/>
      </c>
      <c r="CZ28" s="8" t="str">
        <f>IF(OR($A28="",$C28="",$D28="",$C28&gt;CZ$6,$D28&lt;CZ$9),"",IF($J28="里程碑","◆",""))</f>
        <v/>
      </c>
      <c r="DA28" s="8" t="str">
        <f>IF(OR($A28="",$C28="",$D28="",$C28&gt;DA$6,$D28&lt;DA$9),"",IF($J28="里程碑","◆",""))</f>
        <v/>
      </c>
      <c r="DB28" s="8" t="str">
        <f>IF(OR($A28="",$C28="",$D28="",$C28&gt;DB$6,$D28&lt;DB$9),"",IF($J28="里程碑","◆",""))</f>
        <v/>
      </c>
      <c r="DC28" s="1" t="str">
        <f>IF(ROW()-9&gt;$DH$3,"",MATCH(ROW()-9,排期计算!$U$10:$U$109,0))</f>
        <v/>
      </c>
      <c r="DD28" s="1" t="str">
        <f>IF($DC28="","",INDEX(排期计算!$L$10:$L$109,$DC28))</f>
        <v/>
      </c>
      <c r="DE28" s="1"/>
      <c r="DF28" s="1"/>
      <c r="DG28" s="1"/>
      <c r="DH28" s="1"/>
      <c r="DI28" s="1"/>
      <c r="DJ28" s="1"/>
      <c r="DK28" s="1"/>
    </row>
    <row r="29" spans="1:115" ht="24.95" customHeight="1">
      <c r="A29" s="9" t="str">
        <f>IF($DC29="","",IF(AND(INDEX(排期计算!$A$10:$A$109,$DC29)="",NOT(ISNUMBER(INDEX(排期计算!$A$10:$A$109,$DC29)))),"",INDEX(排期计算!$A$10:$A$109,$DC29)))</f>
        <v/>
      </c>
      <c r="B29" s="1" t="str">
        <f>IF($DC29="","",REPT("　",$DD29-1)&amp;INDEX(排期计算!$B$10:$B$109,$DC29))</f>
        <v/>
      </c>
      <c r="C29" s="3" t="str">
        <f>IF($DC29="","",IF(AND(INDEX(排期计算!$M$10:$M$109,$DC29)="",NOT(ISNUMBER(INDEX(排期计算!$M$10:$M$109,$DC29)))),"",INDEX(排期计算!$M$10:$M$109,$DC29)))</f>
        <v/>
      </c>
      <c r="D29" s="3" t="str">
        <f>IF($DC29="","",IF(AND(INDEX(排期计算!$N$10:$N$109,$DC29)="",NOT(ISNUMBER(INDEX(排期计算!$N$10:$N$109,$DC29)))),"",INDEX(排期计算!$N$10:$N$109,$DC29)))</f>
        <v/>
      </c>
      <c r="E29" s="1" t="str">
        <f>IF(OR($C29="",$D29=""),"",IF($J29="里程碑",0,NETWORKDAYS($C29,$D29)))</f>
        <v/>
      </c>
      <c r="F29" s="7" t="str">
        <f>IF($DC29="","",IF(AND(INDEX(排期计算!$O$10:$O$109,$DC29)="",NOT(ISNUMBER(INDEX(排期计算!$O$10:$O$109,$DC29)))),"",INDEX(排期计算!$O$10:$O$109,$DC29)))</f>
        <v/>
      </c>
      <c r="G29" s="8" t="str">
        <f>IF($A29="","",IF(OR($C29="",$D29=""),"未排期",IF($F29&gt;=1,"已完成",IF($D29&lt;$B$4,"逾期",IF($C29&gt;$B$4,"未开始","进行中")))))</f>
        <v/>
      </c>
      <c r="H29" s="1" t="str">
        <f>IF($DC29="","",IF(AND(INDEX(排期计算!$C$10:$C$109,$DC29)="",NOT(ISNUMBER(INDEX(排期计算!$C$10:$C$109,$DC29)))),"",INDEX(排期计算!$C$10:$C$109,$DC29)))</f>
        <v/>
      </c>
      <c r="I29" s="1" t="str">
        <f>IF($DC29="","",IF(AND(INDEX(排期计算!$H$10:$H$109,$DC29)="",NOT(ISNUMBER(INDEX(排期计算!$H$10:$H$109,$DC29)))),"",INDEX(排期计算!$H$10:$H$109,$DC29)))</f>
        <v/>
      </c>
      <c r="J29" s="1" t="str">
        <f>IF($DC29="","",IF(AND(INDEX(排期计算!$K$10:$K$109,$DC29)="",NOT(ISNUMBER(INDEX(排期计算!$K$10:$K$109,$DC29)))),"",INDEX(排期计算!$K$10:$K$109,$DC29)))</f>
        <v/>
      </c>
      <c r="K29" s="8" t="str">
        <f>IF(OR($A29="",$C29="",$D29="",$C29&gt;K$6,$D29&lt;K$9),"",IF($J29="里程碑","◆",""))</f>
        <v/>
      </c>
      <c r="L29" s="8" t="str">
        <f>IF(OR($A29="",$C29="",$D29="",$C29&gt;L$6,$D29&lt;L$9),"",IF($J29="里程碑","◆",""))</f>
        <v/>
      </c>
      <c r="M29" s="8" t="str">
        <f>IF(OR($A29="",$C29="",$D29="",$C29&gt;M$6,$D29&lt;M$9),"",IF($J29="里程碑","◆",""))</f>
        <v/>
      </c>
      <c r="N29" s="8" t="str">
        <f>IF(OR($A29="",$C29="",$D29="",$C29&gt;N$6,$D29&lt;N$9),"",IF($J29="里程碑","◆",""))</f>
        <v/>
      </c>
      <c r="O29" s="8" t="str">
        <f>IF(OR($A29="",$C29="",$D29="",$C29&gt;O$6,$D29&lt;O$9),"",IF($J29="里程碑","◆",""))</f>
        <v/>
      </c>
      <c r="P29" s="8" t="str">
        <f>IF(OR($A29="",$C29="",$D29="",$C29&gt;P$6,$D29&lt;P$9),"",IF($J29="里程碑","◆",""))</f>
        <v/>
      </c>
      <c r="Q29" s="8" t="str">
        <f>IF(OR($A29="",$C29="",$D29="",$C29&gt;Q$6,$D29&lt;Q$9),"",IF($J29="里程碑","◆",""))</f>
        <v/>
      </c>
      <c r="R29" s="8" t="str">
        <f>IF(OR($A29="",$C29="",$D29="",$C29&gt;R$6,$D29&lt;R$9),"",IF($J29="里程碑","◆",""))</f>
        <v/>
      </c>
      <c r="S29" s="8" t="str">
        <f>IF(OR($A29="",$C29="",$D29="",$C29&gt;S$6,$D29&lt;S$9),"",IF($J29="里程碑","◆",""))</f>
        <v/>
      </c>
      <c r="T29" s="8" t="str">
        <f>IF(OR($A29="",$C29="",$D29="",$C29&gt;T$6,$D29&lt;T$9),"",IF($J29="里程碑","◆",""))</f>
        <v/>
      </c>
      <c r="U29" s="8" t="str">
        <f>IF(OR($A29="",$C29="",$D29="",$C29&gt;U$6,$D29&lt;U$9),"",IF($J29="里程碑","◆",""))</f>
        <v/>
      </c>
      <c r="V29" s="8" t="str">
        <f>IF(OR($A29="",$C29="",$D29="",$C29&gt;V$6,$D29&lt;V$9),"",IF($J29="里程碑","◆",""))</f>
        <v/>
      </c>
      <c r="W29" s="8" t="str">
        <f>IF(OR($A29="",$C29="",$D29="",$C29&gt;W$6,$D29&lt;W$9),"",IF($J29="里程碑","◆",""))</f>
        <v/>
      </c>
      <c r="X29" s="8" t="str">
        <f>IF(OR($A29="",$C29="",$D29="",$C29&gt;X$6,$D29&lt;X$9),"",IF($J29="里程碑","◆",""))</f>
        <v/>
      </c>
      <c r="Y29" s="8" t="str">
        <f>IF(OR($A29="",$C29="",$D29="",$C29&gt;Y$6,$D29&lt;Y$9),"",IF($J29="里程碑","◆",""))</f>
        <v/>
      </c>
      <c r="Z29" s="8" t="str">
        <f>IF(OR($A29="",$C29="",$D29="",$C29&gt;Z$6,$D29&lt;Z$9),"",IF($J29="里程碑","◆",""))</f>
        <v/>
      </c>
      <c r="AA29" s="8" t="str">
        <f>IF(OR($A29="",$C29="",$D29="",$C29&gt;AA$6,$D29&lt;AA$9),"",IF($J29="里程碑","◆",""))</f>
        <v/>
      </c>
      <c r="AB29" s="8" t="str">
        <f>IF(OR($A29="",$C29="",$D29="",$C29&gt;AB$6,$D29&lt;AB$9),"",IF($J29="里程碑","◆",""))</f>
        <v/>
      </c>
      <c r="AC29" s="8" t="str">
        <f>IF(OR($A29="",$C29="",$D29="",$C29&gt;AC$6,$D29&lt;AC$9),"",IF($J29="里程碑","◆",""))</f>
        <v/>
      </c>
      <c r="AD29" s="8" t="str">
        <f>IF(OR($A29="",$C29="",$D29="",$C29&gt;AD$6,$D29&lt;AD$9),"",IF($J29="里程碑","◆",""))</f>
        <v/>
      </c>
      <c r="AE29" s="8" t="str">
        <f>IF(OR($A29="",$C29="",$D29="",$C29&gt;AE$6,$D29&lt;AE$9),"",IF($J29="里程碑","◆",""))</f>
        <v/>
      </c>
      <c r="AF29" s="8" t="str">
        <f>IF(OR($A29="",$C29="",$D29="",$C29&gt;AF$6,$D29&lt;AF$9),"",IF($J29="里程碑","◆",""))</f>
        <v/>
      </c>
      <c r="AG29" s="8" t="str">
        <f>IF(OR($A29="",$C29="",$D29="",$C29&gt;AG$6,$D29&lt;AG$9),"",IF($J29="里程碑","◆",""))</f>
        <v/>
      </c>
      <c r="AH29" s="8" t="str">
        <f>IF(OR($A29="",$C29="",$D29="",$C29&gt;AH$6,$D29&lt;AH$9),"",IF($J29="里程碑","◆",""))</f>
        <v/>
      </c>
      <c r="AI29" s="8" t="str">
        <f>IF(OR($A29="",$C29="",$D29="",$C29&gt;AI$6,$D29&lt;AI$9),"",IF($J29="里程碑","◆",""))</f>
        <v/>
      </c>
      <c r="AJ29" s="8" t="str">
        <f>IF(OR($A29="",$C29="",$D29="",$C29&gt;AJ$6,$D29&lt;AJ$9),"",IF($J29="里程碑","◆",""))</f>
        <v/>
      </c>
      <c r="AK29" s="8" t="str">
        <f>IF(OR($A29="",$C29="",$D29="",$C29&gt;AK$6,$D29&lt;AK$9),"",IF($J29="里程碑","◆",""))</f>
        <v/>
      </c>
      <c r="AL29" s="8" t="str">
        <f>IF(OR($A29="",$C29="",$D29="",$C29&gt;AL$6,$D29&lt;AL$9),"",IF($J29="里程碑","◆",""))</f>
        <v/>
      </c>
      <c r="AM29" s="8" t="str">
        <f>IF(OR($A29="",$C29="",$D29="",$C29&gt;AM$6,$D29&lt;AM$9),"",IF($J29="里程碑","◆",""))</f>
        <v/>
      </c>
      <c r="AN29" s="8" t="str">
        <f>IF(OR($A29="",$C29="",$D29="",$C29&gt;AN$6,$D29&lt;AN$9),"",IF($J29="里程碑","◆",""))</f>
        <v/>
      </c>
      <c r="AO29" s="8" t="str">
        <f>IF(OR($A29="",$C29="",$D29="",$C29&gt;AO$6,$D29&lt;AO$9),"",IF($J29="里程碑","◆",""))</f>
        <v/>
      </c>
      <c r="AP29" s="8" t="str">
        <f>IF(OR($A29="",$C29="",$D29="",$C29&gt;AP$6,$D29&lt;AP$9),"",IF($J29="里程碑","◆",""))</f>
        <v/>
      </c>
      <c r="AQ29" s="8" t="str">
        <f>IF(OR($A29="",$C29="",$D29="",$C29&gt;AQ$6,$D29&lt;AQ$9),"",IF($J29="里程碑","◆",""))</f>
        <v/>
      </c>
      <c r="AR29" s="8" t="str">
        <f>IF(OR($A29="",$C29="",$D29="",$C29&gt;AR$6,$D29&lt;AR$9),"",IF($J29="里程碑","◆",""))</f>
        <v/>
      </c>
      <c r="AS29" s="8" t="str">
        <f>IF(OR($A29="",$C29="",$D29="",$C29&gt;AS$6,$D29&lt;AS$9),"",IF($J29="里程碑","◆",""))</f>
        <v/>
      </c>
      <c r="AT29" s="8" t="str">
        <f>IF(OR($A29="",$C29="",$D29="",$C29&gt;AT$6,$D29&lt;AT$9),"",IF($J29="里程碑","◆",""))</f>
        <v/>
      </c>
      <c r="AU29" s="8" t="str">
        <f>IF(OR($A29="",$C29="",$D29="",$C29&gt;AU$6,$D29&lt;AU$9),"",IF($J29="里程碑","◆",""))</f>
        <v/>
      </c>
      <c r="AV29" s="8" t="str">
        <f>IF(OR($A29="",$C29="",$D29="",$C29&gt;AV$6,$D29&lt;AV$9),"",IF($J29="里程碑","◆",""))</f>
        <v/>
      </c>
      <c r="AW29" s="8" t="str">
        <f>IF(OR($A29="",$C29="",$D29="",$C29&gt;AW$6,$D29&lt;AW$9),"",IF($J29="里程碑","◆",""))</f>
        <v/>
      </c>
      <c r="AX29" s="8" t="str">
        <f>IF(OR($A29="",$C29="",$D29="",$C29&gt;AX$6,$D29&lt;AX$9),"",IF($J29="里程碑","◆",""))</f>
        <v/>
      </c>
      <c r="AY29" s="8" t="str">
        <f>IF(OR($A29="",$C29="",$D29="",$C29&gt;AY$6,$D29&lt;AY$9),"",IF($J29="里程碑","◆",""))</f>
        <v/>
      </c>
      <c r="AZ29" s="8" t="str">
        <f>IF(OR($A29="",$C29="",$D29="",$C29&gt;AZ$6,$D29&lt;AZ$9),"",IF($J29="里程碑","◆",""))</f>
        <v/>
      </c>
      <c r="BA29" s="8" t="str">
        <f>IF(OR($A29="",$C29="",$D29="",$C29&gt;BA$6,$D29&lt;BA$9),"",IF($J29="里程碑","◆",""))</f>
        <v/>
      </c>
      <c r="BB29" s="8" t="str">
        <f>IF(OR($A29="",$C29="",$D29="",$C29&gt;BB$6,$D29&lt;BB$9),"",IF($J29="里程碑","◆",""))</f>
        <v/>
      </c>
      <c r="BC29" s="8" t="str">
        <f>IF(OR($A29="",$C29="",$D29="",$C29&gt;BC$6,$D29&lt;BC$9),"",IF($J29="里程碑","◆",""))</f>
        <v/>
      </c>
      <c r="BD29" s="8" t="str">
        <f>IF(OR($A29="",$C29="",$D29="",$C29&gt;BD$6,$D29&lt;BD$9),"",IF($J29="里程碑","◆",""))</f>
        <v/>
      </c>
      <c r="BE29" s="8" t="str">
        <f>IF(OR($A29="",$C29="",$D29="",$C29&gt;BE$6,$D29&lt;BE$9),"",IF($J29="里程碑","◆",""))</f>
        <v/>
      </c>
      <c r="BF29" s="8" t="str">
        <f>IF(OR($A29="",$C29="",$D29="",$C29&gt;BF$6,$D29&lt;BF$9),"",IF($J29="里程碑","◆",""))</f>
        <v/>
      </c>
      <c r="BG29" s="8" t="str">
        <f>IF(OR($A29="",$C29="",$D29="",$C29&gt;BG$6,$D29&lt;BG$9),"",IF($J29="里程碑","◆",""))</f>
        <v/>
      </c>
      <c r="BH29" s="8" t="str">
        <f>IF(OR($A29="",$C29="",$D29="",$C29&gt;BH$6,$D29&lt;BH$9),"",IF($J29="里程碑","◆",""))</f>
        <v/>
      </c>
      <c r="BI29" s="8" t="str">
        <f>IF(OR($A29="",$C29="",$D29="",$C29&gt;BI$6,$D29&lt;BI$9),"",IF($J29="里程碑","◆",""))</f>
        <v/>
      </c>
      <c r="BJ29" s="8" t="str">
        <f>IF(OR($A29="",$C29="",$D29="",$C29&gt;BJ$6,$D29&lt;BJ$9),"",IF($J29="里程碑","◆",""))</f>
        <v/>
      </c>
      <c r="BK29" s="8" t="str">
        <f>IF(OR($A29="",$C29="",$D29="",$C29&gt;BK$6,$D29&lt;BK$9),"",IF($J29="里程碑","◆",""))</f>
        <v/>
      </c>
      <c r="BL29" s="8" t="str">
        <f>IF(OR($A29="",$C29="",$D29="",$C29&gt;BL$6,$D29&lt;BL$9),"",IF($J29="里程碑","◆",""))</f>
        <v/>
      </c>
      <c r="BM29" s="8" t="str">
        <f>IF(OR($A29="",$C29="",$D29="",$C29&gt;BM$6,$D29&lt;BM$9),"",IF($J29="里程碑","◆",""))</f>
        <v/>
      </c>
      <c r="BN29" s="8" t="str">
        <f>IF(OR($A29="",$C29="",$D29="",$C29&gt;BN$6,$D29&lt;BN$9),"",IF($J29="里程碑","◆",""))</f>
        <v/>
      </c>
      <c r="BO29" s="8" t="str">
        <f>IF(OR($A29="",$C29="",$D29="",$C29&gt;BO$6,$D29&lt;BO$9),"",IF($J29="里程碑","◆",""))</f>
        <v/>
      </c>
      <c r="BP29" s="8" t="str">
        <f>IF(OR($A29="",$C29="",$D29="",$C29&gt;BP$6,$D29&lt;BP$9),"",IF($J29="里程碑","◆",""))</f>
        <v/>
      </c>
      <c r="BQ29" s="8" t="str">
        <f>IF(OR($A29="",$C29="",$D29="",$C29&gt;BQ$6,$D29&lt;BQ$9),"",IF($J29="里程碑","◆",""))</f>
        <v/>
      </c>
      <c r="BR29" s="8" t="str">
        <f>IF(OR($A29="",$C29="",$D29="",$C29&gt;BR$6,$D29&lt;BR$9),"",IF($J29="里程碑","◆",""))</f>
        <v/>
      </c>
      <c r="BS29" s="8" t="str">
        <f>IF(OR($A29="",$C29="",$D29="",$C29&gt;BS$6,$D29&lt;BS$9),"",IF($J29="里程碑","◆",""))</f>
        <v/>
      </c>
      <c r="BT29" s="8" t="str">
        <f>IF(OR($A29="",$C29="",$D29="",$C29&gt;BT$6,$D29&lt;BT$9),"",IF($J29="里程碑","◆",""))</f>
        <v/>
      </c>
      <c r="BU29" s="8" t="str">
        <f>IF(OR($A29="",$C29="",$D29="",$C29&gt;BU$6,$D29&lt;BU$9),"",IF($J29="里程碑","◆",""))</f>
        <v/>
      </c>
      <c r="BV29" s="8" t="str">
        <f>IF(OR($A29="",$C29="",$D29="",$C29&gt;BV$6,$D29&lt;BV$9),"",IF($J29="里程碑","◆",""))</f>
        <v/>
      </c>
      <c r="BW29" s="8" t="str">
        <f>IF(OR($A29="",$C29="",$D29="",$C29&gt;BW$6,$D29&lt;BW$9),"",IF($J29="里程碑","◆",""))</f>
        <v/>
      </c>
      <c r="BX29" s="8" t="str">
        <f>IF(OR($A29="",$C29="",$D29="",$C29&gt;BX$6,$D29&lt;BX$9),"",IF($J29="里程碑","◆",""))</f>
        <v/>
      </c>
      <c r="BY29" s="8" t="str">
        <f>IF(OR($A29="",$C29="",$D29="",$C29&gt;BY$6,$D29&lt;BY$9),"",IF($J29="里程碑","◆",""))</f>
        <v/>
      </c>
      <c r="BZ29" s="8" t="str">
        <f>IF(OR($A29="",$C29="",$D29="",$C29&gt;BZ$6,$D29&lt;BZ$9),"",IF($J29="里程碑","◆",""))</f>
        <v/>
      </c>
      <c r="CA29" s="8" t="str">
        <f>IF(OR($A29="",$C29="",$D29="",$C29&gt;CA$6,$D29&lt;CA$9),"",IF($J29="里程碑","◆",""))</f>
        <v/>
      </c>
      <c r="CB29" s="8" t="str">
        <f>IF(OR($A29="",$C29="",$D29="",$C29&gt;CB$6,$D29&lt;CB$9),"",IF($J29="里程碑","◆",""))</f>
        <v/>
      </c>
      <c r="CC29" s="8" t="str">
        <f>IF(OR($A29="",$C29="",$D29="",$C29&gt;CC$6,$D29&lt;CC$9),"",IF($J29="里程碑","◆",""))</f>
        <v/>
      </c>
      <c r="CD29" s="8" t="str">
        <f>IF(OR($A29="",$C29="",$D29="",$C29&gt;CD$6,$D29&lt;CD$9),"",IF($J29="里程碑","◆",""))</f>
        <v/>
      </c>
      <c r="CE29" s="8" t="str">
        <f>IF(OR($A29="",$C29="",$D29="",$C29&gt;CE$6,$D29&lt;CE$9),"",IF($J29="里程碑","◆",""))</f>
        <v/>
      </c>
      <c r="CF29" s="8" t="str">
        <f>IF(OR($A29="",$C29="",$D29="",$C29&gt;CF$6,$D29&lt;CF$9),"",IF($J29="里程碑","◆",""))</f>
        <v/>
      </c>
      <c r="CG29" s="8" t="str">
        <f>IF(OR($A29="",$C29="",$D29="",$C29&gt;CG$6,$D29&lt;CG$9),"",IF($J29="里程碑","◆",""))</f>
        <v/>
      </c>
      <c r="CH29" s="8" t="str">
        <f>IF(OR($A29="",$C29="",$D29="",$C29&gt;CH$6,$D29&lt;CH$9),"",IF($J29="里程碑","◆",""))</f>
        <v/>
      </c>
      <c r="CI29" s="8" t="str">
        <f>IF(OR($A29="",$C29="",$D29="",$C29&gt;CI$6,$D29&lt;CI$9),"",IF($J29="里程碑","◆",""))</f>
        <v/>
      </c>
      <c r="CJ29" s="8" t="str">
        <f>IF(OR($A29="",$C29="",$D29="",$C29&gt;CJ$6,$D29&lt;CJ$9),"",IF($J29="里程碑","◆",""))</f>
        <v/>
      </c>
      <c r="CK29" s="8" t="str">
        <f>IF(OR($A29="",$C29="",$D29="",$C29&gt;CK$6,$D29&lt;CK$9),"",IF($J29="里程碑","◆",""))</f>
        <v/>
      </c>
      <c r="CL29" s="8" t="str">
        <f>IF(OR($A29="",$C29="",$D29="",$C29&gt;CL$6,$D29&lt;CL$9),"",IF($J29="里程碑","◆",""))</f>
        <v/>
      </c>
      <c r="CM29" s="8" t="str">
        <f>IF(OR($A29="",$C29="",$D29="",$C29&gt;CM$6,$D29&lt;CM$9),"",IF($J29="里程碑","◆",""))</f>
        <v/>
      </c>
      <c r="CN29" s="8" t="str">
        <f>IF(OR($A29="",$C29="",$D29="",$C29&gt;CN$6,$D29&lt;CN$9),"",IF($J29="里程碑","◆",""))</f>
        <v/>
      </c>
      <c r="CO29" s="8" t="str">
        <f>IF(OR($A29="",$C29="",$D29="",$C29&gt;CO$6,$D29&lt;CO$9),"",IF($J29="里程碑","◆",""))</f>
        <v/>
      </c>
      <c r="CP29" s="8" t="str">
        <f>IF(OR($A29="",$C29="",$D29="",$C29&gt;CP$6,$D29&lt;CP$9),"",IF($J29="里程碑","◆",""))</f>
        <v/>
      </c>
      <c r="CQ29" s="8" t="str">
        <f>IF(OR($A29="",$C29="",$D29="",$C29&gt;CQ$6,$D29&lt;CQ$9),"",IF($J29="里程碑","◆",""))</f>
        <v/>
      </c>
      <c r="CR29" s="8" t="str">
        <f>IF(OR($A29="",$C29="",$D29="",$C29&gt;CR$6,$D29&lt;CR$9),"",IF($J29="里程碑","◆",""))</f>
        <v/>
      </c>
      <c r="CS29" s="8" t="str">
        <f>IF(OR($A29="",$C29="",$D29="",$C29&gt;CS$6,$D29&lt;CS$9),"",IF($J29="里程碑","◆",""))</f>
        <v/>
      </c>
      <c r="CT29" s="8" t="str">
        <f>IF(OR($A29="",$C29="",$D29="",$C29&gt;CT$6,$D29&lt;CT$9),"",IF($J29="里程碑","◆",""))</f>
        <v/>
      </c>
      <c r="CU29" s="8" t="str">
        <f>IF(OR($A29="",$C29="",$D29="",$C29&gt;CU$6,$D29&lt;CU$9),"",IF($J29="里程碑","◆",""))</f>
        <v/>
      </c>
      <c r="CV29" s="8" t="str">
        <f>IF(OR($A29="",$C29="",$D29="",$C29&gt;CV$6,$D29&lt;CV$9),"",IF($J29="里程碑","◆",""))</f>
        <v/>
      </c>
      <c r="CW29" s="8" t="str">
        <f>IF(OR($A29="",$C29="",$D29="",$C29&gt;CW$6,$D29&lt;CW$9),"",IF($J29="里程碑","◆",""))</f>
        <v/>
      </c>
      <c r="CX29" s="8" t="str">
        <f>IF(OR($A29="",$C29="",$D29="",$C29&gt;CX$6,$D29&lt;CX$9),"",IF($J29="里程碑","◆",""))</f>
        <v/>
      </c>
      <c r="CY29" s="8" t="str">
        <f>IF(OR($A29="",$C29="",$D29="",$C29&gt;CY$6,$D29&lt;CY$9),"",IF($J29="里程碑","◆",""))</f>
        <v/>
      </c>
      <c r="CZ29" s="8" t="str">
        <f>IF(OR($A29="",$C29="",$D29="",$C29&gt;CZ$6,$D29&lt;CZ$9),"",IF($J29="里程碑","◆",""))</f>
        <v/>
      </c>
      <c r="DA29" s="8" t="str">
        <f>IF(OR($A29="",$C29="",$D29="",$C29&gt;DA$6,$D29&lt;DA$9),"",IF($J29="里程碑","◆",""))</f>
        <v/>
      </c>
      <c r="DB29" s="8" t="str">
        <f>IF(OR($A29="",$C29="",$D29="",$C29&gt;DB$6,$D29&lt;DB$9),"",IF($J29="里程碑","◆",""))</f>
        <v/>
      </c>
      <c r="DC29" s="1" t="str">
        <f>IF(ROW()-9&gt;$DH$3,"",MATCH(ROW()-9,排期计算!$U$10:$U$109,0))</f>
        <v/>
      </c>
      <c r="DD29" s="1" t="str">
        <f>IF($DC29="","",INDEX(排期计算!$L$10:$L$109,$DC29))</f>
        <v/>
      </c>
      <c r="DE29" s="1"/>
      <c r="DF29" s="1"/>
      <c r="DG29" s="1"/>
      <c r="DH29" s="1"/>
      <c r="DI29" s="1"/>
      <c r="DJ29" s="1"/>
      <c r="DK29" s="1"/>
    </row>
    <row r="30" spans="1:115" ht="24.95" customHeight="1">
      <c r="A30" s="9" t="str">
        <f>IF($DC30="","",IF(AND(INDEX(排期计算!$A$10:$A$109,$DC30)="",NOT(ISNUMBER(INDEX(排期计算!$A$10:$A$109,$DC30)))),"",INDEX(排期计算!$A$10:$A$109,$DC30)))</f>
        <v/>
      </c>
      <c r="B30" s="1" t="str">
        <f>IF($DC30="","",REPT("　",$DD30-1)&amp;INDEX(排期计算!$B$10:$B$109,$DC30))</f>
        <v/>
      </c>
      <c r="C30" s="3" t="str">
        <f>IF($DC30="","",IF(AND(INDEX(排期计算!$M$10:$M$109,$DC30)="",NOT(ISNUMBER(INDEX(排期计算!$M$10:$M$109,$DC30)))),"",INDEX(排期计算!$M$10:$M$109,$DC30)))</f>
        <v/>
      </c>
      <c r="D30" s="3" t="str">
        <f>IF($DC30="","",IF(AND(INDEX(排期计算!$N$10:$N$109,$DC30)="",NOT(ISNUMBER(INDEX(排期计算!$N$10:$N$109,$DC30)))),"",INDEX(排期计算!$N$10:$N$109,$DC30)))</f>
        <v/>
      </c>
      <c r="E30" s="1" t="str">
        <f>IF(OR($C30="",$D30=""),"",IF($J30="里程碑",0,NETWORKDAYS($C30,$D30)))</f>
        <v/>
      </c>
      <c r="F30" s="7" t="str">
        <f>IF($DC30="","",IF(AND(INDEX(排期计算!$O$10:$O$109,$DC30)="",NOT(ISNUMBER(INDEX(排期计算!$O$10:$O$109,$DC30)))),"",INDEX(排期计算!$O$10:$O$109,$DC30)))</f>
        <v/>
      </c>
      <c r="G30" s="8" t="str">
        <f>IF($A30="","",IF(OR($C30="",$D30=""),"未排期",IF($F30&gt;=1,"已完成",IF($D30&lt;$B$4,"逾期",IF($C30&gt;$B$4,"未开始","进行中")))))</f>
        <v/>
      </c>
      <c r="H30" s="1" t="str">
        <f>IF($DC30="","",IF(AND(INDEX(排期计算!$C$10:$C$109,$DC30)="",NOT(ISNUMBER(INDEX(排期计算!$C$10:$C$109,$DC30)))),"",INDEX(排期计算!$C$10:$C$109,$DC30)))</f>
        <v/>
      </c>
      <c r="I30" s="1" t="str">
        <f>IF($DC30="","",IF(AND(INDEX(排期计算!$H$10:$H$109,$DC30)="",NOT(ISNUMBER(INDEX(排期计算!$H$10:$H$109,$DC30)))),"",INDEX(排期计算!$H$10:$H$109,$DC30)))</f>
        <v/>
      </c>
      <c r="J30" s="1" t="str">
        <f>IF($DC30="","",IF(AND(INDEX(排期计算!$K$10:$K$109,$DC30)="",NOT(ISNUMBER(INDEX(排期计算!$K$10:$K$109,$DC30)))),"",INDEX(排期计算!$K$10:$K$109,$DC30)))</f>
        <v/>
      </c>
      <c r="K30" s="8" t="str">
        <f>IF(OR($A30="",$C30="",$D30="",$C30&gt;K$6,$D30&lt;K$9),"",IF($J30="里程碑","◆",""))</f>
        <v/>
      </c>
      <c r="L30" s="8" t="str">
        <f>IF(OR($A30="",$C30="",$D30="",$C30&gt;L$6,$D30&lt;L$9),"",IF($J30="里程碑","◆",""))</f>
        <v/>
      </c>
      <c r="M30" s="8" t="str">
        <f>IF(OR($A30="",$C30="",$D30="",$C30&gt;M$6,$D30&lt;M$9),"",IF($J30="里程碑","◆",""))</f>
        <v/>
      </c>
      <c r="N30" s="8" t="str">
        <f>IF(OR($A30="",$C30="",$D30="",$C30&gt;N$6,$D30&lt;N$9),"",IF($J30="里程碑","◆",""))</f>
        <v/>
      </c>
      <c r="O30" s="8" t="str">
        <f>IF(OR($A30="",$C30="",$D30="",$C30&gt;O$6,$D30&lt;O$9),"",IF($J30="里程碑","◆",""))</f>
        <v/>
      </c>
      <c r="P30" s="8" t="str">
        <f>IF(OR($A30="",$C30="",$D30="",$C30&gt;P$6,$D30&lt;P$9),"",IF($J30="里程碑","◆",""))</f>
        <v/>
      </c>
      <c r="Q30" s="8" t="str">
        <f>IF(OR($A30="",$C30="",$D30="",$C30&gt;Q$6,$D30&lt;Q$9),"",IF($J30="里程碑","◆",""))</f>
        <v/>
      </c>
      <c r="R30" s="8" t="str">
        <f>IF(OR($A30="",$C30="",$D30="",$C30&gt;R$6,$D30&lt;R$9),"",IF($J30="里程碑","◆",""))</f>
        <v/>
      </c>
      <c r="S30" s="8" t="str">
        <f>IF(OR($A30="",$C30="",$D30="",$C30&gt;S$6,$D30&lt;S$9),"",IF($J30="里程碑","◆",""))</f>
        <v/>
      </c>
      <c r="T30" s="8" t="str">
        <f>IF(OR($A30="",$C30="",$D30="",$C30&gt;T$6,$D30&lt;T$9),"",IF($J30="里程碑","◆",""))</f>
        <v/>
      </c>
      <c r="U30" s="8" t="str">
        <f>IF(OR($A30="",$C30="",$D30="",$C30&gt;U$6,$D30&lt;U$9),"",IF($J30="里程碑","◆",""))</f>
        <v/>
      </c>
      <c r="V30" s="8" t="str">
        <f>IF(OR($A30="",$C30="",$D30="",$C30&gt;V$6,$D30&lt;V$9),"",IF($J30="里程碑","◆",""))</f>
        <v/>
      </c>
      <c r="W30" s="8" t="str">
        <f>IF(OR($A30="",$C30="",$D30="",$C30&gt;W$6,$D30&lt;W$9),"",IF($J30="里程碑","◆",""))</f>
        <v/>
      </c>
      <c r="X30" s="8" t="str">
        <f>IF(OR($A30="",$C30="",$D30="",$C30&gt;X$6,$D30&lt;X$9),"",IF($J30="里程碑","◆",""))</f>
        <v/>
      </c>
      <c r="Y30" s="8" t="str">
        <f>IF(OR($A30="",$C30="",$D30="",$C30&gt;Y$6,$D30&lt;Y$9),"",IF($J30="里程碑","◆",""))</f>
        <v/>
      </c>
      <c r="Z30" s="8" t="str">
        <f>IF(OR($A30="",$C30="",$D30="",$C30&gt;Z$6,$D30&lt;Z$9),"",IF($J30="里程碑","◆",""))</f>
        <v/>
      </c>
      <c r="AA30" s="8" t="str">
        <f>IF(OR($A30="",$C30="",$D30="",$C30&gt;AA$6,$D30&lt;AA$9),"",IF($J30="里程碑","◆",""))</f>
        <v/>
      </c>
      <c r="AB30" s="8" t="str">
        <f>IF(OR($A30="",$C30="",$D30="",$C30&gt;AB$6,$D30&lt;AB$9),"",IF($J30="里程碑","◆",""))</f>
        <v/>
      </c>
      <c r="AC30" s="8" t="str">
        <f>IF(OR($A30="",$C30="",$D30="",$C30&gt;AC$6,$D30&lt;AC$9),"",IF($J30="里程碑","◆",""))</f>
        <v/>
      </c>
      <c r="AD30" s="8" t="str">
        <f>IF(OR($A30="",$C30="",$D30="",$C30&gt;AD$6,$D30&lt;AD$9),"",IF($J30="里程碑","◆",""))</f>
        <v/>
      </c>
      <c r="AE30" s="8" t="str">
        <f>IF(OR($A30="",$C30="",$D30="",$C30&gt;AE$6,$D30&lt;AE$9),"",IF($J30="里程碑","◆",""))</f>
        <v/>
      </c>
      <c r="AF30" s="8" t="str">
        <f>IF(OR($A30="",$C30="",$D30="",$C30&gt;AF$6,$D30&lt;AF$9),"",IF($J30="里程碑","◆",""))</f>
        <v/>
      </c>
      <c r="AG30" s="8" t="str">
        <f>IF(OR($A30="",$C30="",$D30="",$C30&gt;AG$6,$D30&lt;AG$9),"",IF($J30="里程碑","◆",""))</f>
        <v/>
      </c>
      <c r="AH30" s="8" t="str">
        <f>IF(OR($A30="",$C30="",$D30="",$C30&gt;AH$6,$D30&lt;AH$9),"",IF($J30="里程碑","◆",""))</f>
        <v/>
      </c>
      <c r="AI30" s="8" t="str">
        <f>IF(OR($A30="",$C30="",$D30="",$C30&gt;AI$6,$D30&lt;AI$9),"",IF($J30="里程碑","◆",""))</f>
        <v/>
      </c>
      <c r="AJ30" s="8" t="str">
        <f>IF(OR($A30="",$C30="",$D30="",$C30&gt;AJ$6,$D30&lt;AJ$9),"",IF($J30="里程碑","◆",""))</f>
        <v/>
      </c>
      <c r="AK30" s="8" t="str">
        <f>IF(OR($A30="",$C30="",$D30="",$C30&gt;AK$6,$D30&lt;AK$9),"",IF($J30="里程碑","◆",""))</f>
        <v/>
      </c>
      <c r="AL30" s="8" t="str">
        <f>IF(OR($A30="",$C30="",$D30="",$C30&gt;AL$6,$D30&lt;AL$9),"",IF($J30="里程碑","◆",""))</f>
        <v/>
      </c>
      <c r="AM30" s="8" t="str">
        <f>IF(OR($A30="",$C30="",$D30="",$C30&gt;AM$6,$D30&lt;AM$9),"",IF($J30="里程碑","◆",""))</f>
        <v/>
      </c>
      <c r="AN30" s="8" t="str">
        <f>IF(OR($A30="",$C30="",$D30="",$C30&gt;AN$6,$D30&lt;AN$9),"",IF($J30="里程碑","◆",""))</f>
        <v/>
      </c>
      <c r="AO30" s="8" t="str">
        <f>IF(OR($A30="",$C30="",$D30="",$C30&gt;AO$6,$D30&lt;AO$9),"",IF($J30="里程碑","◆",""))</f>
        <v/>
      </c>
      <c r="AP30" s="8" t="str">
        <f>IF(OR($A30="",$C30="",$D30="",$C30&gt;AP$6,$D30&lt;AP$9),"",IF($J30="里程碑","◆",""))</f>
        <v/>
      </c>
      <c r="AQ30" s="8" t="str">
        <f>IF(OR($A30="",$C30="",$D30="",$C30&gt;AQ$6,$D30&lt;AQ$9),"",IF($J30="里程碑","◆",""))</f>
        <v/>
      </c>
      <c r="AR30" s="8" t="str">
        <f>IF(OR($A30="",$C30="",$D30="",$C30&gt;AR$6,$D30&lt;AR$9),"",IF($J30="里程碑","◆",""))</f>
        <v/>
      </c>
      <c r="AS30" s="8" t="str">
        <f>IF(OR($A30="",$C30="",$D30="",$C30&gt;AS$6,$D30&lt;AS$9),"",IF($J30="里程碑","◆",""))</f>
        <v/>
      </c>
      <c r="AT30" s="8" t="str">
        <f>IF(OR($A30="",$C30="",$D30="",$C30&gt;AT$6,$D30&lt;AT$9),"",IF($J30="里程碑","◆",""))</f>
        <v/>
      </c>
      <c r="AU30" s="8" t="str">
        <f>IF(OR($A30="",$C30="",$D30="",$C30&gt;AU$6,$D30&lt;AU$9),"",IF($J30="里程碑","◆",""))</f>
        <v/>
      </c>
      <c r="AV30" s="8" t="str">
        <f>IF(OR($A30="",$C30="",$D30="",$C30&gt;AV$6,$D30&lt;AV$9),"",IF($J30="里程碑","◆",""))</f>
        <v/>
      </c>
      <c r="AW30" s="8" t="str">
        <f>IF(OR($A30="",$C30="",$D30="",$C30&gt;AW$6,$D30&lt;AW$9),"",IF($J30="里程碑","◆",""))</f>
        <v/>
      </c>
      <c r="AX30" s="8" t="str">
        <f>IF(OR($A30="",$C30="",$D30="",$C30&gt;AX$6,$D30&lt;AX$9),"",IF($J30="里程碑","◆",""))</f>
        <v/>
      </c>
      <c r="AY30" s="8" t="str">
        <f>IF(OR($A30="",$C30="",$D30="",$C30&gt;AY$6,$D30&lt;AY$9),"",IF($J30="里程碑","◆",""))</f>
        <v/>
      </c>
      <c r="AZ30" s="8" t="str">
        <f>IF(OR($A30="",$C30="",$D30="",$C30&gt;AZ$6,$D30&lt;AZ$9),"",IF($J30="里程碑","◆",""))</f>
        <v/>
      </c>
      <c r="BA30" s="8" t="str">
        <f>IF(OR($A30="",$C30="",$D30="",$C30&gt;BA$6,$D30&lt;BA$9),"",IF($J30="里程碑","◆",""))</f>
        <v/>
      </c>
      <c r="BB30" s="8" t="str">
        <f>IF(OR($A30="",$C30="",$D30="",$C30&gt;BB$6,$D30&lt;BB$9),"",IF($J30="里程碑","◆",""))</f>
        <v/>
      </c>
      <c r="BC30" s="8" t="str">
        <f>IF(OR($A30="",$C30="",$D30="",$C30&gt;BC$6,$D30&lt;BC$9),"",IF($J30="里程碑","◆",""))</f>
        <v/>
      </c>
      <c r="BD30" s="8" t="str">
        <f>IF(OR($A30="",$C30="",$D30="",$C30&gt;BD$6,$D30&lt;BD$9),"",IF($J30="里程碑","◆",""))</f>
        <v/>
      </c>
      <c r="BE30" s="8" t="str">
        <f>IF(OR($A30="",$C30="",$D30="",$C30&gt;BE$6,$D30&lt;BE$9),"",IF($J30="里程碑","◆",""))</f>
        <v/>
      </c>
      <c r="BF30" s="8" t="str">
        <f>IF(OR($A30="",$C30="",$D30="",$C30&gt;BF$6,$D30&lt;BF$9),"",IF($J30="里程碑","◆",""))</f>
        <v/>
      </c>
      <c r="BG30" s="8" t="str">
        <f>IF(OR($A30="",$C30="",$D30="",$C30&gt;BG$6,$D30&lt;BG$9),"",IF($J30="里程碑","◆",""))</f>
        <v/>
      </c>
      <c r="BH30" s="8" t="str">
        <f>IF(OR($A30="",$C30="",$D30="",$C30&gt;BH$6,$D30&lt;BH$9),"",IF($J30="里程碑","◆",""))</f>
        <v/>
      </c>
      <c r="BI30" s="8" t="str">
        <f>IF(OR($A30="",$C30="",$D30="",$C30&gt;BI$6,$D30&lt;BI$9),"",IF($J30="里程碑","◆",""))</f>
        <v/>
      </c>
      <c r="BJ30" s="8" t="str">
        <f>IF(OR($A30="",$C30="",$D30="",$C30&gt;BJ$6,$D30&lt;BJ$9),"",IF($J30="里程碑","◆",""))</f>
        <v/>
      </c>
      <c r="BK30" s="8" t="str">
        <f>IF(OR($A30="",$C30="",$D30="",$C30&gt;BK$6,$D30&lt;BK$9),"",IF($J30="里程碑","◆",""))</f>
        <v/>
      </c>
      <c r="BL30" s="8" t="str">
        <f>IF(OR($A30="",$C30="",$D30="",$C30&gt;BL$6,$D30&lt;BL$9),"",IF($J30="里程碑","◆",""))</f>
        <v/>
      </c>
      <c r="BM30" s="8" t="str">
        <f>IF(OR($A30="",$C30="",$D30="",$C30&gt;BM$6,$D30&lt;BM$9),"",IF($J30="里程碑","◆",""))</f>
        <v/>
      </c>
      <c r="BN30" s="8" t="str">
        <f>IF(OR($A30="",$C30="",$D30="",$C30&gt;BN$6,$D30&lt;BN$9),"",IF($J30="里程碑","◆",""))</f>
        <v/>
      </c>
      <c r="BO30" s="8" t="str">
        <f>IF(OR($A30="",$C30="",$D30="",$C30&gt;BO$6,$D30&lt;BO$9),"",IF($J30="里程碑","◆",""))</f>
        <v/>
      </c>
      <c r="BP30" s="8" t="str">
        <f>IF(OR($A30="",$C30="",$D30="",$C30&gt;BP$6,$D30&lt;BP$9),"",IF($J30="里程碑","◆",""))</f>
        <v/>
      </c>
      <c r="BQ30" s="8" t="str">
        <f>IF(OR($A30="",$C30="",$D30="",$C30&gt;BQ$6,$D30&lt;BQ$9),"",IF($J30="里程碑","◆",""))</f>
        <v/>
      </c>
      <c r="BR30" s="8" t="str">
        <f>IF(OR($A30="",$C30="",$D30="",$C30&gt;BR$6,$D30&lt;BR$9),"",IF($J30="里程碑","◆",""))</f>
        <v/>
      </c>
      <c r="BS30" s="8" t="str">
        <f>IF(OR($A30="",$C30="",$D30="",$C30&gt;BS$6,$D30&lt;BS$9),"",IF($J30="里程碑","◆",""))</f>
        <v/>
      </c>
      <c r="BT30" s="8" t="str">
        <f>IF(OR($A30="",$C30="",$D30="",$C30&gt;BT$6,$D30&lt;BT$9),"",IF($J30="里程碑","◆",""))</f>
        <v/>
      </c>
      <c r="BU30" s="8" t="str">
        <f>IF(OR($A30="",$C30="",$D30="",$C30&gt;BU$6,$D30&lt;BU$9),"",IF($J30="里程碑","◆",""))</f>
        <v/>
      </c>
      <c r="BV30" s="8" t="str">
        <f>IF(OR($A30="",$C30="",$D30="",$C30&gt;BV$6,$D30&lt;BV$9),"",IF($J30="里程碑","◆",""))</f>
        <v/>
      </c>
      <c r="BW30" s="8" t="str">
        <f>IF(OR($A30="",$C30="",$D30="",$C30&gt;BW$6,$D30&lt;BW$9),"",IF($J30="里程碑","◆",""))</f>
        <v/>
      </c>
      <c r="BX30" s="8" t="str">
        <f>IF(OR($A30="",$C30="",$D30="",$C30&gt;BX$6,$D30&lt;BX$9),"",IF($J30="里程碑","◆",""))</f>
        <v/>
      </c>
      <c r="BY30" s="8" t="str">
        <f>IF(OR($A30="",$C30="",$D30="",$C30&gt;BY$6,$D30&lt;BY$9),"",IF($J30="里程碑","◆",""))</f>
        <v/>
      </c>
      <c r="BZ30" s="8" t="str">
        <f>IF(OR($A30="",$C30="",$D30="",$C30&gt;BZ$6,$D30&lt;BZ$9),"",IF($J30="里程碑","◆",""))</f>
        <v/>
      </c>
      <c r="CA30" s="8" t="str">
        <f>IF(OR($A30="",$C30="",$D30="",$C30&gt;CA$6,$D30&lt;CA$9),"",IF($J30="里程碑","◆",""))</f>
        <v/>
      </c>
      <c r="CB30" s="8" t="str">
        <f>IF(OR($A30="",$C30="",$D30="",$C30&gt;CB$6,$D30&lt;CB$9),"",IF($J30="里程碑","◆",""))</f>
        <v/>
      </c>
      <c r="CC30" s="8" t="str">
        <f>IF(OR($A30="",$C30="",$D30="",$C30&gt;CC$6,$D30&lt;CC$9),"",IF($J30="里程碑","◆",""))</f>
        <v/>
      </c>
      <c r="CD30" s="8" t="str">
        <f>IF(OR($A30="",$C30="",$D30="",$C30&gt;CD$6,$D30&lt;CD$9),"",IF($J30="里程碑","◆",""))</f>
        <v/>
      </c>
      <c r="CE30" s="8" t="str">
        <f>IF(OR($A30="",$C30="",$D30="",$C30&gt;CE$6,$D30&lt;CE$9),"",IF($J30="里程碑","◆",""))</f>
        <v/>
      </c>
      <c r="CF30" s="8" t="str">
        <f>IF(OR($A30="",$C30="",$D30="",$C30&gt;CF$6,$D30&lt;CF$9),"",IF($J30="里程碑","◆",""))</f>
        <v/>
      </c>
      <c r="CG30" s="8" t="str">
        <f>IF(OR($A30="",$C30="",$D30="",$C30&gt;CG$6,$D30&lt;CG$9),"",IF($J30="里程碑","◆",""))</f>
        <v/>
      </c>
      <c r="CH30" s="8" t="str">
        <f>IF(OR($A30="",$C30="",$D30="",$C30&gt;CH$6,$D30&lt;CH$9),"",IF($J30="里程碑","◆",""))</f>
        <v/>
      </c>
      <c r="CI30" s="8" t="str">
        <f>IF(OR($A30="",$C30="",$D30="",$C30&gt;CI$6,$D30&lt;CI$9),"",IF($J30="里程碑","◆",""))</f>
        <v/>
      </c>
      <c r="CJ30" s="8" t="str">
        <f>IF(OR($A30="",$C30="",$D30="",$C30&gt;CJ$6,$D30&lt;CJ$9),"",IF($J30="里程碑","◆",""))</f>
        <v/>
      </c>
      <c r="CK30" s="8" t="str">
        <f>IF(OR($A30="",$C30="",$D30="",$C30&gt;CK$6,$D30&lt;CK$9),"",IF($J30="里程碑","◆",""))</f>
        <v/>
      </c>
      <c r="CL30" s="8" t="str">
        <f>IF(OR($A30="",$C30="",$D30="",$C30&gt;CL$6,$D30&lt;CL$9),"",IF($J30="里程碑","◆",""))</f>
        <v/>
      </c>
      <c r="CM30" s="8" t="str">
        <f>IF(OR($A30="",$C30="",$D30="",$C30&gt;CM$6,$D30&lt;CM$9),"",IF($J30="里程碑","◆",""))</f>
        <v/>
      </c>
      <c r="CN30" s="8" t="str">
        <f>IF(OR($A30="",$C30="",$D30="",$C30&gt;CN$6,$D30&lt;CN$9),"",IF($J30="里程碑","◆",""))</f>
        <v/>
      </c>
      <c r="CO30" s="8" t="str">
        <f>IF(OR($A30="",$C30="",$D30="",$C30&gt;CO$6,$D30&lt;CO$9),"",IF($J30="里程碑","◆",""))</f>
        <v/>
      </c>
      <c r="CP30" s="8" t="str">
        <f>IF(OR($A30="",$C30="",$D30="",$C30&gt;CP$6,$D30&lt;CP$9),"",IF($J30="里程碑","◆",""))</f>
        <v/>
      </c>
      <c r="CQ30" s="8" t="str">
        <f>IF(OR($A30="",$C30="",$D30="",$C30&gt;CQ$6,$D30&lt;CQ$9),"",IF($J30="里程碑","◆",""))</f>
        <v/>
      </c>
      <c r="CR30" s="8" t="str">
        <f>IF(OR($A30="",$C30="",$D30="",$C30&gt;CR$6,$D30&lt;CR$9),"",IF($J30="里程碑","◆",""))</f>
        <v/>
      </c>
      <c r="CS30" s="8" t="str">
        <f>IF(OR($A30="",$C30="",$D30="",$C30&gt;CS$6,$D30&lt;CS$9),"",IF($J30="里程碑","◆",""))</f>
        <v/>
      </c>
      <c r="CT30" s="8" t="str">
        <f>IF(OR($A30="",$C30="",$D30="",$C30&gt;CT$6,$D30&lt;CT$9),"",IF($J30="里程碑","◆",""))</f>
        <v/>
      </c>
      <c r="CU30" s="8" t="str">
        <f>IF(OR($A30="",$C30="",$D30="",$C30&gt;CU$6,$D30&lt;CU$9),"",IF($J30="里程碑","◆",""))</f>
        <v/>
      </c>
      <c r="CV30" s="8" t="str">
        <f>IF(OR($A30="",$C30="",$D30="",$C30&gt;CV$6,$D30&lt;CV$9),"",IF($J30="里程碑","◆",""))</f>
        <v/>
      </c>
      <c r="CW30" s="8" t="str">
        <f>IF(OR($A30="",$C30="",$D30="",$C30&gt;CW$6,$D30&lt;CW$9),"",IF($J30="里程碑","◆",""))</f>
        <v/>
      </c>
      <c r="CX30" s="8" t="str">
        <f>IF(OR($A30="",$C30="",$D30="",$C30&gt;CX$6,$D30&lt;CX$9),"",IF($J30="里程碑","◆",""))</f>
        <v/>
      </c>
      <c r="CY30" s="8" t="str">
        <f>IF(OR($A30="",$C30="",$D30="",$C30&gt;CY$6,$D30&lt;CY$9),"",IF($J30="里程碑","◆",""))</f>
        <v/>
      </c>
      <c r="CZ30" s="8" t="str">
        <f>IF(OR($A30="",$C30="",$D30="",$C30&gt;CZ$6,$D30&lt;CZ$9),"",IF($J30="里程碑","◆",""))</f>
        <v/>
      </c>
      <c r="DA30" s="8" t="str">
        <f>IF(OR($A30="",$C30="",$D30="",$C30&gt;DA$6,$D30&lt;DA$9),"",IF($J30="里程碑","◆",""))</f>
        <v/>
      </c>
      <c r="DB30" s="8" t="str">
        <f>IF(OR($A30="",$C30="",$D30="",$C30&gt;DB$6,$D30&lt;DB$9),"",IF($J30="里程碑","◆",""))</f>
        <v/>
      </c>
      <c r="DC30" s="1" t="str">
        <f>IF(ROW()-9&gt;$DH$3,"",MATCH(ROW()-9,排期计算!$U$10:$U$109,0))</f>
        <v/>
      </c>
      <c r="DD30" s="1" t="str">
        <f>IF($DC30="","",INDEX(排期计算!$L$10:$L$109,$DC30))</f>
        <v/>
      </c>
      <c r="DE30" s="1"/>
      <c r="DF30" s="1"/>
      <c r="DG30" s="1"/>
      <c r="DH30" s="1"/>
      <c r="DI30" s="1"/>
      <c r="DJ30" s="1"/>
      <c r="DK30" s="1"/>
    </row>
    <row r="31" spans="1:115" ht="24.95" customHeight="1">
      <c r="A31" s="9" t="str">
        <f>IF($DC31="","",IF(AND(INDEX(排期计算!$A$10:$A$109,$DC31)="",NOT(ISNUMBER(INDEX(排期计算!$A$10:$A$109,$DC31)))),"",INDEX(排期计算!$A$10:$A$109,$DC31)))</f>
        <v/>
      </c>
      <c r="B31" s="1" t="str">
        <f>IF($DC31="","",REPT("　",$DD31-1)&amp;INDEX(排期计算!$B$10:$B$109,$DC31))</f>
        <v/>
      </c>
      <c r="C31" s="3" t="str">
        <f>IF($DC31="","",IF(AND(INDEX(排期计算!$M$10:$M$109,$DC31)="",NOT(ISNUMBER(INDEX(排期计算!$M$10:$M$109,$DC31)))),"",INDEX(排期计算!$M$10:$M$109,$DC31)))</f>
        <v/>
      </c>
      <c r="D31" s="3" t="str">
        <f>IF($DC31="","",IF(AND(INDEX(排期计算!$N$10:$N$109,$DC31)="",NOT(ISNUMBER(INDEX(排期计算!$N$10:$N$109,$DC31)))),"",INDEX(排期计算!$N$10:$N$109,$DC31)))</f>
        <v/>
      </c>
      <c r="E31" s="1" t="str">
        <f>IF(OR($C31="",$D31=""),"",IF($J31="里程碑",0,NETWORKDAYS($C31,$D31)))</f>
        <v/>
      </c>
      <c r="F31" s="7" t="str">
        <f>IF($DC31="","",IF(AND(INDEX(排期计算!$O$10:$O$109,$DC31)="",NOT(ISNUMBER(INDEX(排期计算!$O$10:$O$109,$DC31)))),"",INDEX(排期计算!$O$10:$O$109,$DC31)))</f>
        <v/>
      </c>
      <c r="G31" s="8" t="str">
        <f>IF($A31="","",IF(OR($C31="",$D31=""),"未排期",IF($F31&gt;=1,"已完成",IF($D31&lt;$B$4,"逾期",IF($C31&gt;$B$4,"未开始","进行中")))))</f>
        <v/>
      </c>
      <c r="H31" s="1" t="str">
        <f>IF($DC31="","",IF(AND(INDEX(排期计算!$C$10:$C$109,$DC31)="",NOT(ISNUMBER(INDEX(排期计算!$C$10:$C$109,$DC31)))),"",INDEX(排期计算!$C$10:$C$109,$DC31)))</f>
        <v/>
      </c>
      <c r="I31" s="1" t="str">
        <f>IF($DC31="","",IF(AND(INDEX(排期计算!$H$10:$H$109,$DC31)="",NOT(ISNUMBER(INDEX(排期计算!$H$10:$H$109,$DC31)))),"",INDEX(排期计算!$H$10:$H$109,$DC31)))</f>
        <v/>
      </c>
      <c r="J31" s="1" t="str">
        <f>IF($DC31="","",IF(AND(INDEX(排期计算!$K$10:$K$109,$DC31)="",NOT(ISNUMBER(INDEX(排期计算!$K$10:$K$109,$DC31)))),"",INDEX(排期计算!$K$10:$K$109,$DC31)))</f>
        <v/>
      </c>
      <c r="K31" s="8" t="str">
        <f>IF(OR($A31="",$C31="",$D31="",$C31&gt;K$6,$D31&lt;K$9),"",IF($J31="里程碑","◆",""))</f>
        <v/>
      </c>
      <c r="L31" s="8" t="str">
        <f>IF(OR($A31="",$C31="",$D31="",$C31&gt;L$6,$D31&lt;L$9),"",IF($J31="里程碑","◆",""))</f>
        <v/>
      </c>
      <c r="M31" s="8" t="str">
        <f>IF(OR($A31="",$C31="",$D31="",$C31&gt;M$6,$D31&lt;M$9),"",IF($J31="里程碑","◆",""))</f>
        <v/>
      </c>
      <c r="N31" s="8" t="str">
        <f>IF(OR($A31="",$C31="",$D31="",$C31&gt;N$6,$D31&lt;N$9),"",IF($J31="里程碑","◆",""))</f>
        <v/>
      </c>
      <c r="O31" s="8" t="str">
        <f>IF(OR($A31="",$C31="",$D31="",$C31&gt;O$6,$D31&lt;O$9),"",IF($J31="里程碑","◆",""))</f>
        <v/>
      </c>
      <c r="P31" s="8" t="str">
        <f>IF(OR($A31="",$C31="",$D31="",$C31&gt;P$6,$D31&lt;P$9),"",IF($J31="里程碑","◆",""))</f>
        <v/>
      </c>
      <c r="Q31" s="8" t="str">
        <f>IF(OR($A31="",$C31="",$D31="",$C31&gt;Q$6,$D31&lt;Q$9),"",IF($J31="里程碑","◆",""))</f>
        <v/>
      </c>
      <c r="R31" s="8" t="str">
        <f>IF(OR($A31="",$C31="",$D31="",$C31&gt;R$6,$D31&lt;R$9),"",IF($J31="里程碑","◆",""))</f>
        <v/>
      </c>
      <c r="S31" s="8" t="str">
        <f>IF(OR($A31="",$C31="",$D31="",$C31&gt;S$6,$D31&lt;S$9),"",IF($J31="里程碑","◆",""))</f>
        <v/>
      </c>
      <c r="T31" s="8" t="str">
        <f>IF(OR($A31="",$C31="",$D31="",$C31&gt;T$6,$D31&lt;T$9),"",IF($J31="里程碑","◆",""))</f>
        <v/>
      </c>
      <c r="U31" s="8" t="str">
        <f>IF(OR($A31="",$C31="",$D31="",$C31&gt;U$6,$D31&lt;U$9),"",IF($J31="里程碑","◆",""))</f>
        <v/>
      </c>
      <c r="V31" s="8" t="str">
        <f>IF(OR($A31="",$C31="",$D31="",$C31&gt;V$6,$D31&lt;V$9),"",IF($J31="里程碑","◆",""))</f>
        <v/>
      </c>
      <c r="W31" s="8" t="str">
        <f>IF(OR($A31="",$C31="",$D31="",$C31&gt;W$6,$D31&lt;W$9),"",IF($J31="里程碑","◆",""))</f>
        <v/>
      </c>
      <c r="X31" s="8" t="str">
        <f>IF(OR($A31="",$C31="",$D31="",$C31&gt;X$6,$D31&lt;X$9),"",IF($J31="里程碑","◆",""))</f>
        <v/>
      </c>
      <c r="Y31" s="8" t="str">
        <f>IF(OR($A31="",$C31="",$D31="",$C31&gt;Y$6,$D31&lt;Y$9),"",IF($J31="里程碑","◆",""))</f>
        <v/>
      </c>
      <c r="Z31" s="8" t="str">
        <f>IF(OR($A31="",$C31="",$D31="",$C31&gt;Z$6,$D31&lt;Z$9),"",IF($J31="里程碑","◆",""))</f>
        <v/>
      </c>
      <c r="AA31" s="8" t="str">
        <f>IF(OR($A31="",$C31="",$D31="",$C31&gt;AA$6,$D31&lt;AA$9),"",IF($J31="里程碑","◆",""))</f>
        <v/>
      </c>
      <c r="AB31" s="8" t="str">
        <f>IF(OR($A31="",$C31="",$D31="",$C31&gt;AB$6,$D31&lt;AB$9),"",IF($J31="里程碑","◆",""))</f>
        <v/>
      </c>
      <c r="AC31" s="8" t="str">
        <f>IF(OR($A31="",$C31="",$D31="",$C31&gt;AC$6,$D31&lt;AC$9),"",IF($J31="里程碑","◆",""))</f>
        <v/>
      </c>
      <c r="AD31" s="8" t="str">
        <f>IF(OR($A31="",$C31="",$D31="",$C31&gt;AD$6,$D31&lt;AD$9),"",IF($J31="里程碑","◆",""))</f>
        <v/>
      </c>
      <c r="AE31" s="8" t="str">
        <f>IF(OR($A31="",$C31="",$D31="",$C31&gt;AE$6,$D31&lt;AE$9),"",IF($J31="里程碑","◆",""))</f>
        <v/>
      </c>
      <c r="AF31" s="8" t="str">
        <f>IF(OR($A31="",$C31="",$D31="",$C31&gt;AF$6,$D31&lt;AF$9),"",IF($J31="里程碑","◆",""))</f>
        <v/>
      </c>
      <c r="AG31" s="8" t="str">
        <f>IF(OR($A31="",$C31="",$D31="",$C31&gt;AG$6,$D31&lt;AG$9),"",IF($J31="里程碑","◆",""))</f>
        <v/>
      </c>
      <c r="AH31" s="8" t="str">
        <f>IF(OR($A31="",$C31="",$D31="",$C31&gt;AH$6,$D31&lt;AH$9),"",IF($J31="里程碑","◆",""))</f>
        <v/>
      </c>
      <c r="AI31" s="8" t="str">
        <f>IF(OR($A31="",$C31="",$D31="",$C31&gt;AI$6,$D31&lt;AI$9),"",IF($J31="里程碑","◆",""))</f>
        <v/>
      </c>
      <c r="AJ31" s="8" t="str">
        <f>IF(OR($A31="",$C31="",$D31="",$C31&gt;AJ$6,$D31&lt;AJ$9),"",IF($J31="里程碑","◆",""))</f>
        <v/>
      </c>
      <c r="AK31" s="8" t="str">
        <f>IF(OR($A31="",$C31="",$D31="",$C31&gt;AK$6,$D31&lt;AK$9),"",IF($J31="里程碑","◆",""))</f>
        <v/>
      </c>
      <c r="AL31" s="8" t="str">
        <f>IF(OR($A31="",$C31="",$D31="",$C31&gt;AL$6,$D31&lt;AL$9),"",IF($J31="里程碑","◆",""))</f>
        <v/>
      </c>
      <c r="AM31" s="8" t="str">
        <f>IF(OR($A31="",$C31="",$D31="",$C31&gt;AM$6,$D31&lt;AM$9),"",IF($J31="里程碑","◆",""))</f>
        <v/>
      </c>
      <c r="AN31" s="8" t="str">
        <f>IF(OR($A31="",$C31="",$D31="",$C31&gt;AN$6,$D31&lt;AN$9),"",IF($J31="里程碑","◆",""))</f>
        <v/>
      </c>
      <c r="AO31" s="8" t="str">
        <f>IF(OR($A31="",$C31="",$D31="",$C31&gt;AO$6,$D31&lt;AO$9),"",IF($J31="里程碑","◆",""))</f>
        <v/>
      </c>
      <c r="AP31" s="8" t="str">
        <f>IF(OR($A31="",$C31="",$D31="",$C31&gt;AP$6,$D31&lt;AP$9),"",IF($J31="里程碑","◆",""))</f>
        <v/>
      </c>
      <c r="AQ31" s="8" t="str">
        <f>IF(OR($A31="",$C31="",$D31="",$C31&gt;AQ$6,$D31&lt;AQ$9),"",IF($J31="里程碑","◆",""))</f>
        <v/>
      </c>
      <c r="AR31" s="8" t="str">
        <f>IF(OR($A31="",$C31="",$D31="",$C31&gt;AR$6,$D31&lt;AR$9),"",IF($J31="里程碑","◆",""))</f>
        <v/>
      </c>
      <c r="AS31" s="8" t="str">
        <f>IF(OR($A31="",$C31="",$D31="",$C31&gt;AS$6,$D31&lt;AS$9),"",IF($J31="里程碑","◆",""))</f>
        <v/>
      </c>
      <c r="AT31" s="8" t="str">
        <f>IF(OR($A31="",$C31="",$D31="",$C31&gt;AT$6,$D31&lt;AT$9),"",IF($J31="里程碑","◆",""))</f>
        <v/>
      </c>
      <c r="AU31" s="8" t="str">
        <f>IF(OR($A31="",$C31="",$D31="",$C31&gt;AU$6,$D31&lt;AU$9),"",IF($J31="里程碑","◆",""))</f>
        <v/>
      </c>
      <c r="AV31" s="8" t="str">
        <f>IF(OR($A31="",$C31="",$D31="",$C31&gt;AV$6,$D31&lt;AV$9),"",IF($J31="里程碑","◆",""))</f>
        <v/>
      </c>
      <c r="AW31" s="8" t="str">
        <f>IF(OR($A31="",$C31="",$D31="",$C31&gt;AW$6,$D31&lt;AW$9),"",IF($J31="里程碑","◆",""))</f>
        <v/>
      </c>
      <c r="AX31" s="8" t="str">
        <f>IF(OR($A31="",$C31="",$D31="",$C31&gt;AX$6,$D31&lt;AX$9),"",IF($J31="里程碑","◆",""))</f>
        <v/>
      </c>
      <c r="AY31" s="8" t="str">
        <f>IF(OR($A31="",$C31="",$D31="",$C31&gt;AY$6,$D31&lt;AY$9),"",IF($J31="里程碑","◆",""))</f>
        <v/>
      </c>
      <c r="AZ31" s="8" t="str">
        <f>IF(OR($A31="",$C31="",$D31="",$C31&gt;AZ$6,$D31&lt;AZ$9),"",IF($J31="里程碑","◆",""))</f>
        <v/>
      </c>
      <c r="BA31" s="8" t="str">
        <f>IF(OR($A31="",$C31="",$D31="",$C31&gt;BA$6,$D31&lt;BA$9),"",IF($J31="里程碑","◆",""))</f>
        <v/>
      </c>
      <c r="BB31" s="8" t="str">
        <f>IF(OR($A31="",$C31="",$D31="",$C31&gt;BB$6,$D31&lt;BB$9),"",IF($J31="里程碑","◆",""))</f>
        <v/>
      </c>
      <c r="BC31" s="8" t="str">
        <f>IF(OR($A31="",$C31="",$D31="",$C31&gt;BC$6,$D31&lt;BC$9),"",IF($J31="里程碑","◆",""))</f>
        <v/>
      </c>
      <c r="BD31" s="8" t="str">
        <f>IF(OR($A31="",$C31="",$D31="",$C31&gt;BD$6,$D31&lt;BD$9),"",IF($J31="里程碑","◆",""))</f>
        <v/>
      </c>
      <c r="BE31" s="8" t="str">
        <f>IF(OR($A31="",$C31="",$D31="",$C31&gt;BE$6,$D31&lt;BE$9),"",IF($J31="里程碑","◆",""))</f>
        <v/>
      </c>
      <c r="BF31" s="8" t="str">
        <f>IF(OR($A31="",$C31="",$D31="",$C31&gt;BF$6,$D31&lt;BF$9),"",IF($J31="里程碑","◆",""))</f>
        <v/>
      </c>
      <c r="BG31" s="8" t="str">
        <f>IF(OR($A31="",$C31="",$D31="",$C31&gt;BG$6,$D31&lt;BG$9),"",IF($J31="里程碑","◆",""))</f>
        <v/>
      </c>
      <c r="BH31" s="8" t="str">
        <f>IF(OR($A31="",$C31="",$D31="",$C31&gt;BH$6,$D31&lt;BH$9),"",IF($J31="里程碑","◆",""))</f>
        <v/>
      </c>
      <c r="BI31" s="8" t="str">
        <f>IF(OR($A31="",$C31="",$D31="",$C31&gt;BI$6,$D31&lt;BI$9),"",IF($J31="里程碑","◆",""))</f>
        <v/>
      </c>
      <c r="BJ31" s="8" t="str">
        <f>IF(OR($A31="",$C31="",$D31="",$C31&gt;BJ$6,$D31&lt;BJ$9),"",IF($J31="里程碑","◆",""))</f>
        <v/>
      </c>
      <c r="BK31" s="8" t="str">
        <f>IF(OR($A31="",$C31="",$D31="",$C31&gt;BK$6,$D31&lt;BK$9),"",IF($J31="里程碑","◆",""))</f>
        <v/>
      </c>
      <c r="BL31" s="8" t="str">
        <f>IF(OR($A31="",$C31="",$D31="",$C31&gt;BL$6,$D31&lt;BL$9),"",IF($J31="里程碑","◆",""))</f>
        <v/>
      </c>
      <c r="BM31" s="8" t="str">
        <f>IF(OR($A31="",$C31="",$D31="",$C31&gt;BM$6,$D31&lt;BM$9),"",IF($J31="里程碑","◆",""))</f>
        <v/>
      </c>
      <c r="BN31" s="8" t="str">
        <f>IF(OR($A31="",$C31="",$D31="",$C31&gt;BN$6,$D31&lt;BN$9),"",IF($J31="里程碑","◆",""))</f>
        <v/>
      </c>
      <c r="BO31" s="8" t="str">
        <f>IF(OR($A31="",$C31="",$D31="",$C31&gt;BO$6,$D31&lt;BO$9),"",IF($J31="里程碑","◆",""))</f>
        <v/>
      </c>
      <c r="BP31" s="8" t="str">
        <f>IF(OR($A31="",$C31="",$D31="",$C31&gt;BP$6,$D31&lt;BP$9),"",IF($J31="里程碑","◆",""))</f>
        <v/>
      </c>
      <c r="BQ31" s="8" t="str">
        <f>IF(OR($A31="",$C31="",$D31="",$C31&gt;BQ$6,$D31&lt;BQ$9),"",IF($J31="里程碑","◆",""))</f>
        <v/>
      </c>
      <c r="BR31" s="8" t="str">
        <f>IF(OR($A31="",$C31="",$D31="",$C31&gt;BR$6,$D31&lt;BR$9),"",IF($J31="里程碑","◆",""))</f>
        <v/>
      </c>
      <c r="BS31" s="8" t="str">
        <f>IF(OR($A31="",$C31="",$D31="",$C31&gt;BS$6,$D31&lt;BS$9),"",IF($J31="里程碑","◆",""))</f>
        <v/>
      </c>
      <c r="BT31" s="8" t="str">
        <f>IF(OR($A31="",$C31="",$D31="",$C31&gt;BT$6,$D31&lt;BT$9),"",IF($J31="里程碑","◆",""))</f>
        <v/>
      </c>
      <c r="BU31" s="8" t="str">
        <f>IF(OR($A31="",$C31="",$D31="",$C31&gt;BU$6,$D31&lt;BU$9),"",IF($J31="里程碑","◆",""))</f>
        <v/>
      </c>
      <c r="BV31" s="8" t="str">
        <f>IF(OR($A31="",$C31="",$D31="",$C31&gt;BV$6,$D31&lt;BV$9),"",IF($J31="里程碑","◆",""))</f>
        <v/>
      </c>
      <c r="BW31" s="8" t="str">
        <f>IF(OR($A31="",$C31="",$D31="",$C31&gt;BW$6,$D31&lt;BW$9),"",IF($J31="里程碑","◆",""))</f>
        <v/>
      </c>
      <c r="BX31" s="8" t="str">
        <f>IF(OR($A31="",$C31="",$D31="",$C31&gt;BX$6,$D31&lt;BX$9),"",IF($J31="里程碑","◆",""))</f>
        <v/>
      </c>
      <c r="BY31" s="8" t="str">
        <f>IF(OR($A31="",$C31="",$D31="",$C31&gt;BY$6,$D31&lt;BY$9),"",IF($J31="里程碑","◆",""))</f>
        <v/>
      </c>
      <c r="BZ31" s="8" t="str">
        <f>IF(OR($A31="",$C31="",$D31="",$C31&gt;BZ$6,$D31&lt;BZ$9),"",IF($J31="里程碑","◆",""))</f>
        <v/>
      </c>
      <c r="CA31" s="8" t="str">
        <f>IF(OR($A31="",$C31="",$D31="",$C31&gt;CA$6,$D31&lt;CA$9),"",IF($J31="里程碑","◆",""))</f>
        <v/>
      </c>
      <c r="CB31" s="8" t="str">
        <f>IF(OR($A31="",$C31="",$D31="",$C31&gt;CB$6,$D31&lt;CB$9),"",IF($J31="里程碑","◆",""))</f>
        <v/>
      </c>
      <c r="CC31" s="8" t="str">
        <f>IF(OR($A31="",$C31="",$D31="",$C31&gt;CC$6,$D31&lt;CC$9),"",IF($J31="里程碑","◆",""))</f>
        <v/>
      </c>
      <c r="CD31" s="8" t="str">
        <f>IF(OR($A31="",$C31="",$D31="",$C31&gt;CD$6,$D31&lt;CD$9),"",IF($J31="里程碑","◆",""))</f>
        <v/>
      </c>
      <c r="CE31" s="8" t="str">
        <f>IF(OR($A31="",$C31="",$D31="",$C31&gt;CE$6,$D31&lt;CE$9),"",IF($J31="里程碑","◆",""))</f>
        <v/>
      </c>
      <c r="CF31" s="8" t="str">
        <f>IF(OR($A31="",$C31="",$D31="",$C31&gt;CF$6,$D31&lt;CF$9),"",IF($J31="里程碑","◆",""))</f>
        <v/>
      </c>
      <c r="CG31" s="8" t="str">
        <f>IF(OR($A31="",$C31="",$D31="",$C31&gt;CG$6,$D31&lt;CG$9),"",IF($J31="里程碑","◆",""))</f>
        <v/>
      </c>
      <c r="CH31" s="8" t="str">
        <f>IF(OR($A31="",$C31="",$D31="",$C31&gt;CH$6,$D31&lt;CH$9),"",IF($J31="里程碑","◆",""))</f>
        <v/>
      </c>
      <c r="CI31" s="8" t="str">
        <f>IF(OR($A31="",$C31="",$D31="",$C31&gt;CI$6,$D31&lt;CI$9),"",IF($J31="里程碑","◆",""))</f>
        <v/>
      </c>
      <c r="CJ31" s="8" t="str">
        <f>IF(OR($A31="",$C31="",$D31="",$C31&gt;CJ$6,$D31&lt;CJ$9),"",IF($J31="里程碑","◆",""))</f>
        <v/>
      </c>
      <c r="CK31" s="8" t="str">
        <f>IF(OR($A31="",$C31="",$D31="",$C31&gt;CK$6,$D31&lt;CK$9),"",IF($J31="里程碑","◆",""))</f>
        <v/>
      </c>
      <c r="CL31" s="8" t="str">
        <f>IF(OR($A31="",$C31="",$D31="",$C31&gt;CL$6,$D31&lt;CL$9),"",IF($J31="里程碑","◆",""))</f>
        <v/>
      </c>
      <c r="CM31" s="8" t="str">
        <f>IF(OR($A31="",$C31="",$D31="",$C31&gt;CM$6,$D31&lt;CM$9),"",IF($J31="里程碑","◆",""))</f>
        <v/>
      </c>
      <c r="CN31" s="8" t="str">
        <f>IF(OR($A31="",$C31="",$D31="",$C31&gt;CN$6,$D31&lt;CN$9),"",IF($J31="里程碑","◆",""))</f>
        <v/>
      </c>
      <c r="CO31" s="8" t="str">
        <f>IF(OR($A31="",$C31="",$D31="",$C31&gt;CO$6,$D31&lt;CO$9),"",IF($J31="里程碑","◆",""))</f>
        <v/>
      </c>
      <c r="CP31" s="8" t="str">
        <f>IF(OR($A31="",$C31="",$D31="",$C31&gt;CP$6,$D31&lt;CP$9),"",IF($J31="里程碑","◆",""))</f>
        <v/>
      </c>
      <c r="CQ31" s="8" t="str">
        <f>IF(OR($A31="",$C31="",$D31="",$C31&gt;CQ$6,$D31&lt;CQ$9),"",IF($J31="里程碑","◆",""))</f>
        <v/>
      </c>
      <c r="CR31" s="8" t="str">
        <f>IF(OR($A31="",$C31="",$D31="",$C31&gt;CR$6,$D31&lt;CR$9),"",IF($J31="里程碑","◆",""))</f>
        <v/>
      </c>
      <c r="CS31" s="8" t="str">
        <f>IF(OR($A31="",$C31="",$D31="",$C31&gt;CS$6,$D31&lt;CS$9),"",IF($J31="里程碑","◆",""))</f>
        <v/>
      </c>
      <c r="CT31" s="8" t="str">
        <f>IF(OR($A31="",$C31="",$D31="",$C31&gt;CT$6,$D31&lt;CT$9),"",IF($J31="里程碑","◆",""))</f>
        <v/>
      </c>
      <c r="CU31" s="8" t="str">
        <f>IF(OR($A31="",$C31="",$D31="",$C31&gt;CU$6,$D31&lt;CU$9),"",IF($J31="里程碑","◆",""))</f>
        <v/>
      </c>
      <c r="CV31" s="8" t="str">
        <f>IF(OR($A31="",$C31="",$D31="",$C31&gt;CV$6,$D31&lt;CV$9),"",IF($J31="里程碑","◆",""))</f>
        <v/>
      </c>
      <c r="CW31" s="8" t="str">
        <f>IF(OR($A31="",$C31="",$D31="",$C31&gt;CW$6,$D31&lt;CW$9),"",IF($J31="里程碑","◆",""))</f>
        <v/>
      </c>
      <c r="CX31" s="8" t="str">
        <f>IF(OR($A31="",$C31="",$D31="",$C31&gt;CX$6,$D31&lt;CX$9),"",IF($J31="里程碑","◆",""))</f>
        <v/>
      </c>
      <c r="CY31" s="8" t="str">
        <f>IF(OR($A31="",$C31="",$D31="",$C31&gt;CY$6,$D31&lt;CY$9),"",IF($J31="里程碑","◆",""))</f>
        <v/>
      </c>
      <c r="CZ31" s="8" t="str">
        <f>IF(OR($A31="",$C31="",$D31="",$C31&gt;CZ$6,$D31&lt;CZ$9),"",IF($J31="里程碑","◆",""))</f>
        <v/>
      </c>
      <c r="DA31" s="8" t="str">
        <f>IF(OR($A31="",$C31="",$D31="",$C31&gt;DA$6,$D31&lt;DA$9),"",IF($J31="里程碑","◆",""))</f>
        <v/>
      </c>
      <c r="DB31" s="8" t="str">
        <f>IF(OR($A31="",$C31="",$D31="",$C31&gt;DB$6,$D31&lt;DB$9),"",IF($J31="里程碑","◆",""))</f>
        <v/>
      </c>
      <c r="DC31" s="1" t="str">
        <f>IF(ROW()-9&gt;$DH$3,"",MATCH(ROW()-9,排期计算!$U$10:$U$109,0))</f>
        <v/>
      </c>
      <c r="DD31" s="1" t="str">
        <f>IF($DC31="","",INDEX(排期计算!$L$10:$L$109,$DC31))</f>
        <v/>
      </c>
      <c r="DE31" s="1"/>
      <c r="DF31" s="1"/>
      <c r="DG31" s="1"/>
      <c r="DH31" s="1"/>
      <c r="DI31" s="1"/>
      <c r="DJ31" s="1"/>
      <c r="DK31" s="1"/>
    </row>
    <row r="32" spans="1:115" ht="24.95" customHeight="1">
      <c r="A32" s="9" t="str">
        <f>IF($DC32="","",IF(AND(INDEX(排期计算!$A$10:$A$109,$DC32)="",NOT(ISNUMBER(INDEX(排期计算!$A$10:$A$109,$DC32)))),"",INDEX(排期计算!$A$10:$A$109,$DC32)))</f>
        <v/>
      </c>
      <c r="B32" s="1" t="str">
        <f>IF($DC32="","",REPT("　",$DD32-1)&amp;INDEX(排期计算!$B$10:$B$109,$DC32))</f>
        <v/>
      </c>
      <c r="C32" s="3" t="str">
        <f>IF($DC32="","",IF(AND(INDEX(排期计算!$M$10:$M$109,$DC32)="",NOT(ISNUMBER(INDEX(排期计算!$M$10:$M$109,$DC32)))),"",INDEX(排期计算!$M$10:$M$109,$DC32)))</f>
        <v/>
      </c>
      <c r="D32" s="3" t="str">
        <f>IF($DC32="","",IF(AND(INDEX(排期计算!$N$10:$N$109,$DC32)="",NOT(ISNUMBER(INDEX(排期计算!$N$10:$N$109,$DC32)))),"",INDEX(排期计算!$N$10:$N$109,$DC32)))</f>
        <v/>
      </c>
      <c r="E32" s="1" t="str">
        <f>IF(OR($C32="",$D32=""),"",IF($J32="里程碑",0,NETWORKDAYS($C32,$D32)))</f>
        <v/>
      </c>
      <c r="F32" s="7" t="str">
        <f>IF($DC32="","",IF(AND(INDEX(排期计算!$O$10:$O$109,$DC32)="",NOT(ISNUMBER(INDEX(排期计算!$O$10:$O$109,$DC32)))),"",INDEX(排期计算!$O$10:$O$109,$DC32)))</f>
        <v/>
      </c>
      <c r="G32" s="8" t="str">
        <f>IF($A32="","",IF(OR($C32="",$D32=""),"未排期",IF($F32&gt;=1,"已完成",IF($D32&lt;$B$4,"逾期",IF($C32&gt;$B$4,"未开始","进行中")))))</f>
        <v/>
      </c>
      <c r="H32" s="1" t="str">
        <f>IF($DC32="","",IF(AND(INDEX(排期计算!$C$10:$C$109,$DC32)="",NOT(ISNUMBER(INDEX(排期计算!$C$10:$C$109,$DC32)))),"",INDEX(排期计算!$C$10:$C$109,$DC32)))</f>
        <v/>
      </c>
      <c r="I32" s="1" t="str">
        <f>IF($DC32="","",IF(AND(INDEX(排期计算!$H$10:$H$109,$DC32)="",NOT(ISNUMBER(INDEX(排期计算!$H$10:$H$109,$DC32)))),"",INDEX(排期计算!$H$10:$H$109,$DC32)))</f>
        <v/>
      </c>
      <c r="J32" s="1" t="str">
        <f>IF($DC32="","",IF(AND(INDEX(排期计算!$K$10:$K$109,$DC32)="",NOT(ISNUMBER(INDEX(排期计算!$K$10:$K$109,$DC32)))),"",INDEX(排期计算!$K$10:$K$109,$DC32)))</f>
        <v/>
      </c>
      <c r="K32" s="8" t="str">
        <f>IF(OR($A32="",$C32="",$D32="",$C32&gt;K$6,$D32&lt;K$9),"",IF($J32="里程碑","◆",""))</f>
        <v/>
      </c>
      <c r="L32" s="8" t="str">
        <f>IF(OR($A32="",$C32="",$D32="",$C32&gt;L$6,$D32&lt;L$9),"",IF($J32="里程碑","◆",""))</f>
        <v/>
      </c>
      <c r="M32" s="8" t="str">
        <f>IF(OR($A32="",$C32="",$D32="",$C32&gt;M$6,$D32&lt;M$9),"",IF($J32="里程碑","◆",""))</f>
        <v/>
      </c>
      <c r="N32" s="8" t="str">
        <f>IF(OR($A32="",$C32="",$D32="",$C32&gt;N$6,$D32&lt;N$9),"",IF($J32="里程碑","◆",""))</f>
        <v/>
      </c>
      <c r="O32" s="8" t="str">
        <f>IF(OR($A32="",$C32="",$D32="",$C32&gt;O$6,$D32&lt;O$9),"",IF($J32="里程碑","◆",""))</f>
        <v/>
      </c>
      <c r="P32" s="8" t="str">
        <f>IF(OR($A32="",$C32="",$D32="",$C32&gt;P$6,$D32&lt;P$9),"",IF($J32="里程碑","◆",""))</f>
        <v/>
      </c>
      <c r="Q32" s="8" t="str">
        <f>IF(OR($A32="",$C32="",$D32="",$C32&gt;Q$6,$D32&lt;Q$9),"",IF($J32="里程碑","◆",""))</f>
        <v/>
      </c>
      <c r="R32" s="8" t="str">
        <f>IF(OR($A32="",$C32="",$D32="",$C32&gt;R$6,$D32&lt;R$9),"",IF($J32="里程碑","◆",""))</f>
        <v/>
      </c>
      <c r="S32" s="8" t="str">
        <f>IF(OR($A32="",$C32="",$D32="",$C32&gt;S$6,$D32&lt;S$9),"",IF($J32="里程碑","◆",""))</f>
        <v/>
      </c>
      <c r="T32" s="8" t="str">
        <f>IF(OR($A32="",$C32="",$D32="",$C32&gt;T$6,$D32&lt;T$9),"",IF($J32="里程碑","◆",""))</f>
        <v/>
      </c>
      <c r="U32" s="8" t="str">
        <f>IF(OR($A32="",$C32="",$D32="",$C32&gt;U$6,$D32&lt;U$9),"",IF($J32="里程碑","◆",""))</f>
        <v/>
      </c>
      <c r="V32" s="8" t="str">
        <f>IF(OR($A32="",$C32="",$D32="",$C32&gt;V$6,$D32&lt;V$9),"",IF($J32="里程碑","◆",""))</f>
        <v/>
      </c>
      <c r="W32" s="8" t="str">
        <f>IF(OR($A32="",$C32="",$D32="",$C32&gt;W$6,$D32&lt;W$9),"",IF($J32="里程碑","◆",""))</f>
        <v/>
      </c>
      <c r="X32" s="8" t="str">
        <f>IF(OR($A32="",$C32="",$D32="",$C32&gt;X$6,$D32&lt;X$9),"",IF($J32="里程碑","◆",""))</f>
        <v/>
      </c>
      <c r="Y32" s="8" t="str">
        <f>IF(OR($A32="",$C32="",$D32="",$C32&gt;Y$6,$D32&lt;Y$9),"",IF($J32="里程碑","◆",""))</f>
        <v/>
      </c>
      <c r="Z32" s="8" t="str">
        <f>IF(OR($A32="",$C32="",$D32="",$C32&gt;Z$6,$D32&lt;Z$9),"",IF($J32="里程碑","◆",""))</f>
        <v/>
      </c>
      <c r="AA32" s="8" t="str">
        <f>IF(OR($A32="",$C32="",$D32="",$C32&gt;AA$6,$D32&lt;AA$9),"",IF($J32="里程碑","◆",""))</f>
        <v/>
      </c>
      <c r="AB32" s="8" t="str">
        <f>IF(OR($A32="",$C32="",$D32="",$C32&gt;AB$6,$D32&lt;AB$9),"",IF($J32="里程碑","◆",""))</f>
        <v/>
      </c>
      <c r="AC32" s="8" t="str">
        <f>IF(OR($A32="",$C32="",$D32="",$C32&gt;AC$6,$D32&lt;AC$9),"",IF($J32="里程碑","◆",""))</f>
        <v/>
      </c>
      <c r="AD32" s="8" t="str">
        <f>IF(OR($A32="",$C32="",$D32="",$C32&gt;AD$6,$D32&lt;AD$9),"",IF($J32="里程碑","◆",""))</f>
        <v/>
      </c>
      <c r="AE32" s="8" t="str">
        <f>IF(OR($A32="",$C32="",$D32="",$C32&gt;AE$6,$D32&lt;AE$9),"",IF($J32="里程碑","◆",""))</f>
        <v/>
      </c>
      <c r="AF32" s="8" t="str">
        <f>IF(OR($A32="",$C32="",$D32="",$C32&gt;AF$6,$D32&lt;AF$9),"",IF($J32="里程碑","◆",""))</f>
        <v/>
      </c>
      <c r="AG32" s="8" t="str">
        <f>IF(OR($A32="",$C32="",$D32="",$C32&gt;AG$6,$D32&lt;AG$9),"",IF($J32="里程碑","◆",""))</f>
        <v/>
      </c>
      <c r="AH32" s="8" t="str">
        <f>IF(OR($A32="",$C32="",$D32="",$C32&gt;AH$6,$D32&lt;AH$9),"",IF($J32="里程碑","◆",""))</f>
        <v/>
      </c>
      <c r="AI32" s="8" t="str">
        <f>IF(OR($A32="",$C32="",$D32="",$C32&gt;AI$6,$D32&lt;AI$9),"",IF($J32="里程碑","◆",""))</f>
        <v/>
      </c>
      <c r="AJ32" s="8" t="str">
        <f>IF(OR($A32="",$C32="",$D32="",$C32&gt;AJ$6,$D32&lt;AJ$9),"",IF($J32="里程碑","◆",""))</f>
        <v/>
      </c>
      <c r="AK32" s="8" t="str">
        <f>IF(OR($A32="",$C32="",$D32="",$C32&gt;AK$6,$D32&lt;AK$9),"",IF($J32="里程碑","◆",""))</f>
        <v/>
      </c>
      <c r="AL32" s="8" t="str">
        <f>IF(OR($A32="",$C32="",$D32="",$C32&gt;AL$6,$D32&lt;AL$9),"",IF($J32="里程碑","◆",""))</f>
        <v/>
      </c>
      <c r="AM32" s="8" t="str">
        <f>IF(OR($A32="",$C32="",$D32="",$C32&gt;AM$6,$D32&lt;AM$9),"",IF($J32="里程碑","◆",""))</f>
        <v/>
      </c>
      <c r="AN32" s="8" t="str">
        <f>IF(OR($A32="",$C32="",$D32="",$C32&gt;AN$6,$D32&lt;AN$9),"",IF($J32="里程碑","◆",""))</f>
        <v/>
      </c>
      <c r="AO32" s="8" t="str">
        <f>IF(OR($A32="",$C32="",$D32="",$C32&gt;AO$6,$D32&lt;AO$9),"",IF($J32="里程碑","◆",""))</f>
        <v/>
      </c>
      <c r="AP32" s="8" t="str">
        <f>IF(OR($A32="",$C32="",$D32="",$C32&gt;AP$6,$D32&lt;AP$9),"",IF($J32="里程碑","◆",""))</f>
        <v/>
      </c>
      <c r="AQ32" s="8" t="str">
        <f>IF(OR($A32="",$C32="",$D32="",$C32&gt;AQ$6,$D32&lt;AQ$9),"",IF($J32="里程碑","◆",""))</f>
        <v/>
      </c>
      <c r="AR32" s="8" t="str">
        <f>IF(OR($A32="",$C32="",$D32="",$C32&gt;AR$6,$D32&lt;AR$9),"",IF($J32="里程碑","◆",""))</f>
        <v/>
      </c>
      <c r="AS32" s="8" t="str">
        <f>IF(OR($A32="",$C32="",$D32="",$C32&gt;AS$6,$D32&lt;AS$9),"",IF($J32="里程碑","◆",""))</f>
        <v/>
      </c>
      <c r="AT32" s="8" t="str">
        <f>IF(OR($A32="",$C32="",$D32="",$C32&gt;AT$6,$D32&lt;AT$9),"",IF($J32="里程碑","◆",""))</f>
        <v/>
      </c>
      <c r="AU32" s="8" t="str">
        <f>IF(OR($A32="",$C32="",$D32="",$C32&gt;AU$6,$D32&lt;AU$9),"",IF($J32="里程碑","◆",""))</f>
        <v/>
      </c>
      <c r="AV32" s="8" t="str">
        <f>IF(OR($A32="",$C32="",$D32="",$C32&gt;AV$6,$D32&lt;AV$9),"",IF($J32="里程碑","◆",""))</f>
        <v/>
      </c>
      <c r="AW32" s="8" t="str">
        <f>IF(OR($A32="",$C32="",$D32="",$C32&gt;AW$6,$D32&lt;AW$9),"",IF($J32="里程碑","◆",""))</f>
        <v/>
      </c>
      <c r="AX32" s="8" t="str">
        <f>IF(OR($A32="",$C32="",$D32="",$C32&gt;AX$6,$D32&lt;AX$9),"",IF($J32="里程碑","◆",""))</f>
        <v/>
      </c>
      <c r="AY32" s="8" t="str">
        <f>IF(OR($A32="",$C32="",$D32="",$C32&gt;AY$6,$D32&lt;AY$9),"",IF($J32="里程碑","◆",""))</f>
        <v/>
      </c>
      <c r="AZ32" s="8" t="str">
        <f>IF(OR($A32="",$C32="",$D32="",$C32&gt;AZ$6,$D32&lt;AZ$9),"",IF($J32="里程碑","◆",""))</f>
        <v/>
      </c>
      <c r="BA32" s="8" t="str">
        <f>IF(OR($A32="",$C32="",$D32="",$C32&gt;BA$6,$D32&lt;BA$9),"",IF($J32="里程碑","◆",""))</f>
        <v/>
      </c>
      <c r="BB32" s="8" t="str">
        <f>IF(OR($A32="",$C32="",$D32="",$C32&gt;BB$6,$D32&lt;BB$9),"",IF($J32="里程碑","◆",""))</f>
        <v/>
      </c>
      <c r="BC32" s="8" t="str">
        <f>IF(OR($A32="",$C32="",$D32="",$C32&gt;BC$6,$D32&lt;BC$9),"",IF($J32="里程碑","◆",""))</f>
        <v/>
      </c>
      <c r="BD32" s="8" t="str">
        <f>IF(OR($A32="",$C32="",$D32="",$C32&gt;BD$6,$D32&lt;BD$9),"",IF($J32="里程碑","◆",""))</f>
        <v/>
      </c>
      <c r="BE32" s="8" t="str">
        <f>IF(OR($A32="",$C32="",$D32="",$C32&gt;BE$6,$D32&lt;BE$9),"",IF($J32="里程碑","◆",""))</f>
        <v/>
      </c>
      <c r="BF32" s="8" t="str">
        <f>IF(OR($A32="",$C32="",$D32="",$C32&gt;BF$6,$D32&lt;BF$9),"",IF($J32="里程碑","◆",""))</f>
        <v/>
      </c>
      <c r="BG32" s="8" t="str">
        <f>IF(OR($A32="",$C32="",$D32="",$C32&gt;BG$6,$D32&lt;BG$9),"",IF($J32="里程碑","◆",""))</f>
        <v/>
      </c>
      <c r="BH32" s="8" t="str">
        <f>IF(OR($A32="",$C32="",$D32="",$C32&gt;BH$6,$D32&lt;BH$9),"",IF($J32="里程碑","◆",""))</f>
        <v/>
      </c>
      <c r="BI32" s="8" t="str">
        <f>IF(OR($A32="",$C32="",$D32="",$C32&gt;BI$6,$D32&lt;BI$9),"",IF($J32="里程碑","◆",""))</f>
        <v/>
      </c>
      <c r="BJ32" s="8" t="str">
        <f>IF(OR($A32="",$C32="",$D32="",$C32&gt;BJ$6,$D32&lt;BJ$9),"",IF($J32="里程碑","◆",""))</f>
        <v/>
      </c>
      <c r="BK32" s="8" t="str">
        <f>IF(OR($A32="",$C32="",$D32="",$C32&gt;BK$6,$D32&lt;BK$9),"",IF($J32="里程碑","◆",""))</f>
        <v/>
      </c>
      <c r="BL32" s="8" t="str">
        <f>IF(OR($A32="",$C32="",$D32="",$C32&gt;BL$6,$D32&lt;BL$9),"",IF($J32="里程碑","◆",""))</f>
        <v/>
      </c>
      <c r="BM32" s="8" t="str">
        <f>IF(OR($A32="",$C32="",$D32="",$C32&gt;BM$6,$D32&lt;BM$9),"",IF($J32="里程碑","◆",""))</f>
        <v/>
      </c>
      <c r="BN32" s="8" t="str">
        <f>IF(OR($A32="",$C32="",$D32="",$C32&gt;BN$6,$D32&lt;BN$9),"",IF($J32="里程碑","◆",""))</f>
        <v/>
      </c>
      <c r="BO32" s="8" t="str">
        <f>IF(OR($A32="",$C32="",$D32="",$C32&gt;BO$6,$D32&lt;BO$9),"",IF($J32="里程碑","◆",""))</f>
        <v/>
      </c>
      <c r="BP32" s="8" t="str">
        <f>IF(OR($A32="",$C32="",$D32="",$C32&gt;BP$6,$D32&lt;BP$9),"",IF($J32="里程碑","◆",""))</f>
        <v/>
      </c>
      <c r="BQ32" s="8" t="str">
        <f>IF(OR($A32="",$C32="",$D32="",$C32&gt;BQ$6,$D32&lt;BQ$9),"",IF($J32="里程碑","◆",""))</f>
        <v/>
      </c>
      <c r="BR32" s="8" t="str">
        <f>IF(OR($A32="",$C32="",$D32="",$C32&gt;BR$6,$D32&lt;BR$9),"",IF($J32="里程碑","◆",""))</f>
        <v/>
      </c>
      <c r="BS32" s="8" t="str">
        <f>IF(OR($A32="",$C32="",$D32="",$C32&gt;BS$6,$D32&lt;BS$9),"",IF($J32="里程碑","◆",""))</f>
        <v/>
      </c>
      <c r="BT32" s="8" t="str">
        <f>IF(OR($A32="",$C32="",$D32="",$C32&gt;BT$6,$D32&lt;BT$9),"",IF($J32="里程碑","◆",""))</f>
        <v/>
      </c>
      <c r="BU32" s="8" t="str">
        <f>IF(OR($A32="",$C32="",$D32="",$C32&gt;BU$6,$D32&lt;BU$9),"",IF($J32="里程碑","◆",""))</f>
        <v/>
      </c>
      <c r="BV32" s="8" t="str">
        <f>IF(OR($A32="",$C32="",$D32="",$C32&gt;BV$6,$D32&lt;BV$9),"",IF($J32="里程碑","◆",""))</f>
        <v/>
      </c>
      <c r="BW32" s="8" t="str">
        <f>IF(OR($A32="",$C32="",$D32="",$C32&gt;BW$6,$D32&lt;BW$9),"",IF($J32="里程碑","◆",""))</f>
        <v/>
      </c>
      <c r="BX32" s="8" t="str">
        <f>IF(OR($A32="",$C32="",$D32="",$C32&gt;BX$6,$D32&lt;BX$9),"",IF($J32="里程碑","◆",""))</f>
        <v/>
      </c>
      <c r="BY32" s="8" t="str">
        <f>IF(OR($A32="",$C32="",$D32="",$C32&gt;BY$6,$D32&lt;BY$9),"",IF($J32="里程碑","◆",""))</f>
        <v/>
      </c>
      <c r="BZ32" s="8" t="str">
        <f>IF(OR($A32="",$C32="",$D32="",$C32&gt;BZ$6,$D32&lt;BZ$9),"",IF($J32="里程碑","◆",""))</f>
        <v/>
      </c>
      <c r="CA32" s="8" t="str">
        <f>IF(OR($A32="",$C32="",$D32="",$C32&gt;CA$6,$D32&lt;CA$9),"",IF($J32="里程碑","◆",""))</f>
        <v/>
      </c>
      <c r="CB32" s="8" t="str">
        <f>IF(OR($A32="",$C32="",$D32="",$C32&gt;CB$6,$D32&lt;CB$9),"",IF($J32="里程碑","◆",""))</f>
        <v/>
      </c>
      <c r="CC32" s="8" t="str">
        <f>IF(OR($A32="",$C32="",$D32="",$C32&gt;CC$6,$D32&lt;CC$9),"",IF($J32="里程碑","◆",""))</f>
        <v/>
      </c>
      <c r="CD32" s="8" t="str">
        <f>IF(OR($A32="",$C32="",$D32="",$C32&gt;CD$6,$D32&lt;CD$9),"",IF($J32="里程碑","◆",""))</f>
        <v/>
      </c>
      <c r="CE32" s="8" t="str">
        <f>IF(OR($A32="",$C32="",$D32="",$C32&gt;CE$6,$D32&lt;CE$9),"",IF($J32="里程碑","◆",""))</f>
        <v/>
      </c>
      <c r="CF32" s="8" t="str">
        <f>IF(OR($A32="",$C32="",$D32="",$C32&gt;CF$6,$D32&lt;CF$9),"",IF($J32="里程碑","◆",""))</f>
        <v/>
      </c>
      <c r="CG32" s="8" t="str">
        <f>IF(OR($A32="",$C32="",$D32="",$C32&gt;CG$6,$D32&lt;CG$9),"",IF($J32="里程碑","◆",""))</f>
        <v/>
      </c>
      <c r="CH32" s="8" t="str">
        <f>IF(OR($A32="",$C32="",$D32="",$C32&gt;CH$6,$D32&lt;CH$9),"",IF($J32="里程碑","◆",""))</f>
        <v/>
      </c>
      <c r="CI32" s="8" t="str">
        <f>IF(OR($A32="",$C32="",$D32="",$C32&gt;CI$6,$D32&lt;CI$9),"",IF($J32="里程碑","◆",""))</f>
        <v/>
      </c>
      <c r="CJ32" s="8" t="str">
        <f>IF(OR($A32="",$C32="",$D32="",$C32&gt;CJ$6,$D32&lt;CJ$9),"",IF($J32="里程碑","◆",""))</f>
        <v/>
      </c>
      <c r="CK32" s="8" t="str">
        <f>IF(OR($A32="",$C32="",$D32="",$C32&gt;CK$6,$D32&lt;CK$9),"",IF($J32="里程碑","◆",""))</f>
        <v/>
      </c>
      <c r="CL32" s="8" t="str">
        <f>IF(OR($A32="",$C32="",$D32="",$C32&gt;CL$6,$D32&lt;CL$9),"",IF($J32="里程碑","◆",""))</f>
        <v/>
      </c>
      <c r="CM32" s="8" t="str">
        <f>IF(OR($A32="",$C32="",$D32="",$C32&gt;CM$6,$D32&lt;CM$9),"",IF($J32="里程碑","◆",""))</f>
        <v/>
      </c>
      <c r="CN32" s="8" t="str">
        <f>IF(OR($A32="",$C32="",$D32="",$C32&gt;CN$6,$D32&lt;CN$9),"",IF($J32="里程碑","◆",""))</f>
        <v/>
      </c>
      <c r="CO32" s="8" t="str">
        <f>IF(OR($A32="",$C32="",$D32="",$C32&gt;CO$6,$D32&lt;CO$9),"",IF($J32="里程碑","◆",""))</f>
        <v/>
      </c>
      <c r="CP32" s="8" t="str">
        <f>IF(OR($A32="",$C32="",$D32="",$C32&gt;CP$6,$D32&lt;CP$9),"",IF($J32="里程碑","◆",""))</f>
        <v/>
      </c>
      <c r="CQ32" s="8" t="str">
        <f>IF(OR($A32="",$C32="",$D32="",$C32&gt;CQ$6,$D32&lt;CQ$9),"",IF($J32="里程碑","◆",""))</f>
        <v/>
      </c>
      <c r="CR32" s="8" t="str">
        <f>IF(OR($A32="",$C32="",$D32="",$C32&gt;CR$6,$D32&lt;CR$9),"",IF($J32="里程碑","◆",""))</f>
        <v/>
      </c>
      <c r="CS32" s="8" t="str">
        <f>IF(OR($A32="",$C32="",$D32="",$C32&gt;CS$6,$D32&lt;CS$9),"",IF($J32="里程碑","◆",""))</f>
        <v/>
      </c>
      <c r="CT32" s="8" t="str">
        <f>IF(OR($A32="",$C32="",$D32="",$C32&gt;CT$6,$D32&lt;CT$9),"",IF($J32="里程碑","◆",""))</f>
        <v/>
      </c>
      <c r="CU32" s="8" t="str">
        <f>IF(OR($A32="",$C32="",$D32="",$C32&gt;CU$6,$D32&lt;CU$9),"",IF($J32="里程碑","◆",""))</f>
        <v/>
      </c>
      <c r="CV32" s="8" t="str">
        <f>IF(OR($A32="",$C32="",$D32="",$C32&gt;CV$6,$D32&lt;CV$9),"",IF($J32="里程碑","◆",""))</f>
        <v/>
      </c>
      <c r="CW32" s="8" t="str">
        <f>IF(OR($A32="",$C32="",$D32="",$C32&gt;CW$6,$D32&lt;CW$9),"",IF($J32="里程碑","◆",""))</f>
        <v/>
      </c>
      <c r="CX32" s="8" t="str">
        <f>IF(OR($A32="",$C32="",$D32="",$C32&gt;CX$6,$D32&lt;CX$9),"",IF($J32="里程碑","◆",""))</f>
        <v/>
      </c>
      <c r="CY32" s="8" t="str">
        <f>IF(OR($A32="",$C32="",$D32="",$C32&gt;CY$6,$D32&lt;CY$9),"",IF($J32="里程碑","◆",""))</f>
        <v/>
      </c>
      <c r="CZ32" s="8" t="str">
        <f>IF(OR($A32="",$C32="",$D32="",$C32&gt;CZ$6,$D32&lt;CZ$9),"",IF($J32="里程碑","◆",""))</f>
        <v/>
      </c>
      <c r="DA32" s="8" t="str">
        <f>IF(OR($A32="",$C32="",$D32="",$C32&gt;DA$6,$D32&lt;DA$9),"",IF($J32="里程碑","◆",""))</f>
        <v/>
      </c>
      <c r="DB32" s="8" t="str">
        <f>IF(OR($A32="",$C32="",$D32="",$C32&gt;DB$6,$D32&lt;DB$9),"",IF($J32="里程碑","◆",""))</f>
        <v/>
      </c>
      <c r="DC32" s="1" t="str">
        <f>IF(ROW()-9&gt;$DH$3,"",MATCH(ROW()-9,排期计算!$U$10:$U$109,0))</f>
        <v/>
      </c>
      <c r="DD32" s="1" t="str">
        <f>IF($DC32="","",INDEX(排期计算!$L$10:$L$109,$DC32))</f>
        <v/>
      </c>
      <c r="DE32" s="1"/>
      <c r="DF32" s="1"/>
      <c r="DG32" s="1"/>
      <c r="DH32" s="1"/>
      <c r="DI32" s="1"/>
      <c r="DJ32" s="1"/>
      <c r="DK32" s="1"/>
    </row>
    <row r="33" spans="1:115" ht="24.95" customHeight="1">
      <c r="A33" s="9" t="str">
        <f>IF($DC33="","",IF(AND(INDEX(排期计算!$A$10:$A$109,$DC33)="",NOT(ISNUMBER(INDEX(排期计算!$A$10:$A$109,$DC33)))),"",INDEX(排期计算!$A$10:$A$109,$DC33)))</f>
        <v/>
      </c>
      <c r="B33" s="1" t="str">
        <f>IF($DC33="","",REPT("　",$DD33-1)&amp;INDEX(排期计算!$B$10:$B$109,$DC33))</f>
        <v/>
      </c>
      <c r="C33" s="3" t="str">
        <f>IF($DC33="","",IF(AND(INDEX(排期计算!$M$10:$M$109,$DC33)="",NOT(ISNUMBER(INDEX(排期计算!$M$10:$M$109,$DC33)))),"",INDEX(排期计算!$M$10:$M$109,$DC33)))</f>
        <v/>
      </c>
      <c r="D33" s="3" t="str">
        <f>IF($DC33="","",IF(AND(INDEX(排期计算!$N$10:$N$109,$DC33)="",NOT(ISNUMBER(INDEX(排期计算!$N$10:$N$109,$DC33)))),"",INDEX(排期计算!$N$10:$N$109,$DC33)))</f>
        <v/>
      </c>
      <c r="E33" s="1" t="str">
        <f>IF(OR($C33="",$D33=""),"",IF($J33="里程碑",0,NETWORKDAYS($C33,$D33)))</f>
        <v/>
      </c>
      <c r="F33" s="7" t="str">
        <f>IF($DC33="","",IF(AND(INDEX(排期计算!$O$10:$O$109,$DC33)="",NOT(ISNUMBER(INDEX(排期计算!$O$10:$O$109,$DC33)))),"",INDEX(排期计算!$O$10:$O$109,$DC33)))</f>
        <v/>
      </c>
      <c r="G33" s="8" t="str">
        <f>IF($A33="","",IF(OR($C33="",$D33=""),"未排期",IF($F33&gt;=1,"已完成",IF($D33&lt;$B$4,"逾期",IF($C33&gt;$B$4,"未开始","进行中")))))</f>
        <v/>
      </c>
      <c r="H33" s="1" t="str">
        <f>IF($DC33="","",IF(AND(INDEX(排期计算!$C$10:$C$109,$DC33)="",NOT(ISNUMBER(INDEX(排期计算!$C$10:$C$109,$DC33)))),"",INDEX(排期计算!$C$10:$C$109,$DC33)))</f>
        <v/>
      </c>
      <c r="I33" s="1" t="str">
        <f>IF($DC33="","",IF(AND(INDEX(排期计算!$H$10:$H$109,$DC33)="",NOT(ISNUMBER(INDEX(排期计算!$H$10:$H$109,$DC33)))),"",INDEX(排期计算!$H$10:$H$109,$DC33)))</f>
        <v/>
      </c>
      <c r="J33" s="1" t="str">
        <f>IF($DC33="","",IF(AND(INDEX(排期计算!$K$10:$K$109,$DC33)="",NOT(ISNUMBER(INDEX(排期计算!$K$10:$K$109,$DC33)))),"",INDEX(排期计算!$K$10:$K$109,$DC33)))</f>
        <v/>
      </c>
      <c r="K33" s="8" t="str">
        <f>IF(OR($A33="",$C33="",$D33="",$C33&gt;K$6,$D33&lt;K$9),"",IF($J33="里程碑","◆",""))</f>
        <v/>
      </c>
      <c r="L33" s="8" t="str">
        <f>IF(OR($A33="",$C33="",$D33="",$C33&gt;L$6,$D33&lt;L$9),"",IF($J33="里程碑","◆",""))</f>
        <v/>
      </c>
      <c r="M33" s="8" t="str">
        <f>IF(OR($A33="",$C33="",$D33="",$C33&gt;M$6,$D33&lt;M$9),"",IF($J33="里程碑","◆",""))</f>
        <v/>
      </c>
      <c r="N33" s="8" t="str">
        <f>IF(OR($A33="",$C33="",$D33="",$C33&gt;N$6,$D33&lt;N$9),"",IF($J33="里程碑","◆",""))</f>
        <v/>
      </c>
      <c r="O33" s="8" t="str">
        <f>IF(OR($A33="",$C33="",$D33="",$C33&gt;O$6,$D33&lt;O$9),"",IF($J33="里程碑","◆",""))</f>
        <v/>
      </c>
      <c r="P33" s="8" t="str">
        <f>IF(OR($A33="",$C33="",$D33="",$C33&gt;P$6,$D33&lt;P$9),"",IF($J33="里程碑","◆",""))</f>
        <v/>
      </c>
      <c r="Q33" s="8" t="str">
        <f>IF(OR($A33="",$C33="",$D33="",$C33&gt;Q$6,$D33&lt;Q$9),"",IF($J33="里程碑","◆",""))</f>
        <v/>
      </c>
      <c r="R33" s="8" t="str">
        <f>IF(OR($A33="",$C33="",$D33="",$C33&gt;R$6,$D33&lt;R$9),"",IF($J33="里程碑","◆",""))</f>
        <v/>
      </c>
      <c r="S33" s="8" t="str">
        <f>IF(OR($A33="",$C33="",$D33="",$C33&gt;S$6,$D33&lt;S$9),"",IF($J33="里程碑","◆",""))</f>
        <v/>
      </c>
      <c r="T33" s="8" t="str">
        <f>IF(OR($A33="",$C33="",$D33="",$C33&gt;T$6,$D33&lt;T$9),"",IF($J33="里程碑","◆",""))</f>
        <v/>
      </c>
      <c r="U33" s="8" t="str">
        <f>IF(OR($A33="",$C33="",$D33="",$C33&gt;U$6,$D33&lt;U$9),"",IF($J33="里程碑","◆",""))</f>
        <v/>
      </c>
      <c r="V33" s="8" t="str">
        <f>IF(OR($A33="",$C33="",$D33="",$C33&gt;V$6,$D33&lt;V$9),"",IF($J33="里程碑","◆",""))</f>
        <v/>
      </c>
      <c r="W33" s="8" t="str">
        <f>IF(OR($A33="",$C33="",$D33="",$C33&gt;W$6,$D33&lt;W$9),"",IF($J33="里程碑","◆",""))</f>
        <v/>
      </c>
      <c r="X33" s="8" t="str">
        <f>IF(OR($A33="",$C33="",$D33="",$C33&gt;X$6,$D33&lt;X$9),"",IF($J33="里程碑","◆",""))</f>
        <v/>
      </c>
      <c r="Y33" s="8" t="str">
        <f>IF(OR($A33="",$C33="",$D33="",$C33&gt;Y$6,$D33&lt;Y$9),"",IF($J33="里程碑","◆",""))</f>
        <v/>
      </c>
      <c r="Z33" s="8" t="str">
        <f>IF(OR($A33="",$C33="",$D33="",$C33&gt;Z$6,$D33&lt;Z$9),"",IF($J33="里程碑","◆",""))</f>
        <v/>
      </c>
      <c r="AA33" s="8" t="str">
        <f>IF(OR($A33="",$C33="",$D33="",$C33&gt;AA$6,$D33&lt;AA$9),"",IF($J33="里程碑","◆",""))</f>
        <v/>
      </c>
      <c r="AB33" s="8" t="str">
        <f>IF(OR($A33="",$C33="",$D33="",$C33&gt;AB$6,$D33&lt;AB$9),"",IF($J33="里程碑","◆",""))</f>
        <v/>
      </c>
      <c r="AC33" s="8" t="str">
        <f>IF(OR($A33="",$C33="",$D33="",$C33&gt;AC$6,$D33&lt;AC$9),"",IF($J33="里程碑","◆",""))</f>
        <v/>
      </c>
      <c r="AD33" s="8" t="str">
        <f>IF(OR($A33="",$C33="",$D33="",$C33&gt;AD$6,$D33&lt;AD$9),"",IF($J33="里程碑","◆",""))</f>
        <v/>
      </c>
      <c r="AE33" s="8" t="str">
        <f>IF(OR($A33="",$C33="",$D33="",$C33&gt;AE$6,$D33&lt;AE$9),"",IF($J33="里程碑","◆",""))</f>
        <v/>
      </c>
      <c r="AF33" s="8" t="str">
        <f>IF(OR($A33="",$C33="",$D33="",$C33&gt;AF$6,$D33&lt;AF$9),"",IF($J33="里程碑","◆",""))</f>
        <v/>
      </c>
      <c r="AG33" s="8" t="str">
        <f>IF(OR($A33="",$C33="",$D33="",$C33&gt;AG$6,$D33&lt;AG$9),"",IF($J33="里程碑","◆",""))</f>
        <v/>
      </c>
      <c r="AH33" s="8" t="str">
        <f>IF(OR($A33="",$C33="",$D33="",$C33&gt;AH$6,$D33&lt;AH$9),"",IF($J33="里程碑","◆",""))</f>
        <v/>
      </c>
      <c r="AI33" s="8" t="str">
        <f>IF(OR($A33="",$C33="",$D33="",$C33&gt;AI$6,$D33&lt;AI$9),"",IF($J33="里程碑","◆",""))</f>
        <v/>
      </c>
      <c r="AJ33" s="8" t="str">
        <f>IF(OR($A33="",$C33="",$D33="",$C33&gt;AJ$6,$D33&lt;AJ$9),"",IF($J33="里程碑","◆",""))</f>
        <v/>
      </c>
      <c r="AK33" s="8" t="str">
        <f>IF(OR($A33="",$C33="",$D33="",$C33&gt;AK$6,$D33&lt;AK$9),"",IF($J33="里程碑","◆",""))</f>
        <v/>
      </c>
      <c r="AL33" s="8" t="str">
        <f>IF(OR($A33="",$C33="",$D33="",$C33&gt;AL$6,$D33&lt;AL$9),"",IF($J33="里程碑","◆",""))</f>
        <v/>
      </c>
      <c r="AM33" s="8" t="str">
        <f>IF(OR($A33="",$C33="",$D33="",$C33&gt;AM$6,$D33&lt;AM$9),"",IF($J33="里程碑","◆",""))</f>
        <v/>
      </c>
      <c r="AN33" s="8" t="str">
        <f>IF(OR($A33="",$C33="",$D33="",$C33&gt;AN$6,$D33&lt;AN$9),"",IF($J33="里程碑","◆",""))</f>
        <v/>
      </c>
      <c r="AO33" s="8" t="str">
        <f>IF(OR($A33="",$C33="",$D33="",$C33&gt;AO$6,$D33&lt;AO$9),"",IF($J33="里程碑","◆",""))</f>
        <v/>
      </c>
      <c r="AP33" s="8" t="str">
        <f>IF(OR($A33="",$C33="",$D33="",$C33&gt;AP$6,$D33&lt;AP$9),"",IF($J33="里程碑","◆",""))</f>
        <v/>
      </c>
      <c r="AQ33" s="8" t="str">
        <f>IF(OR($A33="",$C33="",$D33="",$C33&gt;AQ$6,$D33&lt;AQ$9),"",IF($J33="里程碑","◆",""))</f>
        <v/>
      </c>
      <c r="AR33" s="8" t="str">
        <f>IF(OR($A33="",$C33="",$D33="",$C33&gt;AR$6,$D33&lt;AR$9),"",IF($J33="里程碑","◆",""))</f>
        <v/>
      </c>
      <c r="AS33" s="8" t="str">
        <f>IF(OR($A33="",$C33="",$D33="",$C33&gt;AS$6,$D33&lt;AS$9),"",IF($J33="里程碑","◆",""))</f>
        <v/>
      </c>
      <c r="AT33" s="8" t="str">
        <f>IF(OR($A33="",$C33="",$D33="",$C33&gt;AT$6,$D33&lt;AT$9),"",IF($J33="里程碑","◆",""))</f>
        <v/>
      </c>
      <c r="AU33" s="8" t="str">
        <f>IF(OR($A33="",$C33="",$D33="",$C33&gt;AU$6,$D33&lt;AU$9),"",IF($J33="里程碑","◆",""))</f>
        <v/>
      </c>
      <c r="AV33" s="8" t="str">
        <f>IF(OR($A33="",$C33="",$D33="",$C33&gt;AV$6,$D33&lt;AV$9),"",IF($J33="里程碑","◆",""))</f>
        <v/>
      </c>
      <c r="AW33" s="8" t="str">
        <f>IF(OR($A33="",$C33="",$D33="",$C33&gt;AW$6,$D33&lt;AW$9),"",IF($J33="里程碑","◆",""))</f>
        <v/>
      </c>
      <c r="AX33" s="8" t="str">
        <f>IF(OR($A33="",$C33="",$D33="",$C33&gt;AX$6,$D33&lt;AX$9),"",IF($J33="里程碑","◆",""))</f>
        <v/>
      </c>
      <c r="AY33" s="8" t="str">
        <f>IF(OR($A33="",$C33="",$D33="",$C33&gt;AY$6,$D33&lt;AY$9),"",IF($J33="里程碑","◆",""))</f>
        <v/>
      </c>
      <c r="AZ33" s="8" t="str">
        <f>IF(OR($A33="",$C33="",$D33="",$C33&gt;AZ$6,$D33&lt;AZ$9),"",IF($J33="里程碑","◆",""))</f>
        <v/>
      </c>
      <c r="BA33" s="8" t="str">
        <f>IF(OR($A33="",$C33="",$D33="",$C33&gt;BA$6,$D33&lt;BA$9),"",IF($J33="里程碑","◆",""))</f>
        <v/>
      </c>
      <c r="BB33" s="8" t="str">
        <f>IF(OR($A33="",$C33="",$D33="",$C33&gt;BB$6,$D33&lt;BB$9),"",IF($J33="里程碑","◆",""))</f>
        <v/>
      </c>
      <c r="BC33" s="8" t="str">
        <f>IF(OR($A33="",$C33="",$D33="",$C33&gt;BC$6,$D33&lt;BC$9),"",IF($J33="里程碑","◆",""))</f>
        <v/>
      </c>
      <c r="BD33" s="8" t="str">
        <f>IF(OR($A33="",$C33="",$D33="",$C33&gt;BD$6,$D33&lt;BD$9),"",IF($J33="里程碑","◆",""))</f>
        <v/>
      </c>
      <c r="BE33" s="8" t="str">
        <f>IF(OR($A33="",$C33="",$D33="",$C33&gt;BE$6,$D33&lt;BE$9),"",IF($J33="里程碑","◆",""))</f>
        <v/>
      </c>
      <c r="BF33" s="8" t="str">
        <f>IF(OR($A33="",$C33="",$D33="",$C33&gt;BF$6,$D33&lt;BF$9),"",IF($J33="里程碑","◆",""))</f>
        <v/>
      </c>
      <c r="BG33" s="8" t="str">
        <f>IF(OR($A33="",$C33="",$D33="",$C33&gt;BG$6,$D33&lt;BG$9),"",IF($J33="里程碑","◆",""))</f>
        <v/>
      </c>
      <c r="BH33" s="8" t="str">
        <f>IF(OR($A33="",$C33="",$D33="",$C33&gt;BH$6,$D33&lt;BH$9),"",IF($J33="里程碑","◆",""))</f>
        <v/>
      </c>
      <c r="BI33" s="8" t="str">
        <f>IF(OR($A33="",$C33="",$D33="",$C33&gt;BI$6,$D33&lt;BI$9),"",IF($J33="里程碑","◆",""))</f>
        <v/>
      </c>
      <c r="BJ33" s="8" t="str">
        <f>IF(OR($A33="",$C33="",$D33="",$C33&gt;BJ$6,$D33&lt;BJ$9),"",IF($J33="里程碑","◆",""))</f>
        <v/>
      </c>
      <c r="BK33" s="8" t="str">
        <f>IF(OR($A33="",$C33="",$D33="",$C33&gt;BK$6,$D33&lt;BK$9),"",IF($J33="里程碑","◆",""))</f>
        <v/>
      </c>
      <c r="BL33" s="8" t="str">
        <f>IF(OR($A33="",$C33="",$D33="",$C33&gt;BL$6,$D33&lt;BL$9),"",IF($J33="里程碑","◆",""))</f>
        <v/>
      </c>
      <c r="BM33" s="8" t="str">
        <f>IF(OR($A33="",$C33="",$D33="",$C33&gt;BM$6,$D33&lt;BM$9),"",IF($J33="里程碑","◆",""))</f>
        <v/>
      </c>
      <c r="BN33" s="8" t="str">
        <f>IF(OR($A33="",$C33="",$D33="",$C33&gt;BN$6,$D33&lt;BN$9),"",IF($J33="里程碑","◆",""))</f>
        <v/>
      </c>
      <c r="BO33" s="8" t="str">
        <f>IF(OR($A33="",$C33="",$D33="",$C33&gt;BO$6,$D33&lt;BO$9),"",IF($J33="里程碑","◆",""))</f>
        <v/>
      </c>
      <c r="BP33" s="8" t="str">
        <f>IF(OR($A33="",$C33="",$D33="",$C33&gt;BP$6,$D33&lt;BP$9),"",IF($J33="里程碑","◆",""))</f>
        <v/>
      </c>
      <c r="BQ33" s="8" t="str">
        <f>IF(OR($A33="",$C33="",$D33="",$C33&gt;BQ$6,$D33&lt;BQ$9),"",IF($J33="里程碑","◆",""))</f>
        <v/>
      </c>
      <c r="BR33" s="8" t="str">
        <f>IF(OR($A33="",$C33="",$D33="",$C33&gt;BR$6,$D33&lt;BR$9),"",IF($J33="里程碑","◆",""))</f>
        <v/>
      </c>
      <c r="BS33" s="8" t="str">
        <f>IF(OR($A33="",$C33="",$D33="",$C33&gt;BS$6,$D33&lt;BS$9),"",IF($J33="里程碑","◆",""))</f>
        <v/>
      </c>
      <c r="BT33" s="8" t="str">
        <f>IF(OR($A33="",$C33="",$D33="",$C33&gt;BT$6,$D33&lt;BT$9),"",IF($J33="里程碑","◆",""))</f>
        <v/>
      </c>
      <c r="BU33" s="8" t="str">
        <f>IF(OR($A33="",$C33="",$D33="",$C33&gt;BU$6,$D33&lt;BU$9),"",IF($J33="里程碑","◆",""))</f>
        <v/>
      </c>
      <c r="BV33" s="8" t="str">
        <f>IF(OR($A33="",$C33="",$D33="",$C33&gt;BV$6,$D33&lt;BV$9),"",IF($J33="里程碑","◆",""))</f>
        <v/>
      </c>
      <c r="BW33" s="8" t="str">
        <f>IF(OR($A33="",$C33="",$D33="",$C33&gt;BW$6,$D33&lt;BW$9),"",IF($J33="里程碑","◆",""))</f>
        <v/>
      </c>
      <c r="BX33" s="8" t="str">
        <f>IF(OR($A33="",$C33="",$D33="",$C33&gt;BX$6,$D33&lt;BX$9),"",IF($J33="里程碑","◆",""))</f>
        <v/>
      </c>
      <c r="BY33" s="8" t="str">
        <f>IF(OR($A33="",$C33="",$D33="",$C33&gt;BY$6,$D33&lt;BY$9),"",IF($J33="里程碑","◆",""))</f>
        <v/>
      </c>
      <c r="BZ33" s="8" t="str">
        <f>IF(OR($A33="",$C33="",$D33="",$C33&gt;BZ$6,$D33&lt;BZ$9),"",IF($J33="里程碑","◆",""))</f>
        <v/>
      </c>
      <c r="CA33" s="8" t="str">
        <f>IF(OR($A33="",$C33="",$D33="",$C33&gt;CA$6,$D33&lt;CA$9),"",IF($J33="里程碑","◆",""))</f>
        <v/>
      </c>
      <c r="CB33" s="8" t="str">
        <f>IF(OR($A33="",$C33="",$D33="",$C33&gt;CB$6,$D33&lt;CB$9),"",IF($J33="里程碑","◆",""))</f>
        <v/>
      </c>
      <c r="CC33" s="8" t="str">
        <f>IF(OR($A33="",$C33="",$D33="",$C33&gt;CC$6,$D33&lt;CC$9),"",IF($J33="里程碑","◆",""))</f>
        <v/>
      </c>
      <c r="CD33" s="8" t="str">
        <f>IF(OR($A33="",$C33="",$D33="",$C33&gt;CD$6,$D33&lt;CD$9),"",IF($J33="里程碑","◆",""))</f>
        <v/>
      </c>
      <c r="CE33" s="8" t="str">
        <f>IF(OR($A33="",$C33="",$D33="",$C33&gt;CE$6,$D33&lt;CE$9),"",IF($J33="里程碑","◆",""))</f>
        <v/>
      </c>
      <c r="CF33" s="8" t="str">
        <f>IF(OR($A33="",$C33="",$D33="",$C33&gt;CF$6,$D33&lt;CF$9),"",IF($J33="里程碑","◆",""))</f>
        <v/>
      </c>
      <c r="CG33" s="8" t="str">
        <f>IF(OR($A33="",$C33="",$D33="",$C33&gt;CG$6,$D33&lt;CG$9),"",IF($J33="里程碑","◆",""))</f>
        <v/>
      </c>
      <c r="CH33" s="8" t="str">
        <f>IF(OR($A33="",$C33="",$D33="",$C33&gt;CH$6,$D33&lt;CH$9),"",IF($J33="里程碑","◆",""))</f>
        <v/>
      </c>
      <c r="CI33" s="8" t="str">
        <f>IF(OR($A33="",$C33="",$D33="",$C33&gt;CI$6,$D33&lt;CI$9),"",IF($J33="里程碑","◆",""))</f>
        <v/>
      </c>
      <c r="CJ33" s="8" t="str">
        <f>IF(OR($A33="",$C33="",$D33="",$C33&gt;CJ$6,$D33&lt;CJ$9),"",IF($J33="里程碑","◆",""))</f>
        <v/>
      </c>
      <c r="CK33" s="8" t="str">
        <f>IF(OR($A33="",$C33="",$D33="",$C33&gt;CK$6,$D33&lt;CK$9),"",IF($J33="里程碑","◆",""))</f>
        <v/>
      </c>
      <c r="CL33" s="8" t="str">
        <f>IF(OR($A33="",$C33="",$D33="",$C33&gt;CL$6,$D33&lt;CL$9),"",IF($J33="里程碑","◆",""))</f>
        <v/>
      </c>
      <c r="CM33" s="8" t="str">
        <f>IF(OR($A33="",$C33="",$D33="",$C33&gt;CM$6,$D33&lt;CM$9),"",IF($J33="里程碑","◆",""))</f>
        <v/>
      </c>
      <c r="CN33" s="8" t="str">
        <f>IF(OR($A33="",$C33="",$D33="",$C33&gt;CN$6,$D33&lt;CN$9),"",IF($J33="里程碑","◆",""))</f>
        <v/>
      </c>
      <c r="CO33" s="8" t="str">
        <f>IF(OR($A33="",$C33="",$D33="",$C33&gt;CO$6,$D33&lt;CO$9),"",IF($J33="里程碑","◆",""))</f>
        <v/>
      </c>
      <c r="CP33" s="8" t="str">
        <f>IF(OR($A33="",$C33="",$D33="",$C33&gt;CP$6,$D33&lt;CP$9),"",IF($J33="里程碑","◆",""))</f>
        <v/>
      </c>
      <c r="CQ33" s="8" t="str">
        <f>IF(OR($A33="",$C33="",$D33="",$C33&gt;CQ$6,$D33&lt;CQ$9),"",IF($J33="里程碑","◆",""))</f>
        <v/>
      </c>
      <c r="CR33" s="8" t="str">
        <f>IF(OR($A33="",$C33="",$D33="",$C33&gt;CR$6,$D33&lt;CR$9),"",IF($J33="里程碑","◆",""))</f>
        <v/>
      </c>
      <c r="CS33" s="8" t="str">
        <f>IF(OR($A33="",$C33="",$D33="",$C33&gt;CS$6,$D33&lt;CS$9),"",IF($J33="里程碑","◆",""))</f>
        <v/>
      </c>
      <c r="CT33" s="8" t="str">
        <f>IF(OR($A33="",$C33="",$D33="",$C33&gt;CT$6,$D33&lt;CT$9),"",IF($J33="里程碑","◆",""))</f>
        <v/>
      </c>
      <c r="CU33" s="8" t="str">
        <f>IF(OR($A33="",$C33="",$D33="",$C33&gt;CU$6,$D33&lt;CU$9),"",IF($J33="里程碑","◆",""))</f>
        <v/>
      </c>
      <c r="CV33" s="8" t="str">
        <f>IF(OR($A33="",$C33="",$D33="",$C33&gt;CV$6,$D33&lt;CV$9),"",IF($J33="里程碑","◆",""))</f>
        <v/>
      </c>
      <c r="CW33" s="8" t="str">
        <f>IF(OR($A33="",$C33="",$D33="",$C33&gt;CW$6,$D33&lt;CW$9),"",IF($J33="里程碑","◆",""))</f>
        <v/>
      </c>
      <c r="CX33" s="8" t="str">
        <f>IF(OR($A33="",$C33="",$D33="",$C33&gt;CX$6,$D33&lt;CX$9),"",IF($J33="里程碑","◆",""))</f>
        <v/>
      </c>
      <c r="CY33" s="8" t="str">
        <f>IF(OR($A33="",$C33="",$D33="",$C33&gt;CY$6,$D33&lt;CY$9),"",IF($J33="里程碑","◆",""))</f>
        <v/>
      </c>
      <c r="CZ33" s="8" t="str">
        <f>IF(OR($A33="",$C33="",$D33="",$C33&gt;CZ$6,$D33&lt;CZ$9),"",IF($J33="里程碑","◆",""))</f>
        <v/>
      </c>
      <c r="DA33" s="8" t="str">
        <f>IF(OR($A33="",$C33="",$D33="",$C33&gt;DA$6,$D33&lt;DA$9),"",IF($J33="里程碑","◆",""))</f>
        <v/>
      </c>
      <c r="DB33" s="8" t="str">
        <f>IF(OR($A33="",$C33="",$D33="",$C33&gt;DB$6,$D33&lt;DB$9),"",IF($J33="里程碑","◆",""))</f>
        <v/>
      </c>
      <c r="DC33" s="1" t="str">
        <f>IF(ROW()-9&gt;$DH$3,"",MATCH(ROW()-9,排期计算!$U$10:$U$109,0))</f>
        <v/>
      </c>
      <c r="DD33" s="1" t="str">
        <f>IF($DC33="","",INDEX(排期计算!$L$10:$L$109,$DC33))</f>
        <v/>
      </c>
      <c r="DE33" s="1"/>
      <c r="DF33" s="1"/>
      <c r="DG33" s="1"/>
      <c r="DH33" s="1"/>
      <c r="DI33" s="1"/>
      <c r="DJ33" s="1"/>
      <c r="DK33" s="1"/>
    </row>
    <row r="34" spans="1:115" ht="24.95" customHeight="1">
      <c r="A34" s="9" t="str">
        <f>IF($DC34="","",IF(AND(INDEX(排期计算!$A$10:$A$109,$DC34)="",NOT(ISNUMBER(INDEX(排期计算!$A$10:$A$109,$DC34)))),"",INDEX(排期计算!$A$10:$A$109,$DC34)))</f>
        <v/>
      </c>
      <c r="B34" s="1" t="str">
        <f>IF($DC34="","",REPT("　",$DD34-1)&amp;INDEX(排期计算!$B$10:$B$109,$DC34))</f>
        <v/>
      </c>
      <c r="C34" s="3" t="str">
        <f>IF($DC34="","",IF(AND(INDEX(排期计算!$M$10:$M$109,$DC34)="",NOT(ISNUMBER(INDEX(排期计算!$M$10:$M$109,$DC34)))),"",INDEX(排期计算!$M$10:$M$109,$DC34)))</f>
        <v/>
      </c>
      <c r="D34" s="3" t="str">
        <f>IF($DC34="","",IF(AND(INDEX(排期计算!$N$10:$N$109,$DC34)="",NOT(ISNUMBER(INDEX(排期计算!$N$10:$N$109,$DC34)))),"",INDEX(排期计算!$N$10:$N$109,$DC34)))</f>
        <v/>
      </c>
      <c r="E34" s="1" t="str">
        <f>IF(OR($C34="",$D34=""),"",IF($J34="里程碑",0,NETWORKDAYS($C34,$D34)))</f>
        <v/>
      </c>
      <c r="F34" s="7" t="str">
        <f>IF($DC34="","",IF(AND(INDEX(排期计算!$O$10:$O$109,$DC34)="",NOT(ISNUMBER(INDEX(排期计算!$O$10:$O$109,$DC34)))),"",INDEX(排期计算!$O$10:$O$109,$DC34)))</f>
        <v/>
      </c>
      <c r="G34" s="8" t="str">
        <f>IF($A34="","",IF(OR($C34="",$D34=""),"未排期",IF($F34&gt;=1,"已完成",IF($D34&lt;$B$4,"逾期",IF($C34&gt;$B$4,"未开始","进行中")))))</f>
        <v/>
      </c>
      <c r="H34" s="1" t="str">
        <f>IF($DC34="","",IF(AND(INDEX(排期计算!$C$10:$C$109,$DC34)="",NOT(ISNUMBER(INDEX(排期计算!$C$10:$C$109,$DC34)))),"",INDEX(排期计算!$C$10:$C$109,$DC34)))</f>
        <v/>
      </c>
      <c r="I34" s="1" t="str">
        <f>IF($DC34="","",IF(AND(INDEX(排期计算!$H$10:$H$109,$DC34)="",NOT(ISNUMBER(INDEX(排期计算!$H$10:$H$109,$DC34)))),"",INDEX(排期计算!$H$10:$H$109,$DC34)))</f>
        <v/>
      </c>
      <c r="J34" s="1" t="str">
        <f>IF($DC34="","",IF(AND(INDEX(排期计算!$K$10:$K$109,$DC34)="",NOT(ISNUMBER(INDEX(排期计算!$K$10:$K$109,$DC34)))),"",INDEX(排期计算!$K$10:$K$109,$DC34)))</f>
        <v/>
      </c>
      <c r="K34" s="8" t="str">
        <f>IF(OR($A34="",$C34="",$D34="",$C34&gt;K$6,$D34&lt;K$9),"",IF($J34="里程碑","◆",""))</f>
        <v/>
      </c>
      <c r="L34" s="8" t="str">
        <f>IF(OR($A34="",$C34="",$D34="",$C34&gt;L$6,$D34&lt;L$9),"",IF($J34="里程碑","◆",""))</f>
        <v/>
      </c>
      <c r="M34" s="8" t="str">
        <f>IF(OR($A34="",$C34="",$D34="",$C34&gt;M$6,$D34&lt;M$9),"",IF($J34="里程碑","◆",""))</f>
        <v/>
      </c>
      <c r="N34" s="8" t="str">
        <f>IF(OR($A34="",$C34="",$D34="",$C34&gt;N$6,$D34&lt;N$9),"",IF($J34="里程碑","◆",""))</f>
        <v/>
      </c>
      <c r="O34" s="8" t="str">
        <f>IF(OR($A34="",$C34="",$D34="",$C34&gt;O$6,$D34&lt;O$9),"",IF($J34="里程碑","◆",""))</f>
        <v/>
      </c>
      <c r="P34" s="8" t="str">
        <f>IF(OR($A34="",$C34="",$D34="",$C34&gt;P$6,$D34&lt;P$9),"",IF($J34="里程碑","◆",""))</f>
        <v/>
      </c>
      <c r="Q34" s="8" t="str">
        <f>IF(OR($A34="",$C34="",$D34="",$C34&gt;Q$6,$D34&lt;Q$9),"",IF($J34="里程碑","◆",""))</f>
        <v/>
      </c>
      <c r="R34" s="8" t="str">
        <f>IF(OR($A34="",$C34="",$D34="",$C34&gt;R$6,$D34&lt;R$9),"",IF($J34="里程碑","◆",""))</f>
        <v/>
      </c>
      <c r="S34" s="8" t="str">
        <f>IF(OR($A34="",$C34="",$D34="",$C34&gt;S$6,$D34&lt;S$9),"",IF($J34="里程碑","◆",""))</f>
        <v/>
      </c>
      <c r="T34" s="8" t="str">
        <f>IF(OR($A34="",$C34="",$D34="",$C34&gt;T$6,$D34&lt;T$9),"",IF($J34="里程碑","◆",""))</f>
        <v/>
      </c>
      <c r="U34" s="8" t="str">
        <f>IF(OR($A34="",$C34="",$D34="",$C34&gt;U$6,$D34&lt;U$9),"",IF($J34="里程碑","◆",""))</f>
        <v/>
      </c>
      <c r="V34" s="8" t="str">
        <f>IF(OR($A34="",$C34="",$D34="",$C34&gt;V$6,$D34&lt;V$9),"",IF($J34="里程碑","◆",""))</f>
        <v/>
      </c>
      <c r="W34" s="8" t="str">
        <f>IF(OR($A34="",$C34="",$D34="",$C34&gt;W$6,$D34&lt;W$9),"",IF($J34="里程碑","◆",""))</f>
        <v/>
      </c>
      <c r="X34" s="8" t="str">
        <f>IF(OR($A34="",$C34="",$D34="",$C34&gt;X$6,$D34&lt;X$9),"",IF($J34="里程碑","◆",""))</f>
        <v/>
      </c>
      <c r="Y34" s="8" t="str">
        <f>IF(OR($A34="",$C34="",$D34="",$C34&gt;Y$6,$D34&lt;Y$9),"",IF($J34="里程碑","◆",""))</f>
        <v/>
      </c>
      <c r="Z34" s="8" t="str">
        <f>IF(OR($A34="",$C34="",$D34="",$C34&gt;Z$6,$D34&lt;Z$9),"",IF($J34="里程碑","◆",""))</f>
        <v/>
      </c>
      <c r="AA34" s="8" t="str">
        <f>IF(OR($A34="",$C34="",$D34="",$C34&gt;AA$6,$D34&lt;AA$9),"",IF($J34="里程碑","◆",""))</f>
        <v/>
      </c>
      <c r="AB34" s="8" t="str">
        <f>IF(OR($A34="",$C34="",$D34="",$C34&gt;AB$6,$D34&lt;AB$9),"",IF($J34="里程碑","◆",""))</f>
        <v/>
      </c>
      <c r="AC34" s="8" t="str">
        <f>IF(OR($A34="",$C34="",$D34="",$C34&gt;AC$6,$D34&lt;AC$9),"",IF($J34="里程碑","◆",""))</f>
        <v/>
      </c>
      <c r="AD34" s="8" t="str">
        <f>IF(OR($A34="",$C34="",$D34="",$C34&gt;AD$6,$D34&lt;AD$9),"",IF($J34="里程碑","◆",""))</f>
        <v/>
      </c>
      <c r="AE34" s="8" t="str">
        <f>IF(OR($A34="",$C34="",$D34="",$C34&gt;AE$6,$D34&lt;AE$9),"",IF($J34="里程碑","◆",""))</f>
        <v/>
      </c>
      <c r="AF34" s="8" t="str">
        <f>IF(OR($A34="",$C34="",$D34="",$C34&gt;AF$6,$D34&lt;AF$9),"",IF($J34="里程碑","◆",""))</f>
        <v/>
      </c>
      <c r="AG34" s="8" t="str">
        <f>IF(OR($A34="",$C34="",$D34="",$C34&gt;AG$6,$D34&lt;AG$9),"",IF($J34="里程碑","◆",""))</f>
        <v/>
      </c>
      <c r="AH34" s="8" t="str">
        <f>IF(OR($A34="",$C34="",$D34="",$C34&gt;AH$6,$D34&lt;AH$9),"",IF($J34="里程碑","◆",""))</f>
        <v/>
      </c>
      <c r="AI34" s="8" t="str">
        <f>IF(OR($A34="",$C34="",$D34="",$C34&gt;AI$6,$D34&lt;AI$9),"",IF($J34="里程碑","◆",""))</f>
        <v/>
      </c>
      <c r="AJ34" s="8" t="str">
        <f>IF(OR($A34="",$C34="",$D34="",$C34&gt;AJ$6,$D34&lt;AJ$9),"",IF($J34="里程碑","◆",""))</f>
        <v/>
      </c>
      <c r="AK34" s="8" t="str">
        <f>IF(OR($A34="",$C34="",$D34="",$C34&gt;AK$6,$D34&lt;AK$9),"",IF($J34="里程碑","◆",""))</f>
        <v/>
      </c>
      <c r="AL34" s="8" t="str">
        <f>IF(OR($A34="",$C34="",$D34="",$C34&gt;AL$6,$D34&lt;AL$9),"",IF($J34="里程碑","◆",""))</f>
        <v/>
      </c>
      <c r="AM34" s="8" t="str">
        <f>IF(OR($A34="",$C34="",$D34="",$C34&gt;AM$6,$D34&lt;AM$9),"",IF($J34="里程碑","◆",""))</f>
        <v/>
      </c>
      <c r="AN34" s="8" t="str">
        <f>IF(OR($A34="",$C34="",$D34="",$C34&gt;AN$6,$D34&lt;AN$9),"",IF($J34="里程碑","◆",""))</f>
        <v/>
      </c>
      <c r="AO34" s="8" t="str">
        <f>IF(OR($A34="",$C34="",$D34="",$C34&gt;AO$6,$D34&lt;AO$9),"",IF($J34="里程碑","◆",""))</f>
        <v/>
      </c>
      <c r="AP34" s="8" t="str">
        <f>IF(OR($A34="",$C34="",$D34="",$C34&gt;AP$6,$D34&lt;AP$9),"",IF($J34="里程碑","◆",""))</f>
        <v/>
      </c>
      <c r="AQ34" s="8" t="str">
        <f>IF(OR($A34="",$C34="",$D34="",$C34&gt;AQ$6,$D34&lt;AQ$9),"",IF($J34="里程碑","◆",""))</f>
        <v/>
      </c>
      <c r="AR34" s="8" t="str">
        <f>IF(OR($A34="",$C34="",$D34="",$C34&gt;AR$6,$D34&lt;AR$9),"",IF($J34="里程碑","◆",""))</f>
        <v/>
      </c>
      <c r="AS34" s="8" t="str">
        <f>IF(OR($A34="",$C34="",$D34="",$C34&gt;AS$6,$D34&lt;AS$9),"",IF($J34="里程碑","◆",""))</f>
        <v/>
      </c>
      <c r="AT34" s="8" t="str">
        <f>IF(OR($A34="",$C34="",$D34="",$C34&gt;AT$6,$D34&lt;AT$9),"",IF($J34="里程碑","◆",""))</f>
        <v/>
      </c>
      <c r="AU34" s="8" t="str">
        <f>IF(OR($A34="",$C34="",$D34="",$C34&gt;AU$6,$D34&lt;AU$9),"",IF($J34="里程碑","◆",""))</f>
        <v/>
      </c>
      <c r="AV34" s="8" t="str">
        <f>IF(OR($A34="",$C34="",$D34="",$C34&gt;AV$6,$D34&lt;AV$9),"",IF($J34="里程碑","◆",""))</f>
        <v/>
      </c>
      <c r="AW34" s="8" t="str">
        <f>IF(OR($A34="",$C34="",$D34="",$C34&gt;AW$6,$D34&lt;AW$9),"",IF($J34="里程碑","◆",""))</f>
        <v/>
      </c>
      <c r="AX34" s="8" t="str">
        <f>IF(OR($A34="",$C34="",$D34="",$C34&gt;AX$6,$D34&lt;AX$9),"",IF($J34="里程碑","◆",""))</f>
        <v/>
      </c>
      <c r="AY34" s="8" t="str">
        <f>IF(OR($A34="",$C34="",$D34="",$C34&gt;AY$6,$D34&lt;AY$9),"",IF($J34="里程碑","◆",""))</f>
        <v/>
      </c>
      <c r="AZ34" s="8" t="str">
        <f>IF(OR($A34="",$C34="",$D34="",$C34&gt;AZ$6,$D34&lt;AZ$9),"",IF($J34="里程碑","◆",""))</f>
        <v/>
      </c>
      <c r="BA34" s="8" t="str">
        <f>IF(OR($A34="",$C34="",$D34="",$C34&gt;BA$6,$D34&lt;BA$9),"",IF($J34="里程碑","◆",""))</f>
        <v/>
      </c>
      <c r="BB34" s="8" t="str">
        <f>IF(OR($A34="",$C34="",$D34="",$C34&gt;BB$6,$D34&lt;BB$9),"",IF($J34="里程碑","◆",""))</f>
        <v/>
      </c>
      <c r="BC34" s="8" t="str">
        <f>IF(OR($A34="",$C34="",$D34="",$C34&gt;BC$6,$D34&lt;BC$9),"",IF($J34="里程碑","◆",""))</f>
        <v/>
      </c>
      <c r="BD34" s="8" t="str">
        <f>IF(OR($A34="",$C34="",$D34="",$C34&gt;BD$6,$D34&lt;BD$9),"",IF($J34="里程碑","◆",""))</f>
        <v/>
      </c>
      <c r="BE34" s="8" t="str">
        <f>IF(OR($A34="",$C34="",$D34="",$C34&gt;BE$6,$D34&lt;BE$9),"",IF($J34="里程碑","◆",""))</f>
        <v/>
      </c>
      <c r="BF34" s="8" t="str">
        <f>IF(OR($A34="",$C34="",$D34="",$C34&gt;BF$6,$D34&lt;BF$9),"",IF($J34="里程碑","◆",""))</f>
        <v/>
      </c>
      <c r="BG34" s="8" t="str">
        <f>IF(OR($A34="",$C34="",$D34="",$C34&gt;BG$6,$D34&lt;BG$9),"",IF($J34="里程碑","◆",""))</f>
        <v/>
      </c>
      <c r="BH34" s="8" t="str">
        <f>IF(OR($A34="",$C34="",$D34="",$C34&gt;BH$6,$D34&lt;BH$9),"",IF($J34="里程碑","◆",""))</f>
        <v/>
      </c>
      <c r="BI34" s="8" t="str">
        <f>IF(OR($A34="",$C34="",$D34="",$C34&gt;BI$6,$D34&lt;BI$9),"",IF($J34="里程碑","◆",""))</f>
        <v/>
      </c>
      <c r="BJ34" s="8" t="str">
        <f>IF(OR($A34="",$C34="",$D34="",$C34&gt;BJ$6,$D34&lt;BJ$9),"",IF($J34="里程碑","◆",""))</f>
        <v/>
      </c>
      <c r="BK34" s="8" t="str">
        <f>IF(OR($A34="",$C34="",$D34="",$C34&gt;BK$6,$D34&lt;BK$9),"",IF($J34="里程碑","◆",""))</f>
        <v/>
      </c>
      <c r="BL34" s="8" t="str">
        <f>IF(OR($A34="",$C34="",$D34="",$C34&gt;BL$6,$D34&lt;BL$9),"",IF($J34="里程碑","◆",""))</f>
        <v/>
      </c>
      <c r="BM34" s="8" t="str">
        <f>IF(OR($A34="",$C34="",$D34="",$C34&gt;BM$6,$D34&lt;BM$9),"",IF($J34="里程碑","◆",""))</f>
        <v/>
      </c>
      <c r="BN34" s="8" t="str">
        <f>IF(OR($A34="",$C34="",$D34="",$C34&gt;BN$6,$D34&lt;BN$9),"",IF($J34="里程碑","◆",""))</f>
        <v/>
      </c>
      <c r="BO34" s="8" t="str">
        <f>IF(OR($A34="",$C34="",$D34="",$C34&gt;BO$6,$D34&lt;BO$9),"",IF($J34="里程碑","◆",""))</f>
        <v/>
      </c>
      <c r="BP34" s="8" t="str">
        <f>IF(OR($A34="",$C34="",$D34="",$C34&gt;BP$6,$D34&lt;BP$9),"",IF($J34="里程碑","◆",""))</f>
        <v/>
      </c>
      <c r="BQ34" s="8" t="str">
        <f>IF(OR($A34="",$C34="",$D34="",$C34&gt;BQ$6,$D34&lt;BQ$9),"",IF($J34="里程碑","◆",""))</f>
        <v/>
      </c>
      <c r="BR34" s="8" t="str">
        <f>IF(OR($A34="",$C34="",$D34="",$C34&gt;BR$6,$D34&lt;BR$9),"",IF($J34="里程碑","◆",""))</f>
        <v/>
      </c>
      <c r="BS34" s="8" t="str">
        <f>IF(OR($A34="",$C34="",$D34="",$C34&gt;BS$6,$D34&lt;BS$9),"",IF($J34="里程碑","◆",""))</f>
        <v/>
      </c>
      <c r="BT34" s="8" t="str">
        <f>IF(OR($A34="",$C34="",$D34="",$C34&gt;BT$6,$D34&lt;BT$9),"",IF($J34="里程碑","◆",""))</f>
        <v/>
      </c>
      <c r="BU34" s="8" t="str">
        <f>IF(OR($A34="",$C34="",$D34="",$C34&gt;BU$6,$D34&lt;BU$9),"",IF($J34="里程碑","◆",""))</f>
        <v/>
      </c>
      <c r="BV34" s="8" t="str">
        <f>IF(OR($A34="",$C34="",$D34="",$C34&gt;BV$6,$D34&lt;BV$9),"",IF($J34="里程碑","◆",""))</f>
        <v/>
      </c>
      <c r="BW34" s="8" t="str">
        <f>IF(OR($A34="",$C34="",$D34="",$C34&gt;BW$6,$D34&lt;BW$9),"",IF($J34="里程碑","◆",""))</f>
        <v/>
      </c>
      <c r="BX34" s="8" t="str">
        <f>IF(OR($A34="",$C34="",$D34="",$C34&gt;BX$6,$D34&lt;BX$9),"",IF($J34="里程碑","◆",""))</f>
        <v/>
      </c>
      <c r="BY34" s="8" t="str">
        <f>IF(OR($A34="",$C34="",$D34="",$C34&gt;BY$6,$D34&lt;BY$9),"",IF($J34="里程碑","◆",""))</f>
        <v/>
      </c>
      <c r="BZ34" s="8" t="str">
        <f>IF(OR($A34="",$C34="",$D34="",$C34&gt;BZ$6,$D34&lt;BZ$9),"",IF($J34="里程碑","◆",""))</f>
        <v/>
      </c>
      <c r="CA34" s="8" t="str">
        <f>IF(OR($A34="",$C34="",$D34="",$C34&gt;CA$6,$D34&lt;CA$9),"",IF($J34="里程碑","◆",""))</f>
        <v/>
      </c>
      <c r="CB34" s="8" t="str">
        <f>IF(OR($A34="",$C34="",$D34="",$C34&gt;CB$6,$D34&lt;CB$9),"",IF($J34="里程碑","◆",""))</f>
        <v/>
      </c>
      <c r="CC34" s="8" t="str">
        <f>IF(OR($A34="",$C34="",$D34="",$C34&gt;CC$6,$D34&lt;CC$9),"",IF($J34="里程碑","◆",""))</f>
        <v/>
      </c>
      <c r="CD34" s="8" t="str">
        <f>IF(OR($A34="",$C34="",$D34="",$C34&gt;CD$6,$D34&lt;CD$9),"",IF($J34="里程碑","◆",""))</f>
        <v/>
      </c>
      <c r="CE34" s="8" t="str">
        <f>IF(OR($A34="",$C34="",$D34="",$C34&gt;CE$6,$D34&lt;CE$9),"",IF($J34="里程碑","◆",""))</f>
        <v/>
      </c>
      <c r="CF34" s="8" t="str">
        <f>IF(OR($A34="",$C34="",$D34="",$C34&gt;CF$6,$D34&lt;CF$9),"",IF($J34="里程碑","◆",""))</f>
        <v/>
      </c>
      <c r="CG34" s="8" t="str">
        <f>IF(OR($A34="",$C34="",$D34="",$C34&gt;CG$6,$D34&lt;CG$9),"",IF($J34="里程碑","◆",""))</f>
        <v/>
      </c>
      <c r="CH34" s="8" t="str">
        <f>IF(OR($A34="",$C34="",$D34="",$C34&gt;CH$6,$D34&lt;CH$9),"",IF($J34="里程碑","◆",""))</f>
        <v/>
      </c>
      <c r="CI34" s="8" t="str">
        <f>IF(OR($A34="",$C34="",$D34="",$C34&gt;CI$6,$D34&lt;CI$9),"",IF($J34="里程碑","◆",""))</f>
        <v/>
      </c>
      <c r="CJ34" s="8" t="str">
        <f>IF(OR($A34="",$C34="",$D34="",$C34&gt;CJ$6,$D34&lt;CJ$9),"",IF($J34="里程碑","◆",""))</f>
        <v/>
      </c>
      <c r="CK34" s="8" t="str">
        <f>IF(OR($A34="",$C34="",$D34="",$C34&gt;CK$6,$D34&lt;CK$9),"",IF($J34="里程碑","◆",""))</f>
        <v/>
      </c>
      <c r="CL34" s="8" t="str">
        <f>IF(OR($A34="",$C34="",$D34="",$C34&gt;CL$6,$D34&lt;CL$9),"",IF($J34="里程碑","◆",""))</f>
        <v/>
      </c>
      <c r="CM34" s="8" t="str">
        <f>IF(OR($A34="",$C34="",$D34="",$C34&gt;CM$6,$D34&lt;CM$9),"",IF($J34="里程碑","◆",""))</f>
        <v/>
      </c>
      <c r="CN34" s="8" t="str">
        <f>IF(OR($A34="",$C34="",$D34="",$C34&gt;CN$6,$D34&lt;CN$9),"",IF($J34="里程碑","◆",""))</f>
        <v/>
      </c>
      <c r="CO34" s="8" t="str">
        <f>IF(OR($A34="",$C34="",$D34="",$C34&gt;CO$6,$D34&lt;CO$9),"",IF($J34="里程碑","◆",""))</f>
        <v/>
      </c>
      <c r="CP34" s="8" t="str">
        <f>IF(OR($A34="",$C34="",$D34="",$C34&gt;CP$6,$D34&lt;CP$9),"",IF($J34="里程碑","◆",""))</f>
        <v/>
      </c>
      <c r="CQ34" s="8" t="str">
        <f>IF(OR($A34="",$C34="",$D34="",$C34&gt;CQ$6,$D34&lt;CQ$9),"",IF($J34="里程碑","◆",""))</f>
        <v/>
      </c>
      <c r="CR34" s="8" t="str">
        <f>IF(OR($A34="",$C34="",$D34="",$C34&gt;CR$6,$D34&lt;CR$9),"",IF($J34="里程碑","◆",""))</f>
        <v/>
      </c>
      <c r="CS34" s="8" t="str">
        <f>IF(OR($A34="",$C34="",$D34="",$C34&gt;CS$6,$D34&lt;CS$9),"",IF($J34="里程碑","◆",""))</f>
        <v/>
      </c>
      <c r="CT34" s="8" t="str">
        <f>IF(OR($A34="",$C34="",$D34="",$C34&gt;CT$6,$D34&lt;CT$9),"",IF($J34="里程碑","◆",""))</f>
        <v/>
      </c>
      <c r="CU34" s="8" t="str">
        <f>IF(OR($A34="",$C34="",$D34="",$C34&gt;CU$6,$D34&lt;CU$9),"",IF($J34="里程碑","◆",""))</f>
        <v/>
      </c>
      <c r="CV34" s="8" t="str">
        <f>IF(OR($A34="",$C34="",$D34="",$C34&gt;CV$6,$D34&lt;CV$9),"",IF($J34="里程碑","◆",""))</f>
        <v/>
      </c>
      <c r="CW34" s="8" t="str">
        <f>IF(OR($A34="",$C34="",$D34="",$C34&gt;CW$6,$D34&lt;CW$9),"",IF($J34="里程碑","◆",""))</f>
        <v/>
      </c>
      <c r="CX34" s="8" t="str">
        <f>IF(OR($A34="",$C34="",$D34="",$C34&gt;CX$6,$D34&lt;CX$9),"",IF($J34="里程碑","◆",""))</f>
        <v/>
      </c>
      <c r="CY34" s="8" t="str">
        <f>IF(OR($A34="",$C34="",$D34="",$C34&gt;CY$6,$D34&lt;CY$9),"",IF($J34="里程碑","◆",""))</f>
        <v/>
      </c>
      <c r="CZ34" s="8" t="str">
        <f>IF(OR($A34="",$C34="",$D34="",$C34&gt;CZ$6,$D34&lt;CZ$9),"",IF($J34="里程碑","◆",""))</f>
        <v/>
      </c>
      <c r="DA34" s="8" t="str">
        <f>IF(OR($A34="",$C34="",$D34="",$C34&gt;DA$6,$D34&lt;DA$9),"",IF($J34="里程碑","◆",""))</f>
        <v/>
      </c>
      <c r="DB34" s="8" t="str">
        <f>IF(OR($A34="",$C34="",$D34="",$C34&gt;DB$6,$D34&lt;DB$9),"",IF($J34="里程碑","◆",""))</f>
        <v/>
      </c>
      <c r="DC34" s="1" t="str">
        <f>IF(ROW()-9&gt;$DH$3,"",MATCH(ROW()-9,排期计算!$U$10:$U$109,0))</f>
        <v/>
      </c>
      <c r="DD34" s="1" t="str">
        <f>IF($DC34="","",INDEX(排期计算!$L$10:$L$109,$DC34))</f>
        <v/>
      </c>
      <c r="DE34" s="1"/>
      <c r="DF34" s="1"/>
      <c r="DG34" s="1"/>
      <c r="DH34" s="1"/>
      <c r="DI34" s="1"/>
      <c r="DJ34" s="1"/>
      <c r="DK34" s="1"/>
    </row>
    <row r="35" spans="1:115" ht="24.95" customHeight="1">
      <c r="A35" s="9" t="str">
        <f>IF($DC35="","",IF(AND(INDEX(排期计算!$A$10:$A$109,$DC35)="",NOT(ISNUMBER(INDEX(排期计算!$A$10:$A$109,$DC35)))),"",INDEX(排期计算!$A$10:$A$109,$DC35)))</f>
        <v/>
      </c>
      <c r="B35" s="1" t="str">
        <f>IF($DC35="","",REPT("　",$DD35-1)&amp;INDEX(排期计算!$B$10:$B$109,$DC35))</f>
        <v/>
      </c>
      <c r="C35" s="3" t="str">
        <f>IF($DC35="","",IF(AND(INDEX(排期计算!$M$10:$M$109,$DC35)="",NOT(ISNUMBER(INDEX(排期计算!$M$10:$M$109,$DC35)))),"",INDEX(排期计算!$M$10:$M$109,$DC35)))</f>
        <v/>
      </c>
      <c r="D35" s="3" t="str">
        <f>IF($DC35="","",IF(AND(INDEX(排期计算!$N$10:$N$109,$DC35)="",NOT(ISNUMBER(INDEX(排期计算!$N$10:$N$109,$DC35)))),"",INDEX(排期计算!$N$10:$N$109,$DC35)))</f>
        <v/>
      </c>
      <c r="E35" s="1" t="str">
        <f>IF(OR($C35="",$D35=""),"",IF($J35="里程碑",0,NETWORKDAYS($C35,$D35)))</f>
        <v/>
      </c>
      <c r="F35" s="7" t="str">
        <f>IF($DC35="","",IF(AND(INDEX(排期计算!$O$10:$O$109,$DC35)="",NOT(ISNUMBER(INDEX(排期计算!$O$10:$O$109,$DC35)))),"",INDEX(排期计算!$O$10:$O$109,$DC35)))</f>
        <v/>
      </c>
      <c r="G35" s="8" t="str">
        <f>IF($A35="","",IF(OR($C35="",$D35=""),"未排期",IF($F35&gt;=1,"已完成",IF($D35&lt;$B$4,"逾期",IF($C35&gt;$B$4,"未开始","进行中")))))</f>
        <v/>
      </c>
      <c r="H35" s="1" t="str">
        <f>IF($DC35="","",IF(AND(INDEX(排期计算!$C$10:$C$109,$DC35)="",NOT(ISNUMBER(INDEX(排期计算!$C$10:$C$109,$DC35)))),"",INDEX(排期计算!$C$10:$C$109,$DC35)))</f>
        <v/>
      </c>
      <c r="I35" s="1" t="str">
        <f>IF($DC35="","",IF(AND(INDEX(排期计算!$H$10:$H$109,$DC35)="",NOT(ISNUMBER(INDEX(排期计算!$H$10:$H$109,$DC35)))),"",INDEX(排期计算!$H$10:$H$109,$DC35)))</f>
        <v/>
      </c>
      <c r="J35" s="1" t="str">
        <f>IF($DC35="","",IF(AND(INDEX(排期计算!$K$10:$K$109,$DC35)="",NOT(ISNUMBER(INDEX(排期计算!$K$10:$K$109,$DC35)))),"",INDEX(排期计算!$K$10:$K$109,$DC35)))</f>
        <v/>
      </c>
      <c r="K35" s="8" t="str">
        <f>IF(OR($A35="",$C35="",$D35="",$C35&gt;K$6,$D35&lt;K$9),"",IF($J35="里程碑","◆",""))</f>
        <v/>
      </c>
      <c r="L35" s="8" t="str">
        <f>IF(OR($A35="",$C35="",$D35="",$C35&gt;L$6,$D35&lt;L$9),"",IF($J35="里程碑","◆",""))</f>
        <v/>
      </c>
      <c r="M35" s="8" t="str">
        <f>IF(OR($A35="",$C35="",$D35="",$C35&gt;M$6,$D35&lt;M$9),"",IF($J35="里程碑","◆",""))</f>
        <v/>
      </c>
      <c r="N35" s="8" t="str">
        <f>IF(OR($A35="",$C35="",$D35="",$C35&gt;N$6,$D35&lt;N$9),"",IF($J35="里程碑","◆",""))</f>
        <v/>
      </c>
      <c r="O35" s="8" t="str">
        <f>IF(OR($A35="",$C35="",$D35="",$C35&gt;O$6,$D35&lt;O$9),"",IF($J35="里程碑","◆",""))</f>
        <v/>
      </c>
      <c r="P35" s="8" t="str">
        <f>IF(OR($A35="",$C35="",$D35="",$C35&gt;P$6,$D35&lt;P$9),"",IF($J35="里程碑","◆",""))</f>
        <v/>
      </c>
      <c r="Q35" s="8" t="str">
        <f>IF(OR($A35="",$C35="",$D35="",$C35&gt;Q$6,$D35&lt;Q$9),"",IF($J35="里程碑","◆",""))</f>
        <v/>
      </c>
      <c r="R35" s="8" t="str">
        <f>IF(OR($A35="",$C35="",$D35="",$C35&gt;R$6,$D35&lt;R$9),"",IF($J35="里程碑","◆",""))</f>
        <v/>
      </c>
      <c r="S35" s="8" t="str">
        <f>IF(OR($A35="",$C35="",$D35="",$C35&gt;S$6,$D35&lt;S$9),"",IF($J35="里程碑","◆",""))</f>
        <v/>
      </c>
      <c r="T35" s="8" t="str">
        <f>IF(OR($A35="",$C35="",$D35="",$C35&gt;T$6,$D35&lt;T$9),"",IF($J35="里程碑","◆",""))</f>
        <v/>
      </c>
      <c r="U35" s="8" t="str">
        <f>IF(OR($A35="",$C35="",$D35="",$C35&gt;U$6,$D35&lt;U$9),"",IF($J35="里程碑","◆",""))</f>
        <v/>
      </c>
      <c r="V35" s="8" t="str">
        <f>IF(OR($A35="",$C35="",$D35="",$C35&gt;V$6,$D35&lt;V$9),"",IF($J35="里程碑","◆",""))</f>
        <v/>
      </c>
      <c r="W35" s="8" t="str">
        <f>IF(OR($A35="",$C35="",$D35="",$C35&gt;W$6,$D35&lt;W$9),"",IF($J35="里程碑","◆",""))</f>
        <v/>
      </c>
      <c r="X35" s="8" t="str">
        <f>IF(OR($A35="",$C35="",$D35="",$C35&gt;X$6,$D35&lt;X$9),"",IF($J35="里程碑","◆",""))</f>
        <v/>
      </c>
      <c r="Y35" s="8" t="str">
        <f>IF(OR($A35="",$C35="",$D35="",$C35&gt;Y$6,$D35&lt;Y$9),"",IF($J35="里程碑","◆",""))</f>
        <v/>
      </c>
      <c r="Z35" s="8" t="str">
        <f>IF(OR($A35="",$C35="",$D35="",$C35&gt;Z$6,$D35&lt;Z$9),"",IF($J35="里程碑","◆",""))</f>
        <v/>
      </c>
      <c r="AA35" s="8" t="str">
        <f>IF(OR($A35="",$C35="",$D35="",$C35&gt;AA$6,$D35&lt;AA$9),"",IF($J35="里程碑","◆",""))</f>
        <v/>
      </c>
      <c r="AB35" s="8" t="str">
        <f>IF(OR($A35="",$C35="",$D35="",$C35&gt;AB$6,$D35&lt;AB$9),"",IF($J35="里程碑","◆",""))</f>
        <v/>
      </c>
      <c r="AC35" s="8" t="str">
        <f>IF(OR($A35="",$C35="",$D35="",$C35&gt;AC$6,$D35&lt;AC$9),"",IF($J35="里程碑","◆",""))</f>
        <v/>
      </c>
      <c r="AD35" s="8" t="str">
        <f>IF(OR($A35="",$C35="",$D35="",$C35&gt;AD$6,$D35&lt;AD$9),"",IF($J35="里程碑","◆",""))</f>
        <v/>
      </c>
      <c r="AE35" s="8" t="str">
        <f>IF(OR($A35="",$C35="",$D35="",$C35&gt;AE$6,$D35&lt;AE$9),"",IF($J35="里程碑","◆",""))</f>
        <v/>
      </c>
      <c r="AF35" s="8" t="str">
        <f>IF(OR($A35="",$C35="",$D35="",$C35&gt;AF$6,$D35&lt;AF$9),"",IF($J35="里程碑","◆",""))</f>
        <v/>
      </c>
      <c r="AG35" s="8" t="str">
        <f>IF(OR($A35="",$C35="",$D35="",$C35&gt;AG$6,$D35&lt;AG$9),"",IF($J35="里程碑","◆",""))</f>
        <v/>
      </c>
      <c r="AH35" s="8" t="str">
        <f>IF(OR($A35="",$C35="",$D35="",$C35&gt;AH$6,$D35&lt;AH$9),"",IF($J35="里程碑","◆",""))</f>
        <v/>
      </c>
      <c r="AI35" s="8" t="str">
        <f>IF(OR($A35="",$C35="",$D35="",$C35&gt;AI$6,$D35&lt;AI$9),"",IF($J35="里程碑","◆",""))</f>
        <v/>
      </c>
      <c r="AJ35" s="8" t="str">
        <f>IF(OR($A35="",$C35="",$D35="",$C35&gt;AJ$6,$D35&lt;AJ$9),"",IF($J35="里程碑","◆",""))</f>
        <v/>
      </c>
      <c r="AK35" s="8" t="str">
        <f>IF(OR($A35="",$C35="",$D35="",$C35&gt;AK$6,$D35&lt;AK$9),"",IF($J35="里程碑","◆",""))</f>
        <v/>
      </c>
      <c r="AL35" s="8" t="str">
        <f>IF(OR($A35="",$C35="",$D35="",$C35&gt;AL$6,$D35&lt;AL$9),"",IF($J35="里程碑","◆",""))</f>
        <v/>
      </c>
      <c r="AM35" s="8" t="str">
        <f>IF(OR($A35="",$C35="",$D35="",$C35&gt;AM$6,$D35&lt;AM$9),"",IF($J35="里程碑","◆",""))</f>
        <v/>
      </c>
      <c r="AN35" s="8" t="str">
        <f>IF(OR($A35="",$C35="",$D35="",$C35&gt;AN$6,$D35&lt;AN$9),"",IF($J35="里程碑","◆",""))</f>
        <v/>
      </c>
      <c r="AO35" s="8" t="str">
        <f>IF(OR($A35="",$C35="",$D35="",$C35&gt;AO$6,$D35&lt;AO$9),"",IF($J35="里程碑","◆",""))</f>
        <v/>
      </c>
      <c r="AP35" s="8" t="str">
        <f>IF(OR($A35="",$C35="",$D35="",$C35&gt;AP$6,$D35&lt;AP$9),"",IF($J35="里程碑","◆",""))</f>
        <v/>
      </c>
      <c r="AQ35" s="8" t="str">
        <f>IF(OR($A35="",$C35="",$D35="",$C35&gt;AQ$6,$D35&lt;AQ$9),"",IF($J35="里程碑","◆",""))</f>
        <v/>
      </c>
      <c r="AR35" s="8" t="str">
        <f>IF(OR($A35="",$C35="",$D35="",$C35&gt;AR$6,$D35&lt;AR$9),"",IF($J35="里程碑","◆",""))</f>
        <v/>
      </c>
      <c r="AS35" s="8" t="str">
        <f>IF(OR($A35="",$C35="",$D35="",$C35&gt;AS$6,$D35&lt;AS$9),"",IF($J35="里程碑","◆",""))</f>
        <v/>
      </c>
      <c r="AT35" s="8" t="str">
        <f>IF(OR($A35="",$C35="",$D35="",$C35&gt;AT$6,$D35&lt;AT$9),"",IF($J35="里程碑","◆",""))</f>
        <v/>
      </c>
      <c r="AU35" s="8" t="str">
        <f>IF(OR($A35="",$C35="",$D35="",$C35&gt;AU$6,$D35&lt;AU$9),"",IF($J35="里程碑","◆",""))</f>
        <v/>
      </c>
      <c r="AV35" s="8" t="str">
        <f>IF(OR($A35="",$C35="",$D35="",$C35&gt;AV$6,$D35&lt;AV$9),"",IF($J35="里程碑","◆",""))</f>
        <v/>
      </c>
      <c r="AW35" s="8" t="str">
        <f>IF(OR($A35="",$C35="",$D35="",$C35&gt;AW$6,$D35&lt;AW$9),"",IF($J35="里程碑","◆",""))</f>
        <v/>
      </c>
      <c r="AX35" s="8" t="str">
        <f>IF(OR($A35="",$C35="",$D35="",$C35&gt;AX$6,$D35&lt;AX$9),"",IF($J35="里程碑","◆",""))</f>
        <v/>
      </c>
      <c r="AY35" s="8" t="str">
        <f>IF(OR($A35="",$C35="",$D35="",$C35&gt;AY$6,$D35&lt;AY$9),"",IF($J35="里程碑","◆",""))</f>
        <v/>
      </c>
      <c r="AZ35" s="8" t="str">
        <f>IF(OR($A35="",$C35="",$D35="",$C35&gt;AZ$6,$D35&lt;AZ$9),"",IF($J35="里程碑","◆",""))</f>
        <v/>
      </c>
      <c r="BA35" s="8" t="str">
        <f>IF(OR($A35="",$C35="",$D35="",$C35&gt;BA$6,$D35&lt;BA$9),"",IF($J35="里程碑","◆",""))</f>
        <v/>
      </c>
      <c r="BB35" s="8" t="str">
        <f>IF(OR($A35="",$C35="",$D35="",$C35&gt;BB$6,$D35&lt;BB$9),"",IF($J35="里程碑","◆",""))</f>
        <v/>
      </c>
      <c r="BC35" s="8" t="str">
        <f>IF(OR($A35="",$C35="",$D35="",$C35&gt;BC$6,$D35&lt;BC$9),"",IF($J35="里程碑","◆",""))</f>
        <v/>
      </c>
      <c r="BD35" s="8" t="str">
        <f>IF(OR($A35="",$C35="",$D35="",$C35&gt;BD$6,$D35&lt;BD$9),"",IF($J35="里程碑","◆",""))</f>
        <v/>
      </c>
      <c r="BE35" s="8" t="str">
        <f>IF(OR($A35="",$C35="",$D35="",$C35&gt;BE$6,$D35&lt;BE$9),"",IF($J35="里程碑","◆",""))</f>
        <v/>
      </c>
      <c r="BF35" s="8" t="str">
        <f>IF(OR($A35="",$C35="",$D35="",$C35&gt;BF$6,$D35&lt;BF$9),"",IF($J35="里程碑","◆",""))</f>
        <v/>
      </c>
      <c r="BG35" s="8" t="str">
        <f>IF(OR($A35="",$C35="",$D35="",$C35&gt;BG$6,$D35&lt;BG$9),"",IF($J35="里程碑","◆",""))</f>
        <v/>
      </c>
      <c r="BH35" s="8" t="str">
        <f>IF(OR($A35="",$C35="",$D35="",$C35&gt;BH$6,$D35&lt;BH$9),"",IF($J35="里程碑","◆",""))</f>
        <v/>
      </c>
      <c r="BI35" s="8" t="str">
        <f>IF(OR($A35="",$C35="",$D35="",$C35&gt;BI$6,$D35&lt;BI$9),"",IF($J35="里程碑","◆",""))</f>
        <v/>
      </c>
      <c r="BJ35" s="8" t="str">
        <f>IF(OR($A35="",$C35="",$D35="",$C35&gt;BJ$6,$D35&lt;BJ$9),"",IF($J35="里程碑","◆",""))</f>
        <v/>
      </c>
      <c r="BK35" s="8" t="str">
        <f>IF(OR($A35="",$C35="",$D35="",$C35&gt;BK$6,$D35&lt;BK$9),"",IF($J35="里程碑","◆",""))</f>
        <v/>
      </c>
      <c r="BL35" s="8" t="str">
        <f>IF(OR($A35="",$C35="",$D35="",$C35&gt;BL$6,$D35&lt;BL$9),"",IF($J35="里程碑","◆",""))</f>
        <v/>
      </c>
      <c r="BM35" s="8" t="str">
        <f>IF(OR($A35="",$C35="",$D35="",$C35&gt;BM$6,$D35&lt;BM$9),"",IF($J35="里程碑","◆",""))</f>
        <v/>
      </c>
      <c r="BN35" s="8" t="str">
        <f>IF(OR($A35="",$C35="",$D35="",$C35&gt;BN$6,$D35&lt;BN$9),"",IF($J35="里程碑","◆",""))</f>
        <v/>
      </c>
      <c r="BO35" s="8" t="str">
        <f>IF(OR($A35="",$C35="",$D35="",$C35&gt;BO$6,$D35&lt;BO$9),"",IF($J35="里程碑","◆",""))</f>
        <v/>
      </c>
      <c r="BP35" s="8" t="str">
        <f>IF(OR($A35="",$C35="",$D35="",$C35&gt;BP$6,$D35&lt;BP$9),"",IF($J35="里程碑","◆",""))</f>
        <v/>
      </c>
      <c r="BQ35" s="8" t="str">
        <f>IF(OR($A35="",$C35="",$D35="",$C35&gt;BQ$6,$D35&lt;BQ$9),"",IF($J35="里程碑","◆",""))</f>
        <v/>
      </c>
      <c r="BR35" s="8" t="str">
        <f>IF(OR($A35="",$C35="",$D35="",$C35&gt;BR$6,$D35&lt;BR$9),"",IF($J35="里程碑","◆",""))</f>
        <v/>
      </c>
      <c r="BS35" s="8" t="str">
        <f>IF(OR($A35="",$C35="",$D35="",$C35&gt;BS$6,$D35&lt;BS$9),"",IF($J35="里程碑","◆",""))</f>
        <v/>
      </c>
      <c r="BT35" s="8" t="str">
        <f>IF(OR($A35="",$C35="",$D35="",$C35&gt;BT$6,$D35&lt;BT$9),"",IF($J35="里程碑","◆",""))</f>
        <v/>
      </c>
      <c r="BU35" s="8" t="str">
        <f>IF(OR($A35="",$C35="",$D35="",$C35&gt;BU$6,$D35&lt;BU$9),"",IF($J35="里程碑","◆",""))</f>
        <v/>
      </c>
      <c r="BV35" s="8" t="str">
        <f>IF(OR($A35="",$C35="",$D35="",$C35&gt;BV$6,$D35&lt;BV$9),"",IF($J35="里程碑","◆",""))</f>
        <v/>
      </c>
      <c r="BW35" s="8" t="str">
        <f>IF(OR($A35="",$C35="",$D35="",$C35&gt;BW$6,$D35&lt;BW$9),"",IF($J35="里程碑","◆",""))</f>
        <v/>
      </c>
      <c r="BX35" s="8" t="str">
        <f>IF(OR($A35="",$C35="",$D35="",$C35&gt;BX$6,$D35&lt;BX$9),"",IF($J35="里程碑","◆",""))</f>
        <v/>
      </c>
      <c r="BY35" s="8" t="str">
        <f>IF(OR($A35="",$C35="",$D35="",$C35&gt;BY$6,$D35&lt;BY$9),"",IF($J35="里程碑","◆",""))</f>
        <v/>
      </c>
      <c r="BZ35" s="8" t="str">
        <f>IF(OR($A35="",$C35="",$D35="",$C35&gt;BZ$6,$D35&lt;BZ$9),"",IF($J35="里程碑","◆",""))</f>
        <v/>
      </c>
      <c r="CA35" s="8" t="str">
        <f>IF(OR($A35="",$C35="",$D35="",$C35&gt;CA$6,$D35&lt;CA$9),"",IF($J35="里程碑","◆",""))</f>
        <v/>
      </c>
      <c r="CB35" s="8" t="str">
        <f>IF(OR($A35="",$C35="",$D35="",$C35&gt;CB$6,$D35&lt;CB$9),"",IF($J35="里程碑","◆",""))</f>
        <v/>
      </c>
      <c r="CC35" s="8" t="str">
        <f>IF(OR($A35="",$C35="",$D35="",$C35&gt;CC$6,$D35&lt;CC$9),"",IF($J35="里程碑","◆",""))</f>
        <v/>
      </c>
      <c r="CD35" s="8" t="str">
        <f>IF(OR($A35="",$C35="",$D35="",$C35&gt;CD$6,$D35&lt;CD$9),"",IF($J35="里程碑","◆",""))</f>
        <v/>
      </c>
      <c r="CE35" s="8" t="str">
        <f>IF(OR($A35="",$C35="",$D35="",$C35&gt;CE$6,$D35&lt;CE$9),"",IF($J35="里程碑","◆",""))</f>
        <v/>
      </c>
      <c r="CF35" s="8" t="str">
        <f>IF(OR($A35="",$C35="",$D35="",$C35&gt;CF$6,$D35&lt;CF$9),"",IF($J35="里程碑","◆",""))</f>
        <v/>
      </c>
      <c r="CG35" s="8" t="str">
        <f>IF(OR($A35="",$C35="",$D35="",$C35&gt;CG$6,$D35&lt;CG$9),"",IF($J35="里程碑","◆",""))</f>
        <v/>
      </c>
      <c r="CH35" s="8" t="str">
        <f>IF(OR($A35="",$C35="",$D35="",$C35&gt;CH$6,$D35&lt;CH$9),"",IF($J35="里程碑","◆",""))</f>
        <v/>
      </c>
      <c r="CI35" s="8" t="str">
        <f>IF(OR($A35="",$C35="",$D35="",$C35&gt;CI$6,$D35&lt;CI$9),"",IF($J35="里程碑","◆",""))</f>
        <v/>
      </c>
      <c r="CJ35" s="8" t="str">
        <f>IF(OR($A35="",$C35="",$D35="",$C35&gt;CJ$6,$D35&lt;CJ$9),"",IF($J35="里程碑","◆",""))</f>
        <v/>
      </c>
      <c r="CK35" s="8" t="str">
        <f>IF(OR($A35="",$C35="",$D35="",$C35&gt;CK$6,$D35&lt;CK$9),"",IF($J35="里程碑","◆",""))</f>
        <v/>
      </c>
      <c r="CL35" s="8" t="str">
        <f>IF(OR($A35="",$C35="",$D35="",$C35&gt;CL$6,$D35&lt;CL$9),"",IF($J35="里程碑","◆",""))</f>
        <v/>
      </c>
      <c r="CM35" s="8" t="str">
        <f>IF(OR($A35="",$C35="",$D35="",$C35&gt;CM$6,$D35&lt;CM$9),"",IF($J35="里程碑","◆",""))</f>
        <v/>
      </c>
      <c r="CN35" s="8" t="str">
        <f>IF(OR($A35="",$C35="",$D35="",$C35&gt;CN$6,$D35&lt;CN$9),"",IF($J35="里程碑","◆",""))</f>
        <v/>
      </c>
      <c r="CO35" s="8" t="str">
        <f>IF(OR($A35="",$C35="",$D35="",$C35&gt;CO$6,$D35&lt;CO$9),"",IF($J35="里程碑","◆",""))</f>
        <v/>
      </c>
      <c r="CP35" s="8" t="str">
        <f>IF(OR($A35="",$C35="",$D35="",$C35&gt;CP$6,$D35&lt;CP$9),"",IF($J35="里程碑","◆",""))</f>
        <v/>
      </c>
      <c r="CQ35" s="8" t="str">
        <f>IF(OR($A35="",$C35="",$D35="",$C35&gt;CQ$6,$D35&lt;CQ$9),"",IF($J35="里程碑","◆",""))</f>
        <v/>
      </c>
      <c r="CR35" s="8" t="str">
        <f>IF(OR($A35="",$C35="",$D35="",$C35&gt;CR$6,$D35&lt;CR$9),"",IF($J35="里程碑","◆",""))</f>
        <v/>
      </c>
      <c r="CS35" s="8" t="str">
        <f>IF(OR($A35="",$C35="",$D35="",$C35&gt;CS$6,$D35&lt;CS$9),"",IF($J35="里程碑","◆",""))</f>
        <v/>
      </c>
      <c r="CT35" s="8" t="str">
        <f>IF(OR($A35="",$C35="",$D35="",$C35&gt;CT$6,$D35&lt;CT$9),"",IF($J35="里程碑","◆",""))</f>
        <v/>
      </c>
      <c r="CU35" s="8" t="str">
        <f>IF(OR($A35="",$C35="",$D35="",$C35&gt;CU$6,$D35&lt;CU$9),"",IF($J35="里程碑","◆",""))</f>
        <v/>
      </c>
      <c r="CV35" s="8" t="str">
        <f>IF(OR($A35="",$C35="",$D35="",$C35&gt;CV$6,$D35&lt;CV$9),"",IF($J35="里程碑","◆",""))</f>
        <v/>
      </c>
      <c r="CW35" s="8" t="str">
        <f>IF(OR($A35="",$C35="",$D35="",$C35&gt;CW$6,$D35&lt;CW$9),"",IF($J35="里程碑","◆",""))</f>
        <v/>
      </c>
      <c r="CX35" s="8" t="str">
        <f>IF(OR($A35="",$C35="",$D35="",$C35&gt;CX$6,$D35&lt;CX$9),"",IF($J35="里程碑","◆",""))</f>
        <v/>
      </c>
      <c r="CY35" s="8" t="str">
        <f>IF(OR($A35="",$C35="",$D35="",$C35&gt;CY$6,$D35&lt;CY$9),"",IF($J35="里程碑","◆",""))</f>
        <v/>
      </c>
      <c r="CZ35" s="8" t="str">
        <f>IF(OR($A35="",$C35="",$D35="",$C35&gt;CZ$6,$D35&lt;CZ$9),"",IF($J35="里程碑","◆",""))</f>
        <v/>
      </c>
      <c r="DA35" s="8" t="str">
        <f>IF(OR($A35="",$C35="",$D35="",$C35&gt;DA$6,$D35&lt;DA$9),"",IF($J35="里程碑","◆",""))</f>
        <v/>
      </c>
      <c r="DB35" s="8" t="str">
        <f>IF(OR($A35="",$C35="",$D35="",$C35&gt;DB$6,$D35&lt;DB$9),"",IF($J35="里程碑","◆",""))</f>
        <v/>
      </c>
      <c r="DC35" s="1" t="str">
        <f>IF(ROW()-9&gt;$DH$3,"",MATCH(ROW()-9,排期计算!$U$10:$U$109,0))</f>
        <v/>
      </c>
      <c r="DD35" s="1" t="str">
        <f>IF($DC35="","",INDEX(排期计算!$L$10:$L$109,$DC35))</f>
        <v/>
      </c>
      <c r="DE35" s="1"/>
      <c r="DF35" s="1"/>
      <c r="DG35" s="1"/>
      <c r="DH35" s="1"/>
      <c r="DI35" s="1"/>
      <c r="DJ35" s="1"/>
      <c r="DK35" s="1"/>
    </row>
    <row r="36" spans="1:115" ht="24.95" customHeight="1">
      <c r="A36" s="9" t="str">
        <f>IF($DC36="","",IF(AND(INDEX(排期计算!$A$10:$A$109,$DC36)="",NOT(ISNUMBER(INDEX(排期计算!$A$10:$A$109,$DC36)))),"",INDEX(排期计算!$A$10:$A$109,$DC36)))</f>
        <v/>
      </c>
      <c r="B36" s="1" t="str">
        <f>IF($DC36="","",REPT("　",$DD36-1)&amp;INDEX(排期计算!$B$10:$B$109,$DC36))</f>
        <v/>
      </c>
      <c r="C36" s="3" t="str">
        <f>IF($DC36="","",IF(AND(INDEX(排期计算!$M$10:$M$109,$DC36)="",NOT(ISNUMBER(INDEX(排期计算!$M$10:$M$109,$DC36)))),"",INDEX(排期计算!$M$10:$M$109,$DC36)))</f>
        <v/>
      </c>
      <c r="D36" s="3" t="str">
        <f>IF($DC36="","",IF(AND(INDEX(排期计算!$N$10:$N$109,$DC36)="",NOT(ISNUMBER(INDEX(排期计算!$N$10:$N$109,$DC36)))),"",INDEX(排期计算!$N$10:$N$109,$DC36)))</f>
        <v/>
      </c>
      <c r="E36" s="1" t="str">
        <f>IF(OR($C36="",$D36=""),"",IF($J36="里程碑",0,NETWORKDAYS($C36,$D36)))</f>
        <v/>
      </c>
      <c r="F36" s="7" t="str">
        <f>IF($DC36="","",IF(AND(INDEX(排期计算!$O$10:$O$109,$DC36)="",NOT(ISNUMBER(INDEX(排期计算!$O$10:$O$109,$DC36)))),"",INDEX(排期计算!$O$10:$O$109,$DC36)))</f>
        <v/>
      </c>
      <c r="G36" s="8" t="str">
        <f>IF($A36="","",IF(OR($C36="",$D36=""),"未排期",IF($F36&gt;=1,"已完成",IF($D36&lt;$B$4,"逾期",IF($C36&gt;$B$4,"未开始","进行中")))))</f>
        <v/>
      </c>
      <c r="H36" s="1" t="str">
        <f>IF($DC36="","",IF(AND(INDEX(排期计算!$C$10:$C$109,$DC36)="",NOT(ISNUMBER(INDEX(排期计算!$C$10:$C$109,$DC36)))),"",INDEX(排期计算!$C$10:$C$109,$DC36)))</f>
        <v/>
      </c>
      <c r="I36" s="1" t="str">
        <f>IF($DC36="","",IF(AND(INDEX(排期计算!$H$10:$H$109,$DC36)="",NOT(ISNUMBER(INDEX(排期计算!$H$10:$H$109,$DC36)))),"",INDEX(排期计算!$H$10:$H$109,$DC36)))</f>
        <v/>
      </c>
      <c r="J36" s="1" t="str">
        <f>IF($DC36="","",IF(AND(INDEX(排期计算!$K$10:$K$109,$DC36)="",NOT(ISNUMBER(INDEX(排期计算!$K$10:$K$109,$DC36)))),"",INDEX(排期计算!$K$10:$K$109,$DC36)))</f>
        <v/>
      </c>
      <c r="K36" s="8" t="str">
        <f>IF(OR($A36="",$C36="",$D36="",$C36&gt;K$6,$D36&lt;K$9),"",IF($J36="里程碑","◆",""))</f>
        <v/>
      </c>
      <c r="L36" s="8" t="str">
        <f>IF(OR($A36="",$C36="",$D36="",$C36&gt;L$6,$D36&lt;L$9),"",IF($J36="里程碑","◆",""))</f>
        <v/>
      </c>
      <c r="M36" s="8" t="str">
        <f>IF(OR($A36="",$C36="",$D36="",$C36&gt;M$6,$D36&lt;M$9),"",IF($J36="里程碑","◆",""))</f>
        <v/>
      </c>
      <c r="N36" s="8" t="str">
        <f>IF(OR($A36="",$C36="",$D36="",$C36&gt;N$6,$D36&lt;N$9),"",IF($J36="里程碑","◆",""))</f>
        <v/>
      </c>
      <c r="O36" s="8" t="str">
        <f>IF(OR($A36="",$C36="",$D36="",$C36&gt;O$6,$D36&lt;O$9),"",IF($J36="里程碑","◆",""))</f>
        <v/>
      </c>
      <c r="P36" s="8" t="str">
        <f>IF(OR($A36="",$C36="",$D36="",$C36&gt;P$6,$D36&lt;P$9),"",IF($J36="里程碑","◆",""))</f>
        <v/>
      </c>
      <c r="Q36" s="8" t="str">
        <f>IF(OR($A36="",$C36="",$D36="",$C36&gt;Q$6,$D36&lt;Q$9),"",IF($J36="里程碑","◆",""))</f>
        <v/>
      </c>
      <c r="R36" s="8" t="str">
        <f>IF(OR($A36="",$C36="",$D36="",$C36&gt;R$6,$D36&lt;R$9),"",IF($J36="里程碑","◆",""))</f>
        <v/>
      </c>
      <c r="S36" s="8" t="str">
        <f>IF(OR($A36="",$C36="",$D36="",$C36&gt;S$6,$D36&lt;S$9),"",IF($J36="里程碑","◆",""))</f>
        <v/>
      </c>
      <c r="T36" s="8" t="str">
        <f>IF(OR($A36="",$C36="",$D36="",$C36&gt;T$6,$D36&lt;T$9),"",IF($J36="里程碑","◆",""))</f>
        <v/>
      </c>
      <c r="U36" s="8" t="str">
        <f>IF(OR($A36="",$C36="",$D36="",$C36&gt;U$6,$D36&lt;U$9),"",IF($J36="里程碑","◆",""))</f>
        <v/>
      </c>
      <c r="V36" s="8" t="str">
        <f>IF(OR($A36="",$C36="",$D36="",$C36&gt;V$6,$D36&lt;V$9),"",IF($J36="里程碑","◆",""))</f>
        <v/>
      </c>
      <c r="W36" s="8" t="str">
        <f>IF(OR($A36="",$C36="",$D36="",$C36&gt;W$6,$D36&lt;W$9),"",IF($J36="里程碑","◆",""))</f>
        <v/>
      </c>
      <c r="X36" s="8" t="str">
        <f>IF(OR($A36="",$C36="",$D36="",$C36&gt;X$6,$D36&lt;X$9),"",IF($J36="里程碑","◆",""))</f>
        <v/>
      </c>
      <c r="Y36" s="8" t="str">
        <f>IF(OR($A36="",$C36="",$D36="",$C36&gt;Y$6,$D36&lt;Y$9),"",IF($J36="里程碑","◆",""))</f>
        <v/>
      </c>
      <c r="Z36" s="8" t="str">
        <f>IF(OR($A36="",$C36="",$D36="",$C36&gt;Z$6,$D36&lt;Z$9),"",IF($J36="里程碑","◆",""))</f>
        <v/>
      </c>
      <c r="AA36" s="8" t="str">
        <f>IF(OR($A36="",$C36="",$D36="",$C36&gt;AA$6,$D36&lt;AA$9),"",IF($J36="里程碑","◆",""))</f>
        <v/>
      </c>
      <c r="AB36" s="8" t="str">
        <f>IF(OR($A36="",$C36="",$D36="",$C36&gt;AB$6,$D36&lt;AB$9),"",IF($J36="里程碑","◆",""))</f>
        <v/>
      </c>
      <c r="AC36" s="8" t="str">
        <f>IF(OR($A36="",$C36="",$D36="",$C36&gt;AC$6,$D36&lt;AC$9),"",IF($J36="里程碑","◆",""))</f>
        <v/>
      </c>
      <c r="AD36" s="8" t="str">
        <f>IF(OR($A36="",$C36="",$D36="",$C36&gt;AD$6,$D36&lt;AD$9),"",IF($J36="里程碑","◆",""))</f>
        <v/>
      </c>
      <c r="AE36" s="8" t="str">
        <f>IF(OR($A36="",$C36="",$D36="",$C36&gt;AE$6,$D36&lt;AE$9),"",IF($J36="里程碑","◆",""))</f>
        <v/>
      </c>
      <c r="AF36" s="8" t="str">
        <f>IF(OR($A36="",$C36="",$D36="",$C36&gt;AF$6,$D36&lt;AF$9),"",IF($J36="里程碑","◆",""))</f>
        <v/>
      </c>
      <c r="AG36" s="8" t="str">
        <f>IF(OR($A36="",$C36="",$D36="",$C36&gt;AG$6,$D36&lt;AG$9),"",IF($J36="里程碑","◆",""))</f>
        <v/>
      </c>
      <c r="AH36" s="8" t="str">
        <f>IF(OR($A36="",$C36="",$D36="",$C36&gt;AH$6,$D36&lt;AH$9),"",IF($J36="里程碑","◆",""))</f>
        <v/>
      </c>
      <c r="AI36" s="8" t="str">
        <f>IF(OR($A36="",$C36="",$D36="",$C36&gt;AI$6,$D36&lt;AI$9),"",IF($J36="里程碑","◆",""))</f>
        <v/>
      </c>
      <c r="AJ36" s="8" t="str">
        <f>IF(OR($A36="",$C36="",$D36="",$C36&gt;AJ$6,$D36&lt;AJ$9),"",IF($J36="里程碑","◆",""))</f>
        <v/>
      </c>
      <c r="AK36" s="8" t="str">
        <f>IF(OR($A36="",$C36="",$D36="",$C36&gt;AK$6,$D36&lt;AK$9),"",IF($J36="里程碑","◆",""))</f>
        <v/>
      </c>
      <c r="AL36" s="8" t="str">
        <f>IF(OR($A36="",$C36="",$D36="",$C36&gt;AL$6,$D36&lt;AL$9),"",IF($J36="里程碑","◆",""))</f>
        <v/>
      </c>
      <c r="AM36" s="8" t="str">
        <f>IF(OR($A36="",$C36="",$D36="",$C36&gt;AM$6,$D36&lt;AM$9),"",IF($J36="里程碑","◆",""))</f>
        <v/>
      </c>
      <c r="AN36" s="8" t="str">
        <f>IF(OR($A36="",$C36="",$D36="",$C36&gt;AN$6,$D36&lt;AN$9),"",IF($J36="里程碑","◆",""))</f>
        <v/>
      </c>
      <c r="AO36" s="8" t="str">
        <f>IF(OR($A36="",$C36="",$D36="",$C36&gt;AO$6,$D36&lt;AO$9),"",IF($J36="里程碑","◆",""))</f>
        <v/>
      </c>
      <c r="AP36" s="8" t="str">
        <f>IF(OR($A36="",$C36="",$D36="",$C36&gt;AP$6,$D36&lt;AP$9),"",IF($J36="里程碑","◆",""))</f>
        <v/>
      </c>
      <c r="AQ36" s="8" t="str">
        <f>IF(OR($A36="",$C36="",$D36="",$C36&gt;AQ$6,$D36&lt;AQ$9),"",IF($J36="里程碑","◆",""))</f>
        <v/>
      </c>
      <c r="AR36" s="8" t="str">
        <f>IF(OR($A36="",$C36="",$D36="",$C36&gt;AR$6,$D36&lt;AR$9),"",IF($J36="里程碑","◆",""))</f>
        <v/>
      </c>
      <c r="AS36" s="8" t="str">
        <f>IF(OR($A36="",$C36="",$D36="",$C36&gt;AS$6,$D36&lt;AS$9),"",IF($J36="里程碑","◆",""))</f>
        <v/>
      </c>
      <c r="AT36" s="8" t="str">
        <f>IF(OR($A36="",$C36="",$D36="",$C36&gt;AT$6,$D36&lt;AT$9),"",IF($J36="里程碑","◆",""))</f>
        <v/>
      </c>
      <c r="AU36" s="8" t="str">
        <f>IF(OR($A36="",$C36="",$D36="",$C36&gt;AU$6,$D36&lt;AU$9),"",IF($J36="里程碑","◆",""))</f>
        <v/>
      </c>
      <c r="AV36" s="8" t="str">
        <f>IF(OR($A36="",$C36="",$D36="",$C36&gt;AV$6,$D36&lt;AV$9),"",IF($J36="里程碑","◆",""))</f>
        <v/>
      </c>
      <c r="AW36" s="8" t="str">
        <f>IF(OR($A36="",$C36="",$D36="",$C36&gt;AW$6,$D36&lt;AW$9),"",IF($J36="里程碑","◆",""))</f>
        <v/>
      </c>
      <c r="AX36" s="8" t="str">
        <f>IF(OR($A36="",$C36="",$D36="",$C36&gt;AX$6,$D36&lt;AX$9),"",IF($J36="里程碑","◆",""))</f>
        <v/>
      </c>
      <c r="AY36" s="8" t="str">
        <f>IF(OR($A36="",$C36="",$D36="",$C36&gt;AY$6,$D36&lt;AY$9),"",IF($J36="里程碑","◆",""))</f>
        <v/>
      </c>
      <c r="AZ36" s="8" t="str">
        <f>IF(OR($A36="",$C36="",$D36="",$C36&gt;AZ$6,$D36&lt;AZ$9),"",IF($J36="里程碑","◆",""))</f>
        <v/>
      </c>
      <c r="BA36" s="8" t="str">
        <f>IF(OR($A36="",$C36="",$D36="",$C36&gt;BA$6,$D36&lt;BA$9),"",IF($J36="里程碑","◆",""))</f>
        <v/>
      </c>
      <c r="BB36" s="8" t="str">
        <f>IF(OR($A36="",$C36="",$D36="",$C36&gt;BB$6,$D36&lt;BB$9),"",IF($J36="里程碑","◆",""))</f>
        <v/>
      </c>
      <c r="BC36" s="8" t="str">
        <f>IF(OR($A36="",$C36="",$D36="",$C36&gt;BC$6,$D36&lt;BC$9),"",IF($J36="里程碑","◆",""))</f>
        <v/>
      </c>
      <c r="BD36" s="8" t="str">
        <f>IF(OR($A36="",$C36="",$D36="",$C36&gt;BD$6,$D36&lt;BD$9),"",IF($J36="里程碑","◆",""))</f>
        <v/>
      </c>
      <c r="BE36" s="8" t="str">
        <f>IF(OR($A36="",$C36="",$D36="",$C36&gt;BE$6,$D36&lt;BE$9),"",IF($J36="里程碑","◆",""))</f>
        <v/>
      </c>
      <c r="BF36" s="8" t="str">
        <f>IF(OR($A36="",$C36="",$D36="",$C36&gt;BF$6,$D36&lt;BF$9),"",IF($J36="里程碑","◆",""))</f>
        <v/>
      </c>
      <c r="BG36" s="8" t="str">
        <f>IF(OR($A36="",$C36="",$D36="",$C36&gt;BG$6,$D36&lt;BG$9),"",IF($J36="里程碑","◆",""))</f>
        <v/>
      </c>
      <c r="BH36" s="8" t="str">
        <f>IF(OR($A36="",$C36="",$D36="",$C36&gt;BH$6,$D36&lt;BH$9),"",IF($J36="里程碑","◆",""))</f>
        <v/>
      </c>
      <c r="BI36" s="8" t="str">
        <f>IF(OR($A36="",$C36="",$D36="",$C36&gt;BI$6,$D36&lt;BI$9),"",IF($J36="里程碑","◆",""))</f>
        <v/>
      </c>
      <c r="BJ36" s="8" t="str">
        <f>IF(OR($A36="",$C36="",$D36="",$C36&gt;BJ$6,$D36&lt;BJ$9),"",IF($J36="里程碑","◆",""))</f>
        <v/>
      </c>
      <c r="BK36" s="8" t="str">
        <f>IF(OR($A36="",$C36="",$D36="",$C36&gt;BK$6,$D36&lt;BK$9),"",IF($J36="里程碑","◆",""))</f>
        <v/>
      </c>
      <c r="BL36" s="8" t="str">
        <f>IF(OR($A36="",$C36="",$D36="",$C36&gt;BL$6,$D36&lt;BL$9),"",IF($J36="里程碑","◆",""))</f>
        <v/>
      </c>
      <c r="BM36" s="8" t="str">
        <f>IF(OR($A36="",$C36="",$D36="",$C36&gt;BM$6,$D36&lt;BM$9),"",IF($J36="里程碑","◆",""))</f>
        <v/>
      </c>
      <c r="BN36" s="8" t="str">
        <f>IF(OR($A36="",$C36="",$D36="",$C36&gt;BN$6,$D36&lt;BN$9),"",IF($J36="里程碑","◆",""))</f>
        <v/>
      </c>
      <c r="BO36" s="8" t="str">
        <f>IF(OR($A36="",$C36="",$D36="",$C36&gt;BO$6,$D36&lt;BO$9),"",IF($J36="里程碑","◆",""))</f>
        <v/>
      </c>
      <c r="BP36" s="8" t="str">
        <f>IF(OR($A36="",$C36="",$D36="",$C36&gt;BP$6,$D36&lt;BP$9),"",IF($J36="里程碑","◆",""))</f>
        <v/>
      </c>
      <c r="BQ36" s="8" t="str">
        <f>IF(OR($A36="",$C36="",$D36="",$C36&gt;BQ$6,$D36&lt;BQ$9),"",IF($J36="里程碑","◆",""))</f>
        <v/>
      </c>
      <c r="BR36" s="8" t="str">
        <f>IF(OR($A36="",$C36="",$D36="",$C36&gt;BR$6,$D36&lt;BR$9),"",IF($J36="里程碑","◆",""))</f>
        <v/>
      </c>
      <c r="BS36" s="8" t="str">
        <f>IF(OR($A36="",$C36="",$D36="",$C36&gt;BS$6,$D36&lt;BS$9),"",IF($J36="里程碑","◆",""))</f>
        <v/>
      </c>
      <c r="BT36" s="8" t="str">
        <f>IF(OR($A36="",$C36="",$D36="",$C36&gt;BT$6,$D36&lt;BT$9),"",IF($J36="里程碑","◆",""))</f>
        <v/>
      </c>
      <c r="BU36" s="8" t="str">
        <f>IF(OR($A36="",$C36="",$D36="",$C36&gt;BU$6,$D36&lt;BU$9),"",IF($J36="里程碑","◆",""))</f>
        <v/>
      </c>
      <c r="BV36" s="8" t="str">
        <f>IF(OR($A36="",$C36="",$D36="",$C36&gt;BV$6,$D36&lt;BV$9),"",IF($J36="里程碑","◆",""))</f>
        <v/>
      </c>
      <c r="BW36" s="8" t="str">
        <f>IF(OR($A36="",$C36="",$D36="",$C36&gt;BW$6,$D36&lt;BW$9),"",IF($J36="里程碑","◆",""))</f>
        <v/>
      </c>
      <c r="BX36" s="8" t="str">
        <f>IF(OR($A36="",$C36="",$D36="",$C36&gt;BX$6,$D36&lt;BX$9),"",IF($J36="里程碑","◆",""))</f>
        <v/>
      </c>
      <c r="BY36" s="8" t="str">
        <f>IF(OR($A36="",$C36="",$D36="",$C36&gt;BY$6,$D36&lt;BY$9),"",IF($J36="里程碑","◆",""))</f>
        <v/>
      </c>
      <c r="BZ36" s="8" t="str">
        <f>IF(OR($A36="",$C36="",$D36="",$C36&gt;BZ$6,$D36&lt;BZ$9),"",IF($J36="里程碑","◆",""))</f>
        <v/>
      </c>
      <c r="CA36" s="8" t="str">
        <f>IF(OR($A36="",$C36="",$D36="",$C36&gt;CA$6,$D36&lt;CA$9),"",IF($J36="里程碑","◆",""))</f>
        <v/>
      </c>
      <c r="CB36" s="8" t="str">
        <f>IF(OR($A36="",$C36="",$D36="",$C36&gt;CB$6,$D36&lt;CB$9),"",IF($J36="里程碑","◆",""))</f>
        <v/>
      </c>
      <c r="CC36" s="8" t="str">
        <f>IF(OR($A36="",$C36="",$D36="",$C36&gt;CC$6,$D36&lt;CC$9),"",IF($J36="里程碑","◆",""))</f>
        <v/>
      </c>
      <c r="CD36" s="8" t="str">
        <f>IF(OR($A36="",$C36="",$D36="",$C36&gt;CD$6,$D36&lt;CD$9),"",IF($J36="里程碑","◆",""))</f>
        <v/>
      </c>
      <c r="CE36" s="8" t="str">
        <f>IF(OR($A36="",$C36="",$D36="",$C36&gt;CE$6,$D36&lt;CE$9),"",IF($J36="里程碑","◆",""))</f>
        <v/>
      </c>
      <c r="CF36" s="8" t="str">
        <f>IF(OR($A36="",$C36="",$D36="",$C36&gt;CF$6,$D36&lt;CF$9),"",IF($J36="里程碑","◆",""))</f>
        <v/>
      </c>
      <c r="CG36" s="8" t="str">
        <f>IF(OR($A36="",$C36="",$D36="",$C36&gt;CG$6,$D36&lt;CG$9),"",IF($J36="里程碑","◆",""))</f>
        <v/>
      </c>
      <c r="CH36" s="8" t="str">
        <f>IF(OR($A36="",$C36="",$D36="",$C36&gt;CH$6,$D36&lt;CH$9),"",IF($J36="里程碑","◆",""))</f>
        <v/>
      </c>
      <c r="CI36" s="8" t="str">
        <f>IF(OR($A36="",$C36="",$D36="",$C36&gt;CI$6,$D36&lt;CI$9),"",IF($J36="里程碑","◆",""))</f>
        <v/>
      </c>
      <c r="CJ36" s="8" t="str">
        <f>IF(OR($A36="",$C36="",$D36="",$C36&gt;CJ$6,$D36&lt;CJ$9),"",IF($J36="里程碑","◆",""))</f>
        <v/>
      </c>
      <c r="CK36" s="8" t="str">
        <f>IF(OR($A36="",$C36="",$D36="",$C36&gt;CK$6,$D36&lt;CK$9),"",IF($J36="里程碑","◆",""))</f>
        <v/>
      </c>
      <c r="CL36" s="8" t="str">
        <f>IF(OR($A36="",$C36="",$D36="",$C36&gt;CL$6,$D36&lt;CL$9),"",IF($J36="里程碑","◆",""))</f>
        <v/>
      </c>
      <c r="CM36" s="8" t="str">
        <f>IF(OR($A36="",$C36="",$D36="",$C36&gt;CM$6,$D36&lt;CM$9),"",IF($J36="里程碑","◆",""))</f>
        <v/>
      </c>
      <c r="CN36" s="8" t="str">
        <f>IF(OR($A36="",$C36="",$D36="",$C36&gt;CN$6,$D36&lt;CN$9),"",IF($J36="里程碑","◆",""))</f>
        <v/>
      </c>
      <c r="CO36" s="8" t="str">
        <f>IF(OR($A36="",$C36="",$D36="",$C36&gt;CO$6,$D36&lt;CO$9),"",IF($J36="里程碑","◆",""))</f>
        <v/>
      </c>
      <c r="CP36" s="8" t="str">
        <f>IF(OR($A36="",$C36="",$D36="",$C36&gt;CP$6,$D36&lt;CP$9),"",IF($J36="里程碑","◆",""))</f>
        <v/>
      </c>
      <c r="CQ36" s="8" t="str">
        <f>IF(OR($A36="",$C36="",$D36="",$C36&gt;CQ$6,$D36&lt;CQ$9),"",IF($J36="里程碑","◆",""))</f>
        <v/>
      </c>
      <c r="CR36" s="8" t="str">
        <f>IF(OR($A36="",$C36="",$D36="",$C36&gt;CR$6,$D36&lt;CR$9),"",IF($J36="里程碑","◆",""))</f>
        <v/>
      </c>
      <c r="CS36" s="8" t="str">
        <f>IF(OR($A36="",$C36="",$D36="",$C36&gt;CS$6,$D36&lt;CS$9),"",IF($J36="里程碑","◆",""))</f>
        <v/>
      </c>
      <c r="CT36" s="8" t="str">
        <f>IF(OR($A36="",$C36="",$D36="",$C36&gt;CT$6,$D36&lt;CT$9),"",IF($J36="里程碑","◆",""))</f>
        <v/>
      </c>
      <c r="CU36" s="8" t="str">
        <f>IF(OR($A36="",$C36="",$D36="",$C36&gt;CU$6,$D36&lt;CU$9),"",IF($J36="里程碑","◆",""))</f>
        <v/>
      </c>
      <c r="CV36" s="8" t="str">
        <f>IF(OR($A36="",$C36="",$D36="",$C36&gt;CV$6,$D36&lt;CV$9),"",IF($J36="里程碑","◆",""))</f>
        <v/>
      </c>
      <c r="CW36" s="8" t="str">
        <f>IF(OR($A36="",$C36="",$D36="",$C36&gt;CW$6,$D36&lt;CW$9),"",IF($J36="里程碑","◆",""))</f>
        <v/>
      </c>
      <c r="CX36" s="8" t="str">
        <f>IF(OR($A36="",$C36="",$D36="",$C36&gt;CX$6,$D36&lt;CX$9),"",IF($J36="里程碑","◆",""))</f>
        <v/>
      </c>
      <c r="CY36" s="8" t="str">
        <f>IF(OR($A36="",$C36="",$D36="",$C36&gt;CY$6,$D36&lt;CY$9),"",IF($J36="里程碑","◆",""))</f>
        <v/>
      </c>
      <c r="CZ36" s="8" t="str">
        <f>IF(OR($A36="",$C36="",$D36="",$C36&gt;CZ$6,$D36&lt;CZ$9),"",IF($J36="里程碑","◆",""))</f>
        <v/>
      </c>
      <c r="DA36" s="8" t="str">
        <f>IF(OR($A36="",$C36="",$D36="",$C36&gt;DA$6,$D36&lt;DA$9),"",IF($J36="里程碑","◆",""))</f>
        <v/>
      </c>
      <c r="DB36" s="8" t="str">
        <f>IF(OR($A36="",$C36="",$D36="",$C36&gt;DB$6,$D36&lt;DB$9),"",IF($J36="里程碑","◆",""))</f>
        <v/>
      </c>
      <c r="DC36" s="1" t="str">
        <f>IF(ROW()-9&gt;$DH$3,"",MATCH(ROW()-9,排期计算!$U$10:$U$109,0))</f>
        <v/>
      </c>
      <c r="DD36" s="1" t="str">
        <f>IF($DC36="","",INDEX(排期计算!$L$10:$L$109,$DC36))</f>
        <v/>
      </c>
      <c r="DE36" s="1"/>
      <c r="DF36" s="1"/>
      <c r="DG36" s="1"/>
      <c r="DH36" s="1"/>
      <c r="DI36" s="1"/>
      <c r="DJ36" s="1"/>
      <c r="DK36" s="1"/>
    </row>
    <row r="37" spans="1:115" ht="24.95" customHeight="1">
      <c r="A37" s="9" t="str">
        <f>IF($DC37="","",IF(AND(INDEX(排期计算!$A$10:$A$109,$DC37)="",NOT(ISNUMBER(INDEX(排期计算!$A$10:$A$109,$DC37)))),"",INDEX(排期计算!$A$10:$A$109,$DC37)))</f>
        <v/>
      </c>
      <c r="B37" s="1" t="str">
        <f>IF($DC37="","",REPT("　",$DD37-1)&amp;INDEX(排期计算!$B$10:$B$109,$DC37))</f>
        <v/>
      </c>
      <c r="C37" s="3" t="str">
        <f>IF($DC37="","",IF(AND(INDEX(排期计算!$M$10:$M$109,$DC37)="",NOT(ISNUMBER(INDEX(排期计算!$M$10:$M$109,$DC37)))),"",INDEX(排期计算!$M$10:$M$109,$DC37)))</f>
        <v/>
      </c>
      <c r="D37" s="3" t="str">
        <f>IF($DC37="","",IF(AND(INDEX(排期计算!$N$10:$N$109,$DC37)="",NOT(ISNUMBER(INDEX(排期计算!$N$10:$N$109,$DC37)))),"",INDEX(排期计算!$N$10:$N$109,$DC37)))</f>
        <v/>
      </c>
      <c r="E37" s="1" t="str">
        <f>IF(OR($C37="",$D37=""),"",IF($J37="里程碑",0,NETWORKDAYS($C37,$D37)))</f>
        <v/>
      </c>
      <c r="F37" s="7" t="str">
        <f>IF($DC37="","",IF(AND(INDEX(排期计算!$O$10:$O$109,$DC37)="",NOT(ISNUMBER(INDEX(排期计算!$O$10:$O$109,$DC37)))),"",INDEX(排期计算!$O$10:$O$109,$DC37)))</f>
        <v/>
      </c>
      <c r="G37" s="8" t="str">
        <f>IF($A37="","",IF(OR($C37="",$D37=""),"未排期",IF($F37&gt;=1,"已完成",IF($D37&lt;$B$4,"逾期",IF($C37&gt;$B$4,"未开始","进行中")))))</f>
        <v/>
      </c>
      <c r="H37" s="1" t="str">
        <f>IF($DC37="","",IF(AND(INDEX(排期计算!$C$10:$C$109,$DC37)="",NOT(ISNUMBER(INDEX(排期计算!$C$10:$C$109,$DC37)))),"",INDEX(排期计算!$C$10:$C$109,$DC37)))</f>
        <v/>
      </c>
      <c r="I37" s="1" t="str">
        <f>IF($DC37="","",IF(AND(INDEX(排期计算!$H$10:$H$109,$DC37)="",NOT(ISNUMBER(INDEX(排期计算!$H$10:$H$109,$DC37)))),"",INDEX(排期计算!$H$10:$H$109,$DC37)))</f>
        <v/>
      </c>
      <c r="J37" s="1" t="str">
        <f>IF($DC37="","",IF(AND(INDEX(排期计算!$K$10:$K$109,$DC37)="",NOT(ISNUMBER(INDEX(排期计算!$K$10:$K$109,$DC37)))),"",INDEX(排期计算!$K$10:$K$109,$DC37)))</f>
        <v/>
      </c>
      <c r="K37" s="8" t="str">
        <f>IF(OR($A37="",$C37="",$D37="",$C37&gt;K$6,$D37&lt;K$9),"",IF($J37="里程碑","◆",""))</f>
        <v/>
      </c>
      <c r="L37" s="8" t="str">
        <f>IF(OR($A37="",$C37="",$D37="",$C37&gt;L$6,$D37&lt;L$9),"",IF($J37="里程碑","◆",""))</f>
        <v/>
      </c>
      <c r="M37" s="8" t="str">
        <f>IF(OR($A37="",$C37="",$D37="",$C37&gt;M$6,$D37&lt;M$9),"",IF($J37="里程碑","◆",""))</f>
        <v/>
      </c>
      <c r="N37" s="8" t="str">
        <f>IF(OR($A37="",$C37="",$D37="",$C37&gt;N$6,$D37&lt;N$9),"",IF($J37="里程碑","◆",""))</f>
        <v/>
      </c>
      <c r="O37" s="8" t="str">
        <f>IF(OR($A37="",$C37="",$D37="",$C37&gt;O$6,$D37&lt;O$9),"",IF($J37="里程碑","◆",""))</f>
        <v/>
      </c>
      <c r="P37" s="8" t="str">
        <f>IF(OR($A37="",$C37="",$D37="",$C37&gt;P$6,$D37&lt;P$9),"",IF($J37="里程碑","◆",""))</f>
        <v/>
      </c>
      <c r="Q37" s="8" t="str">
        <f>IF(OR($A37="",$C37="",$D37="",$C37&gt;Q$6,$D37&lt;Q$9),"",IF($J37="里程碑","◆",""))</f>
        <v/>
      </c>
      <c r="R37" s="8" t="str">
        <f>IF(OR($A37="",$C37="",$D37="",$C37&gt;R$6,$D37&lt;R$9),"",IF($J37="里程碑","◆",""))</f>
        <v/>
      </c>
      <c r="S37" s="8" t="str">
        <f>IF(OR($A37="",$C37="",$D37="",$C37&gt;S$6,$D37&lt;S$9),"",IF($J37="里程碑","◆",""))</f>
        <v/>
      </c>
      <c r="T37" s="8" t="str">
        <f>IF(OR($A37="",$C37="",$D37="",$C37&gt;T$6,$D37&lt;T$9),"",IF($J37="里程碑","◆",""))</f>
        <v/>
      </c>
      <c r="U37" s="8" t="str">
        <f>IF(OR($A37="",$C37="",$D37="",$C37&gt;U$6,$D37&lt;U$9),"",IF($J37="里程碑","◆",""))</f>
        <v/>
      </c>
      <c r="V37" s="8" t="str">
        <f>IF(OR($A37="",$C37="",$D37="",$C37&gt;V$6,$D37&lt;V$9),"",IF($J37="里程碑","◆",""))</f>
        <v/>
      </c>
      <c r="W37" s="8" t="str">
        <f>IF(OR($A37="",$C37="",$D37="",$C37&gt;W$6,$D37&lt;W$9),"",IF($J37="里程碑","◆",""))</f>
        <v/>
      </c>
      <c r="X37" s="8" t="str">
        <f>IF(OR($A37="",$C37="",$D37="",$C37&gt;X$6,$D37&lt;X$9),"",IF($J37="里程碑","◆",""))</f>
        <v/>
      </c>
      <c r="Y37" s="8" t="str">
        <f>IF(OR($A37="",$C37="",$D37="",$C37&gt;Y$6,$D37&lt;Y$9),"",IF($J37="里程碑","◆",""))</f>
        <v/>
      </c>
      <c r="Z37" s="8" t="str">
        <f>IF(OR($A37="",$C37="",$D37="",$C37&gt;Z$6,$D37&lt;Z$9),"",IF($J37="里程碑","◆",""))</f>
        <v/>
      </c>
      <c r="AA37" s="8" t="str">
        <f>IF(OR($A37="",$C37="",$D37="",$C37&gt;AA$6,$D37&lt;AA$9),"",IF($J37="里程碑","◆",""))</f>
        <v/>
      </c>
      <c r="AB37" s="8" t="str">
        <f>IF(OR($A37="",$C37="",$D37="",$C37&gt;AB$6,$D37&lt;AB$9),"",IF($J37="里程碑","◆",""))</f>
        <v/>
      </c>
      <c r="AC37" s="8" t="str">
        <f>IF(OR($A37="",$C37="",$D37="",$C37&gt;AC$6,$D37&lt;AC$9),"",IF($J37="里程碑","◆",""))</f>
        <v/>
      </c>
      <c r="AD37" s="8" t="str">
        <f>IF(OR($A37="",$C37="",$D37="",$C37&gt;AD$6,$D37&lt;AD$9),"",IF($J37="里程碑","◆",""))</f>
        <v/>
      </c>
      <c r="AE37" s="8" t="str">
        <f>IF(OR($A37="",$C37="",$D37="",$C37&gt;AE$6,$D37&lt;AE$9),"",IF($J37="里程碑","◆",""))</f>
        <v/>
      </c>
      <c r="AF37" s="8" t="str">
        <f>IF(OR($A37="",$C37="",$D37="",$C37&gt;AF$6,$D37&lt;AF$9),"",IF($J37="里程碑","◆",""))</f>
        <v/>
      </c>
      <c r="AG37" s="8" t="str">
        <f>IF(OR($A37="",$C37="",$D37="",$C37&gt;AG$6,$D37&lt;AG$9),"",IF($J37="里程碑","◆",""))</f>
        <v/>
      </c>
      <c r="AH37" s="8" t="str">
        <f>IF(OR($A37="",$C37="",$D37="",$C37&gt;AH$6,$D37&lt;AH$9),"",IF($J37="里程碑","◆",""))</f>
        <v/>
      </c>
      <c r="AI37" s="8" t="str">
        <f>IF(OR($A37="",$C37="",$D37="",$C37&gt;AI$6,$D37&lt;AI$9),"",IF($J37="里程碑","◆",""))</f>
        <v/>
      </c>
      <c r="AJ37" s="8" t="str">
        <f>IF(OR($A37="",$C37="",$D37="",$C37&gt;AJ$6,$D37&lt;AJ$9),"",IF($J37="里程碑","◆",""))</f>
        <v/>
      </c>
      <c r="AK37" s="8" t="str">
        <f>IF(OR($A37="",$C37="",$D37="",$C37&gt;AK$6,$D37&lt;AK$9),"",IF($J37="里程碑","◆",""))</f>
        <v/>
      </c>
      <c r="AL37" s="8" t="str">
        <f>IF(OR($A37="",$C37="",$D37="",$C37&gt;AL$6,$D37&lt;AL$9),"",IF($J37="里程碑","◆",""))</f>
        <v/>
      </c>
      <c r="AM37" s="8" t="str">
        <f>IF(OR($A37="",$C37="",$D37="",$C37&gt;AM$6,$D37&lt;AM$9),"",IF($J37="里程碑","◆",""))</f>
        <v/>
      </c>
      <c r="AN37" s="8" t="str">
        <f>IF(OR($A37="",$C37="",$D37="",$C37&gt;AN$6,$D37&lt;AN$9),"",IF($J37="里程碑","◆",""))</f>
        <v/>
      </c>
      <c r="AO37" s="8" t="str">
        <f>IF(OR($A37="",$C37="",$D37="",$C37&gt;AO$6,$D37&lt;AO$9),"",IF($J37="里程碑","◆",""))</f>
        <v/>
      </c>
      <c r="AP37" s="8" t="str">
        <f>IF(OR($A37="",$C37="",$D37="",$C37&gt;AP$6,$D37&lt;AP$9),"",IF($J37="里程碑","◆",""))</f>
        <v/>
      </c>
      <c r="AQ37" s="8" t="str">
        <f>IF(OR($A37="",$C37="",$D37="",$C37&gt;AQ$6,$D37&lt;AQ$9),"",IF($J37="里程碑","◆",""))</f>
        <v/>
      </c>
      <c r="AR37" s="8" t="str">
        <f>IF(OR($A37="",$C37="",$D37="",$C37&gt;AR$6,$D37&lt;AR$9),"",IF($J37="里程碑","◆",""))</f>
        <v/>
      </c>
      <c r="AS37" s="8" t="str">
        <f>IF(OR($A37="",$C37="",$D37="",$C37&gt;AS$6,$D37&lt;AS$9),"",IF($J37="里程碑","◆",""))</f>
        <v/>
      </c>
      <c r="AT37" s="8" t="str">
        <f>IF(OR($A37="",$C37="",$D37="",$C37&gt;AT$6,$D37&lt;AT$9),"",IF($J37="里程碑","◆",""))</f>
        <v/>
      </c>
      <c r="AU37" s="8" t="str">
        <f>IF(OR($A37="",$C37="",$D37="",$C37&gt;AU$6,$D37&lt;AU$9),"",IF($J37="里程碑","◆",""))</f>
        <v/>
      </c>
      <c r="AV37" s="8" t="str">
        <f>IF(OR($A37="",$C37="",$D37="",$C37&gt;AV$6,$D37&lt;AV$9),"",IF($J37="里程碑","◆",""))</f>
        <v/>
      </c>
      <c r="AW37" s="8" t="str">
        <f>IF(OR($A37="",$C37="",$D37="",$C37&gt;AW$6,$D37&lt;AW$9),"",IF($J37="里程碑","◆",""))</f>
        <v/>
      </c>
      <c r="AX37" s="8" t="str">
        <f>IF(OR($A37="",$C37="",$D37="",$C37&gt;AX$6,$D37&lt;AX$9),"",IF($J37="里程碑","◆",""))</f>
        <v/>
      </c>
      <c r="AY37" s="8" t="str">
        <f>IF(OR($A37="",$C37="",$D37="",$C37&gt;AY$6,$D37&lt;AY$9),"",IF($J37="里程碑","◆",""))</f>
        <v/>
      </c>
      <c r="AZ37" s="8" t="str">
        <f>IF(OR($A37="",$C37="",$D37="",$C37&gt;AZ$6,$D37&lt;AZ$9),"",IF($J37="里程碑","◆",""))</f>
        <v/>
      </c>
      <c r="BA37" s="8" t="str">
        <f>IF(OR($A37="",$C37="",$D37="",$C37&gt;BA$6,$D37&lt;BA$9),"",IF($J37="里程碑","◆",""))</f>
        <v/>
      </c>
      <c r="BB37" s="8" t="str">
        <f>IF(OR($A37="",$C37="",$D37="",$C37&gt;BB$6,$D37&lt;BB$9),"",IF($J37="里程碑","◆",""))</f>
        <v/>
      </c>
      <c r="BC37" s="8" t="str">
        <f>IF(OR($A37="",$C37="",$D37="",$C37&gt;BC$6,$D37&lt;BC$9),"",IF($J37="里程碑","◆",""))</f>
        <v/>
      </c>
      <c r="BD37" s="8" t="str">
        <f>IF(OR($A37="",$C37="",$D37="",$C37&gt;BD$6,$D37&lt;BD$9),"",IF($J37="里程碑","◆",""))</f>
        <v/>
      </c>
      <c r="BE37" s="8" t="str">
        <f>IF(OR($A37="",$C37="",$D37="",$C37&gt;BE$6,$D37&lt;BE$9),"",IF($J37="里程碑","◆",""))</f>
        <v/>
      </c>
      <c r="BF37" s="8" t="str">
        <f>IF(OR($A37="",$C37="",$D37="",$C37&gt;BF$6,$D37&lt;BF$9),"",IF($J37="里程碑","◆",""))</f>
        <v/>
      </c>
      <c r="BG37" s="8" t="str">
        <f>IF(OR($A37="",$C37="",$D37="",$C37&gt;BG$6,$D37&lt;BG$9),"",IF($J37="里程碑","◆",""))</f>
        <v/>
      </c>
      <c r="BH37" s="8" t="str">
        <f>IF(OR($A37="",$C37="",$D37="",$C37&gt;BH$6,$D37&lt;BH$9),"",IF($J37="里程碑","◆",""))</f>
        <v/>
      </c>
      <c r="BI37" s="8" t="str">
        <f>IF(OR($A37="",$C37="",$D37="",$C37&gt;BI$6,$D37&lt;BI$9),"",IF($J37="里程碑","◆",""))</f>
        <v/>
      </c>
      <c r="BJ37" s="8" t="str">
        <f>IF(OR($A37="",$C37="",$D37="",$C37&gt;BJ$6,$D37&lt;BJ$9),"",IF($J37="里程碑","◆",""))</f>
        <v/>
      </c>
      <c r="BK37" s="8" t="str">
        <f>IF(OR($A37="",$C37="",$D37="",$C37&gt;BK$6,$D37&lt;BK$9),"",IF($J37="里程碑","◆",""))</f>
        <v/>
      </c>
      <c r="BL37" s="8" t="str">
        <f>IF(OR($A37="",$C37="",$D37="",$C37&gt;BL$6,$D37&lt;BL$9),"",IF($J37="里程碑","◆",""))</f>
        <v/>
      </c>
      <c r="BM37" s="8" t="str">
        <f>IF(OR($A37="",$C37="",$D37="",$C37&gt;BM$6,$D37&lt;BM$9),"",IF($J37="里程碑","◆",""))</f>
        <v/>
      </c>
      <c r="BN37" s="8" t="str">
        <f>IF(OR($A37="",$C37="",$D37="",$C37&gt;BN$6,$D37&lt;BN$9),"",IF($J37="里程碑","◆",""))</f>
        <v/>
      </c>
      <c r="BO37" s="8" t="str">
        <f>IF(OR($A37="",$C37="",$D37="",$C37&gt;BO$6,$D37&lt;BO$9),"",IF($J37="里程碑","◆",""))</f>
        <v/>
      </c>
      <c r="BP37" s="8" t="str">
        <f>IF(OR($A37="",$C37="",$D37="",$C37&gt;BP$6,$D37&lt;BP$9),"",IF($J37="里程碑","◆",""))</f>
        <v/>
      </c>
      <c r="BQ37" s="8" t="str">
        <f>IF(OR($A37="",$C37="",$D37="",$C37&gt;BQ$6,$D37&lt;BQ$9),"",IF($J37="里程碑","◆",""))</f>
        <v/>
      </c>
      <c r="BR37" s="8" t="str">
        <f>IF(OR($A37="",$C37="",$D37="",$C37&gt;BR$6,$D37&lt;BR$9),"",IF($J37="里程碑","◆",""))</f>
        <v/>
      </c>
      <c r="BS37" s="8" t="str">
        <f>IF(OR($A37="",$C37="",$D37="",$C37&gt;BS$6,$D37&lt;BS$9),"",IF($J37="里程碑","◆",""))</f>
        <v/>
      </c>
      <c r="BT37" s="8" t="str">
        <f>IF(OR($A37="",$C37="",$D37="",$C37&gt;BT$6,$D37&lt;BT$9),"",IF($J37="里程碑","◆",""))</f>
        <v/>
      </c>
      <c r="BU37" s="8" t="str">
        <f>IF(OR($A37="",$C37="",$D37="",$C37&gt;BU$6,$D37&lt;BU$9),"",IF($J37="里程碑","◆",""))</f>
        <v/>
      </c>
      <c r="BV37" s="8" t="str">
        <f>IF(OR($A37="",$C37="",$D37="",$C37&gt;BV$6,$D37&lt;BV$9),"",IF($J37="里程碑","◆",""))</f>
        <v/>
      </c>
      <c r="BW37" s="8" t="str">
        <f>IF(OR($A37="",$C37="",$D37="",$C37&gt;BW$6,$D37&lt;BW$9),"",IF($J37="里程碑","◆",""))</f>
        <v/>
      </c>
      <c r="BX37" s="8" t="str">
        <f>IF(OR($A37="",$C37="",$D37="",$C37&gt;BX$6,$D37&lt;BX$9),"",IF($J37="里程碑","◆",""))</f>
        <v/>
      </c>
      <c r="BY37" s="8" t="str">
        <f>IF(OR($A37="",$C37="",$D37="",$C37&gt;BY$6,$D37&lt;BY$9),"",IF($J37="里程碑","◆",""))</f>
        <v/>
      </c>
      <c r="BZ37" s="8" t="str">
        <f>IF(OR($A37="",$C37="",$D37="",$C37&gt;BZ$6,$D37&lt;BZ$9),"",IF($J37="里程碑","◆",""))</f>
        <v/>
      </c>
      <c r="CA37" s="8" t="str">
        <f>IF(OR($A37="",$C37="",$D37="",$C37&gt;CA$6,$D37&lt;CA$9),"",IF($J37="里程碑","◆",""))</f>
        <v/>
      </c>
      <c r="CB37" s="8" t="str">
        <f>IF(OR($A37="",$C37="",$D37="",$C37&gt;CB$6,$D37&lt;CB$9),"",IF($J37="里程碑","◆",""))</f>
        <v/>
      </c>
      <c r="CC37" s="8" t="str">
        <f>IF(OR($A37="",$C37="",$D37="",$C37&gt;CC$6,$D37&lt;CC$9),"",IF($J37="里程碑","◆",""))</f>
        <v/>
      </c>
      <c r="CD37" s="8" t="str">
        <f>IF(OR($A37="",$C37="",$D37="",$C37&gt;CD$6,$D37&lt;CD$9),"",IF($J37="里程碑","◆",""))</f>
        <v/>
      </c>
      <c r="CE37" s="8" t="str">
        <f>IF(OR($A37="",$C37="",$D37="",$C37&gt;CE$6,$D37&lt;CE$9),"",IF($J37="里程碑","◆",""))</f>
        <v/>
      </c>
      <c r="CF37" s="8" t="str">
        <f>IF(OR($A37="",$C37="",$D37="",$C37&gt;CF$6,$D37&lt;CF$9),"",IF($J37="里程碑","◆",""))</f>
        <v/>
      </c>
      <c r="CG37" s="8" t="str">
        <f>IF(OR($A37="",$C37="",$D37="",$C37&gt;CG$6,$D37&lt;CG$9),"",IF($J37="里程碑","◆",""))</f>
        <v/>
      </c>
      <c r="CH37" s="8" t="str">
        <f>IF(OR($A37="",$C37="",$D37="",$C37&gt;CH$6,$D37&lt;CH$9),"",IF($J37="里程碑","◆",""))</f>
        <v/>
      </c>
      <c r="CI37" s="8" t="str">
        <f>IF(OR($A37="",$C37="",$D37="",$C37&gt;CI$6,$D37&lt;CI$9),"",IF($J37="里程碑","◆",""))</f>
        <v/>
      </c>
      <c r="CJ37" s="8" t="str">
        <f>IF(OR($A37="",$C37="",$D37="",$C37&gt;CJ$6,$D37&lt;CJ$9),"",IF($J37="里程碑","◆",""))</f>
        <v/>
      </c>
      <c r="CK37" s="8" t="str">
        <f>IF(OR($A37="",$C37="",$D37="",$C37&gt;CK$6,$D37&lt;CK$9),"",IF($J37="里程碑","◆",""))</f>
        <v/>
      </c>
      <c r="CL37" s="8" t="str">
        <f>IF(OR($A37="",$C37="",$D37="",$C37&gt;CL$6,$D37&lt;CL$9),"",IF($J37="里程碑","◆",""))</f>
        <v/>
      </c>
      <c r="CM37" s="8" t="str">
        <f>IF(OR($A37="",$C37="",$D37="",$C37&gt;CM$6,$D37&lt;CM$9),"",IF($J37="里程碑","◆",""))</f>
        <v/>
      </c>
      <c r="CN37" s="8" t="str">
        <f>IF(OR($A37="",$C37="",$D37="",$C37&gt;CN$6,$D37&lt;CN$9),"",IF($J37="里程碑","◆",""))</f>
        <v/>
      </c>
      <c r="CO37" s="8" t="str">
        <f>IF(OR($A37="",$C37="",$D37="",$C37&gt;CO$6,$D37&lt;CO$9),"",IF($J37="里程碑","◆",""))</f>
        <v/>
      </c>
      <c r="CP37" s="8" t="str">
        <f>IF(OR($A37="",$C37="",$D37="",$C37&gt;CP$6,$D37&lt;CP$9),"",IF($J37="里程碑","◆",""))</f>
        <v/>
      </c>
      <c r="CQ37" s="8" t="str">
        <f>IF(OR($A37="",$C37="",$D37="",$C37&gt;CQ$6,$D37&lt;CQ$9),"",IF($J37="里程碑","◆",""))</f>
        <v/>
      </c>
      <c r="CR37" s="8" t="str">
        <f>IF(OR($A37="",$C37="",$D37="",$C37&gt;CR$6,$D37&lt;CR$9),"",IF($J37="里程碑","◆",""))</f>
        <v/>
      </c>
      <c r="CS37" s="8" t="str">
        <f>IF(OR($A37="",$C37="",$D37="",$C37&gt;CS$6,$D37&lt;CS$9),"",IF($J37="里程碑","◆",""))</f>
        <v/>
      </c>
      <c r="CT37" s="8" t="str">
        <f>IF(OR($A37="",$C37="",$D37="",$C37&gt;CT$6,$D37&lt;CT$9),"",IF($J37="里程碑","◆",""))</f>
        <v/>
      </c>
      <c r="CU37" s="8" t="str">
        <f>IF(OR($A37="",$C37="",$D37="",$C37&gt;CU$6,$D37&lt;CU$9),"",IF($J37="里程碑","◆",""))</f>
        <v/>
      </c>
      <c r="CV37" s="8" t="str">
        <f>IF(OR($A37="",$C37="",$D37="",$C37&gt;CV$6,$D37&lt;CV$9),"",IF($J37="里程碑","◆",""))</f>
        <v/>
      </c>
      <c r="CW37" s="8" t="str">
        <f>IF(OR($A37="",$C37="",$D37="",$C37&gt;CW$6,$D37&lt;CW$9),"",IF($J37="里程碑","◆",""))</f>
        <v/>
      </c>
      <c r="CX37" s="8" t="str">
        <f>IF(OR($A37="",$C37="",$D37="",$C37&gt;CX$6,$D37&lt;CX$9),"",IF($J37="里程碑","◆",""))</f>
        <v/>
      </c>
      <c r="CY37" s="8" t="str">
        <f>IF(OR($A37="",$C37="",$D37="",$C37&gt;CY$6,$D37&lt;CY$9),"",IF($J37="里程碑","◆",""))</f>
        <v/>
      </c>
      <c r="CZ37" s="8" t="str">
        <f>IF(OR($A37="",$C37="",$D37="",$C37&gt;CZ$6,$D37&lt;CZ$9),"",IF($J37="里程碑","◆",""))</f>
        <v/>
      </c>
      <c r="DA37" s="8" t="str">
        <f>IF(OR($A37="",$C37="",$D37="",$C37&gt;DA$6,$D37&lt;DA$9),"",IF($J37="里程碑","◆",""))</f>
        <v/>
      </c>
      <c r="DB37" s="8" t="str">
        <f>IF(OR($A37="",$C37="",$D37="",$C37&gt;DB$6,$D37&lt;DB$9),"",IF($J37="里程碑","◆",""))</f>
        <v/>
      </c>
      <c r="DC37" s="1" t="str">
        <f>IF(ROW()-9&gt;$DH$3,"",MATCH(ROW()-9,排期计算!$U$10:$U$109,0))</f>
        <v/>
      </c>
      <c r="DD37" s="1" t="str">
        <f>IF($DC37="","",INDEX(排期计算!$L$10:$L$109,$DC37))</f>
        <v/>
      </c>
      <c r="DE37" s="1"/>
      <c r="DF37" s="1"/>
      <c r="DG37" s="1"/>
      <c r="DH37" s="1"/>
      <c r="DI37" s="1"/>
      <c r="DJ37" s="1"/>
      <c r="DK37" s="1"/>
    </row>
    <row r="38" spans="1:115" ht="24.95" customHeight="1">
      <c r="A38" s="9" t="str">
        <f>IF($DC38="","",IF(AND(INDEX(排期计算!$A$10:$A$109,$DC38)="",NOT(ISNUMBER(INDEX(排期计算!$A$10:$A$109,$DC38)))),"",INDEX(排期计算!$A$10:$A$109,$DC38)))</f>
        <v/>
      </c>
      <c r="B38" s="1" t="str">
        <f>IF($DC38="","",REPT("　",$DD38-1)&amp;INDEX(排期计算!$B$10:$B$109,$DC38))</f>
        <v/>
      </c>
      <c r="C38" s="3" t="str">
        <f>IF($DC38="","",IF(AND(INDEX(排期计算!$M$10:$M$109,$DC38)="",NOT(ISNUMBER(INDEX(排期计算!$M$10:$M$109,$DC38)))),"",INDEX(排期计算!$M$10:$M$109,$DC38)))</f>
        <v/>
      </c>
      <c r="D38" s="3" t="str">
        <f>IF($DC38="","",IF(AND(INDEX(排期计算!$N$10:$N$109,$DC38)="",NOT(ISNUMBER(INDEX(排期计算!$N$10:$N$109,$DC38)))),"",INDEX(排期计算!$N$10:$N$109,$DC38)))</f>
        <v/>
      </c>
      <c r="E38" s="1" t="str">
        <f>IF(OR($C38="",$D38=""),"",IF($J38="里程碑",0,NETWORKDAYS($C38,$D38)))</f>
        <v/>
      </c>
      <c r="F38" s="7" t="str">
        <f>IF($DC38="","",IF(AND(INDEX(排期计算!$O$10:$O$109,$DC38)="",NOT(ISNUMBER(INDEX(排期计算!$O$10:$O$109,$DC38)))),"",INDEX(排期计算!$O$10:$O$109,$DC38)))</f>
        <v/>
      </c>
      <c r="G38" s="8" t="str">
        <f>IF($A38="","",IF(OR($C38="",$D38=""),"未排期",IF($F38&gt;=1,"已完成",IF($D38&lt;$B$4,"逾期",IF($C38&gt;$B$4,"未开始","进行中")))))</f>
        <v/>
      </c>
      <c r="H38" s="1" t="str">
        <f>IF($DC38="","",IF(AND(INDEX(排期计算!$C$10:$C$109,$DC38)="",NOT(ISNUMBER(INDEX(排期计算!$C$10:$C$109,$DC38)))),"",INDEX(排期计算!$C$10:$C$109,$DC38)))</f>
        <v/>
      </c>
      <c r="I38" s="1" t="str">
        <f>IF($DC38="","",IF(AND(INDEX(排期计算!$H$10:$H$109,$DC38)="",NOT(ISNUMBER(INDEX(排期计算!$H$10:$H$109,$DC38)))),"",INDEX(排期计算!$H$10:$H$109,$DC38)))</f>
        <v/>
      </c>
      <c r="J38" s="1" t="str">
        <f>IF($DC38="","",IF(AND(INDEX(排期计算!$K$10:$K$109,$DC38)="",NOT(ISNUMBER(INDEX(排期计算!$K$10:$K$109,$DC38)))),"",INDEX(排期计算!$K$10:$K$109,$DC38)))</f>
        <v/>
      </c>
      <c r="K38" s="8" t="str">
        <f>IF(OR($A38="",$C38="",$D38="",$C38&gt;K$6,$D38&lt;K$9),"",IF($J38="里程碑","◆",""))</f>
        <v/>
      </c>
      <c r="L38" s="8" t="str">
        <f>IF(OR($A38="",$C38="",$D38="",$C38&gt;L$6,$D38&lt;L$9),"",IF($J38="里程碑","◆",""))</f>
        <v/>
      </c>
      <c r="M38" s="8" t="str">
        <f>IF(OR($A38="",$C38="",$D38="",$C38&gt;M$6,$D38&lt;M$9),"",IF($J38="里程碑","◆",""))</f>
        <v/>
      </c>
      <c r="N38" s="8" t="str">
        <f>IF(OR($A38="",$C38="",$D38="",$C38&gt;N$6,$D38&lt;N$9),"",IF($J38="里程碑","◆",""))</f>
        <v/>
      </c>
      <c r="O38" s="8" t="str">
        <f>IF(OR($A38="",$C38="",$D38="",$C38&gt;O$6,$D38&lt;O$9),"",IF($J38="里程碑","◆",""))</f>
        <v/>
      </c>
      <c r="P38" s="8" t="str">
        <f>IF(OR($A38="",$C38="",$D38="",$C38&gt;P$6,$D38&lt;P$9),"",IF($J38="里程碑","◆",""))</f>
        <v/>
      </c>
      <c r="Q38" s="8" t="str">
        <f>IF(OR($A38="",$C38="",$D38="",$C38&gt;Q$6,$D38&lt;Q$9),"",IF($J38="里程碑","◆",""))</f>
        <v/>
      </c>
      <c r="R38" s="8" t="str">
        <f>IF(OR($A38="",$C38="",$D38="",$C38&gt;R$6,$D38&lt;R$9),"",IF($J38="里程碑","◆",""))</f>
        <v/>
      </c>
      <c r="S38" s="8" t="str">
        <f>IF(OR($A38="",$C38="",$D38="",$C38&gt;S$6,$D38&lt;S$9),"",IF($J38="里程碑","◆",""))</f>
        <v/>
      </c>
      <c r="T38" s="8" t="str">
        <f>IF(OR($A38="",$C38="",$D38="",$C38&gt;T$6,$D38&lt;T$9),"",IF($J38="里程碑","◆",""))</f>
        <v/>
      </c>
      <c r="U38" s="8" t="str">
        <f>IF(OR($A38="",$C38="",$D38="",$C38&gt;U$6,$D38&lt;U$9),"",IF($J38="里程碑","◆",""))</f>
        <v/>
      </c>
      <c r="V38" s="8" t="str">
        <f>IF(OR($A38="",$C38="",$D38="",$C38&gt;V$6,$D38&lt;V$9),"",IF($J38="里程碑","◆",""))</f>
        <v/>
      </c>
      <c r="W38" s="8" t="str">
        <f>IF(OR($A38="",$C38="",$D38="",$C38&gt;W$6,$D38&lt;W$9),"",IF($J38="里程碑","◆",""))</f>
        <v/>
      </c>
      <c r="X38" s="8" t="str">
        <f>IF(OR($A38="",$C38="",$D38="",$C38&gt;X$6,$D38&lt;X$9),"",IF($J38="里程碑","◆",""))</f>
        <v/>
      </c>
      <c r="Y38" s="8" t="str">
        <f>IF(OR($A38="",$C38="",$D38="",$C38&gt;Y$6,$D38&lt;Y$9),"",IF($J38="里程碑","◆",""))</f>
        <v/>
      </c>
      <c r="Z38" s="8" t="str">
        <f>IF(OR($A38="",$C38="",$D38="",$C38&gt;Z$6,$D38&lt;Z$9),"",IF($J38="里程碑","◆",""))</f>
        <v/>
      </c>
      <c r="AA38" s="8" t="str">
        <f>IF(OR($A38="",$C38="",$D38="",$C38&gt;AA$6,$D38&lt;AA$9),"",IF($J38="里程碑","◆",""))</f>
        <v/>
      </c>
      <c r="AB38" s="8" t="str">
        <f>IF(OR($A38="",$C38="",$D38="",$C38&gt;AB$6,$D38&lt;AB$9),"",IF($J38="里程碑","◆",""))</f>
        <v/>
      </c>
      <c r="AC38" s="8" t="str">
        <f>IF(OR($A38="",$C38="",$D38="",$C38&gt;AC$6,$D38&lt;AC$9),"",IF($J38="里程碑","◆",""))</f>
        <v/>
      </c>
      <c r="AD38" s="8" t="str">
        <f>IF(OR($A38="",$C38="",$D38="",$C38&gt;AD$6,$D38&lt;AD$9),"",IF($J38="里程碑","◆",""))</f>
        <v/>
      </c>
      <c r="AE38" s="8" t="str">
        <f>IF(OR($A38="",$C38="",$D38="",$C38&gt;AE$6,$D38&lt;AE$9),"",IF($J38="里程碑","◆",""))</f>
        <v/>
      </c>
      <c r="AF38" s="8" t="str">
        <f>IF(OR($A38="",$C38="",$D38="",$C38&gt;AF$6,$D38&lt;AF$9),"",IF($J38="里程碑","◆",""))</f>
        <v/>
      </c>
      <c r="AG38" s="8" t="str">
        <f>IF(OR($A38="",$C38="",$D38="",$C38&gt;AG$6,$D38&lt;AG$9),"",IF($J38="里程碑","◆",""))</f>
        <v/>
      </c>
      <c r="AH38" s="8" t="str">
        <f>IF(OR($A38="",$C38="",$D38="",$C38&gt;AH$6,$D38&lt;AH$9),"",IF($J38="里程碑","◆",""))</f>
        <v/>
      </c>
      <c r="AI38" s="8" t="str">
        <f>IF(OR($A38="",$C38="",$D38="",$C38&gt;AI$6,$D38&lt;AI$9),"",IF($J38="里程碑","◆",""))</f>
        <v/>
      </c>
      <c r="AJ38" s="8" t="str">
        <f>IF(OR($A38="",$C38="",$D38="",$C38&gt;AJ$6,$D38&lt;AJ$9),"",IF($J38="里程碑","◆",""))</f>
        <v/>
      </c>
      <c r="AK38" s="8" t="str">
        <f>IF(OR($A38="",$C38="",$D38="",$C38&gt;AK$6,$D38&lt;AK$9),"",IF($J38="里程碑","◆",""))</f>
        <v/>
      </c>
      <c r="AL38" s="8" t="str">
        <f>IF(OR($A38="",$C38="",$D38="",$C38&gt;AL$6,$D38&lt;AL$9),"",IF($J38="里程碑","◆",""))</f>
        <v/>
      </c>
      <c r="AM38" s="8" t="str">
        <f>IF(OR($A38="",$C38="",$D38="",$C38&gt;AM$6,$D38&lt;AM$9),"",IF($J38="里程碑","◆",""))</f>
        <v/>
      </c>
      <c r="AN38" s="8" t="str">
        <f>IF(OR($A38="",$C38="",$D38="",$C38&gt;AN$6,$D38&lt;AN$9),"",IF($J38="里程碑","◆",""))</f>
        <v/>
      </c>
      <c r="AO38" s="8" t="str">
        <f>IF(OR($A38="",$C38="",$D38="",$C38&gt;AO$6,$D38&lt;AO$9),"",IF($J38="里程碑","◆",""))</f>
        <v/>
      </c>
      <c r="AP38" s="8" t="str">
        <f>IF(OR($A38="",$C38="",$D38="",$C38&gt;AP$6,$D38&lt;AP$9),"",IF($J38="里程碑","◆",""))</f>
        <v/>
      </c>
      <c r="AQ38" s="8" t="str">
        <f>IF(OR($A38="",$C38="",$D38="",$C38&gt;AQ$6,$D38&lt;AQ$9),"",IF($J38="里程碑","◆",""))</f>
        <v/>
      </c>
      <c r="AR38" s="8" t="str">
        <f>IF(OR($A38="",$C38="",$D38="",$C38&gt;AR$6,$D38&lt;AR$9),"",IF($J38="里程碑","◆",""))</f>
        <v/>
      </c>
      <c r="AS38" s="8" t="str">
        <f>IF(OR($A38="",$C38="",$D38="",$C38&gt;AS$6,$D38&lt;AS$9),"",IF($J38="里程碑","◆",""))</f>
        <v/>
      </c>
      <c r="AT38" s="8" t="str">
        <f>IF(OR($A38="",$C38="",$D38="",$C38&gt;AT$6,$D38&lt;AT$9),"",IF($J38="里程碑","◆",""))</f>
        <v/>
      </c>
      <c r="AU38" s="8" t="str">
        <f>IF(OR($A38="",$C38="",$D38="",$C38&gt;AU$6,$D38&lt;AU$9),"",IF($J38="里程碑","◆",""))</f>
        <v/>
      </c>
      <c r="AV38" s="8" t="str">
        <f>IF(OR($A38="",$C38="",$D38="",$C38&gt;AV$6,$D38&lt;AV$9),"",IF($J38="里程碑","◆",""))</f>
        <v/>
      </c>
      <c r="AW38" s="8" t="str">
        <f>IF(OR($A38="",$C38="",$D38="",$C38&gt;AW$6,$D38&lt;AW$9),"",IF($J38="里程碑","◆",""))</f>
        <v/>
      </c>
      <c r="AX38" s="8" t="str">
        <f>IF(OR($A38="",$C38="",$D38="",$C38&gt;AX$6,$D38&lt;AX$9),"",IF($J38="里程碑","◆",""))</f>
        <v/>
      </c>
      <c r="AY38" s="8" t="str">
        <f>IF(OR($A38="",$C38="",$D38="",$C38&gt;AY$6,$D38&lt;AY$9),"",IF($J38="里程碑","◆",""))</f>
        <v/>
      </c>
      <c r="AZ38" s="8" t="str">
        <f>IF(OR($A38="",$C38="",$D38="",$C38&gt;AZ$6,$D38&lt;AZ$9),"",IF($J38="里程碑","◆",""))</f>
        <v/>
      </c>
      <c r="BA38" s="8" t="str">
        <f>IF(OR($A38="",$C38="",$D38="",$C38&gt;BA$6,$D38&lt;BA$9),"",IF($J38="里程碑","◆",""))</f>
        <v/>
      </c>
      <c r="BB38" s="8" t="str">
        <f>IF(OR($A38="",$C38="",$D38="",$C38&gt;BB$6,$D38&lt;BB$9),"",IF($J38="里程碑","◆",""))</f>
        <v/>
      </c>
      <c r="BC38" s="8" t="str">
        <f>IF(OR($A38="",$C38="",$D38="",$C38&gt;BC$6,$D38&lt;BC$9),"",IF($J38="里程碑","◆",""))</f>
        <v/>
      </c>
      <c r="BD38" s="8" t="str">
        <f>IF(OR($A38="",$C38="",$D38="",$C38&gt;BD$6,$D38&lt;BD$9),"",IF($J38="里程碑","◆",""))</f>
        <v/>
      </c>
      <c r="BE38" s="8" t="str">
        <f>IF(OR($A38="",$C38="",$D38="",$C38&gt;BE$6,$D38&lt;BE$9),"",IF($J38="里程碑","◆",""))</f>
        <v/>
      </c>
      <c r="BF38" s="8" t="str">
        <f>IF(OR($A38="",$C38="",$D38="",$C38&gt;BF$6,$D38&lt;BF$9),"",IF($J38="里程碑","◆",""))</f>
        <v/>
      </c>
      <c r="BG38" s="8" t="str">
        <f>IF(OR($A38="",$C38="",$D38="",$C38&gt;BG$6,$D38&lt;BG$9),"",IF($J38="里程碑","◆",""))</f>
        <v/>
      </c>
      <c r="BH38" s="8" t="str">
        <f>IF(OR($A38="",$C38="",$D38="",$C38&gt;BH$6,$D38&lt;BH$9),"",IF($J38="里程碑","◆",""))</f>
        <v/>
      </c>
      <c r="BI38" s="8" t="str">
        <f>IF(OR($A38="",$C38="",$D38="",$C38&gt;BI$6,$D38&lt;BI$9),"",IF($J38="里程碑","◆",""))</f>
        <v/>
      </c>
      <c r="BJ38" s="8" t="str">
        <f>IF(OR($A38="",$C38="",$D38="",$C38&gt;BJ$6,$D38&lt;BJ$9),"",IF($J38="里程碑","◆",""))</f>
        <v/>
      </c>
      <c r="BK38" s="8" t="str">
        <f>IF(OR($A38="",$C38="",$D38="",$C38&gt;BK$6,$D38&lt;BK$9),"",IF($J38="里程碑","◆",""))</f>
        <v/>
      </c>
      <c r="BL38" s="8" t="str">
        <f>IF(OR($A38="",$C38="",$D38="",$C38&gt;BL$6,$D38&lt;BL$9),"",IF($J38="里程碑","◆",""))</f>
        <v/>
      </c>
      <c r="BM38" s="8" t="str">
        <f>IF(OR($A38="",$C38="",$D38="",$C38&gt;BM$6,$D38&lt;BM$9),"",IF($J38="里程碑","◆",""))</f>
        <v/>
      </c>
      <c r="BN38" s="8" t="str">
        <f>IF(OR($A38="",$C38="",$D38="",$C38&gt;BN$6,$D38&lt;BN$9),"",IF($J38="里程碑","◆",""))</f>
        <v/>
      </c>
      <c r="BO38" s="8" t="str">
        <f>IF(OR($A38="",$C38="",$D38="",$C38&gt;BO$6,$D38&lt;BO$9),"",IF($J38="里程碑","◆",""))</f>
        <v/>
      </c>
      <c r="BP38" s="8" t="str">
        <f>IF(OR($A38="",$C38="",$D38="",$C38&gt;BP$6,$D38&lt;BP$9),"",IF($J38="里程碑","◆",""))</f>
        <v/>
      </c>
      <c r="BQ38" s="8" t="str">
        <f>IF(OR($A38="",$C38="",$D38="",$C38&gt;BQ$6,$D38&lt;BQ$9),"",IF($J38="里程碑","◆",""))</f>
        <v/>
      </c>
      <c r="BR38" s="8" t="str">
        <f>IF(OR($A38="",$C38="",$D38="",$C38&gt;BR$6,$D38&lt;BR$9),"",IF($J38="里程碑","◆",""))</f>
        <v/>
      </c>
      <c r="BS38" s="8" t="str">
        <f>IF(OR($A38="",$C38="",$D38="",$C38&gt;BS$6,$D38&lt;BS$9),"",IF($J38="里程碑","◆",""))</f>
        <v/>
      </c>
      <c r="BT38" s="8" t="str">
        <f>IF(OR($A38="",$C38="",$D38="",$C38&gt;BT$6,$D38&lt;BT$9),"",IF($J38="里程碑","◆",""))</f>
        <v/>
      </c>
      <c r="BU38" s="8" t="str">
        <f>IF(OR($A38="",$C38="",$D38="",$C38&gt;BU$6,$D38&lt;BU$9),"",IF($J38="里程碑","◆",""))</f>
        <v/>
      </c>
      <c r="BV38" s="8" t="str">
        <f>IF(OR($A38="",$C38="",$D38="",$C38&gt;BV$6,$D38&lt;BV$9),"",IF($J38="里程碑","◆",""))</f>
        <v/>
      </c>
      <c r="BW38" s="8" t="str">
        <f>IF(OR($A38="",$C38="",$D38="",$C38&gt;BW$6,$D38&lt;BW$9),"",IF($J38="里程碑","◆",""))</f>
        <v/>
      </c>
      <c r="BX38" s="8" t="str">
        <f>IF(OR($A38="",$C38="",$D38="",$C38&gt;BX$6,$D38&lt;BX$9),"",IF($J38="里程碑","◆",""))</f>
        <v/>
      </c>
      <c r="BY38" s="8" t="str">
        <f>IF(OR($A38="",$C38="",$D38="",$C38&gt;BY$6,$D38&lt;BY$9),"",IF($J38="里程碑","◆",""))</f>
        <v/>
      </c>
      <c r="BZ38" s="8" t="str">
        <f>IF(OR($A38="",$C38="",$D38="",$C38&gt;BZ$6,$D38&lt;BZ$9),"",IF($J38="里程碑","◆",""))</f>
        <v/>
      </c>
      <c r="CA38" s="8" t="str">
        <f>IF(OR($A38="",$C38="",$D38="",$C38&gt;CA$6,$D38&lt;CA$9),"",IF($J38="里程碑","◆",""))</f>
        <v/>
      </c>
      <c r="CB38" s="8" t="str">
        <f>IF(OR($A38="",$C38="",$D38="",$C38&gt;CB$6,$D38&lt;CB$9),"",IF($J38="里程碑","◆",""))</f>
        <v/>
      </c>
      <c r="CC38" s="8" t="str">
        <f>IF(OR($A38="",$C38="",$D38="",$C38&gt;CC$6,$D38&lt;CC$9),"",IF($J38="里程碑","◆",""))</f>
        <v/>
      </c>
      <c r="CD38" s="8" t="str">
        <f>IF(OR($A38="",$C38="",$D38="",$C38&gt;CD$6,$D38&lt;CD$9),"",IF($J38="里程碑","◆",""))</f>
        <v/>
      </c>
      <c r="CE38" s="8" t="str">
        <f>IF(OR($A38="",$C38="",$D38="",$C38&gt;CE$6,$D38&lt;CE$9),"",IF($J38="里程碑","◆",""))</f>
        <v/>
      </c>
      <c r="CF38" s="8" t="str">
        <f>IF(OR($A38="",$C38="",$D38="",$C38&gt;CF$6,$D38&lt;CF$9),"",IF($J38="里程碑","◆",""))</f>
        <v/>
      </c>
      <c r="CG38" s="8" t="str">
        <f>IF(OR($A38="",$C38="",$D38="",$C38&gt;CG$6,$D38&lt;CG$9),"",IF($J38="里程碑","◆",""))</f>
        <v/>
      </c>
      <c r="CH38" s="8" t="str">
        <f>IF(OR($A38="",$C38="",$D38="",$C38&gt;CH$6,$D38&lt;CH$9),"",IF($J38="里程碑","◆",""))</f>
        <v/>
      </c>
      <c r="CI38" s="8" t="str">
        <f>IF(OR($A38="",$C38="",$D38="",$C38&gt;CI$6,$D38&lt;CI$9),"",IF($J38="里程碑","◆",""))</f>
        <v/>
      </c>
      <c r="CJ38" s="8" t="str">
        <f>IF(OR($A38="",$C38="",$D38="",$C38&gt;CJ$6,$D38&lt;CJ$9),"",IF($J38="里程碑","◆",""))</f>
        <v/>
      </c>
      <c r="CK38" s="8" t="str">
        <f>IF(OR($A38="",$C38="",$D38="",$C38&gt;CK$6,$D38&lt;CK$9),"",IF($J38="里程碑","◆",""))</f>
        <v/>
      </c>
      <c r="CL38" s="8" t="str">
        <f>IF(OR($A38="",$C38="",$D38="",$C38&gt;CL$6,$D38&lt;CL$9),"",IF($J38="里程碑","◆",""))</f>
        <v/>
      </c>
      <c r="CM38" s="8" t="str">
        <f>IF(OR($A38="",$C38="",$D38="",$C38&gt;CM$6,$D38&lt;CM$9),"",IF($J38="里程碑","◆",""))</f>
        <v/>
      </c>
      <c r="CN38" s="8" t="str">
        <f>IF(OR($A38="",$C38="",$D38="",$C38&gt;CN$6,$D38&lt;CN$9),"",IF($J38="里程碑","◆",""))</f>
        <v/>
      </c>
      <c r="CO38" s="8" t="str">
        <f>IF(OR($A38="",$C38="",$D38="",$C38&gt;CO$6,$D38&lt;CO$9),"",IF($J38="里程碑","◆",""))</f>
        <v/>
      </c>
      <c r="CP38" s="8" t="str">
        <f>IF(OR($A38="",$C38="",$D38="",$C38&gt;CP$6,$D38&lt;CP$9),"",IF($J38="里程碑","◆",""))</f>
        <v/>
      </c>
      <c r="CQ38" s="8" t="str">
        <f>IF(OR($A38="",$C38="",$D38="",$C38&gt;CQ$6,$D38&lt;CQ$9),"",IF($J38="里程碑","◆",""))</f>
        <v/>
      </c>
      <c r="CR38" s="8" t="str">
        <f>IF(OR($A38="",$C38="",$D38="",$C38&gt;CR$6,$D38&lt;CR$9),"",IF($J38="里程碑","◆",""))</f>
        <v/>
      </c>
      <c r="CS38" s="8" t="str">
        <f>IF(OR($A38="",$C38="",$D38="",$C38&gt;CS$6,$D38&lt;CS$9),"",IF($J38="里程碑","◆",""))</f>
        <v/>
      </c>
      <c r="CT38" s="8" t="str">
        <f>IF(OR($A38="",$C38="",$D38="",$C38&gt;CT$6,$D38&lt;CT$9),"",IF($J38="里程碑","◆",""))</f>
        <v/>
      </c>
      <c r="CU38" s="8" t="str">
        <f>IF(OR($A38="",$C38="",$D38="",$C38&gt;CU$6,$D38&lt;CU$9),"",IF($J38="里程碑","◆",""))</f>
        <v/>
      </c>
      <c r="CV38" s="8" t="str">
        <f>IF(OR($A38="",$C38="",$D38="",$C38&gt;CV$6,$D38&lt;CV$9),"",IF($J38="里程碑","◆",""))</f>
        <v/>
      </c>
      <c r="CW38" s="8" t="str">
        <f>IF(OR($A38="",$C38="",$D38="",$C38&gt;CW$6,$D38&lt;CW$9),"",IF($J38="里程碑","◆",""))</f>
        <v/>
      </c>
      <c r="CX38" s="8" t="str">
        <f>IF(OR($A38="",$C38="",$D38="",$C38&gt;CX$6,$D38&lt;CX$9),"",IF($J38="里程碑","◆",""))</f>
        <v/>
      </c>
      <c r="CY38" s="8" t="str">
        <f>IF(OR($A38="",$C38="",$D38="",$C38&gt;CY$6,$D38&lt;CY$9),"",IF($J38="里程碑","◆",""))</f>
        <v/>
      </c>
      <c r="CZ38" s="8" t="str">
        <f>IF(OR($A38="",$C38="",$D38="",$C38&gt;CZ$6,$D38&lt;CZ$9),"",IF($J38="里程碑","◆",""))</f>
        <v/>
      </c>
      <c r="DA38" s="8" t="str">
        <f>IF(OR($A38="",$C38="",$D38="",$C38&gt;DA$6,$D38&lt;DA$9),"",IF($J38="里程碑","◆",""))</f>
        <v/>
      </c>
      <c r="DB38" s="8" t="str">
        <f>IF(OR($A38="",$C38="",$D38="",$C38&gt;DB$6,$D38&lt;DB$9),"",IF($J38="里程碑","◆",""))</f>
        <v/>
      </c>
      <c r="DC38" s="1" t="str">
        <f>IF(ROW()-9&gt;$DH$3,"",MATCH(ROW()-9,排期计算!$U$10:$U$109,0))</f>
        <v/>
      </c>
      <c r="DD38" s="1" t="str">
        <f>IF($DC38="","",INDEX(排期计算!$L$10:$L$109,$DC38))</f>
        <v/>
      </c>
      <c r="DE38" s="1"/>
      <c r="DF38" s="1"/>
      <c r="DG38" s="1"/>
      <c r="DH38" s="1"/>
      <c r="DI38" s="1"/>
      <c r="DJ38" s="1"/>
      <c r="DK38" s="1"/>
    </row>
    <row r="39" spans="1:115" ht="24.95" customHeight="1">
      <c r="A39" s="9" t="str">
        <f>IF($DC39="","",IF(AND(INDEX(排期计算!$A$10:$A$109,$DC39)="",NOT(ISNUMBER(INDEX(排期计算!$A$10:$A$109,$DC39)))),"",INDEX(排期计算!$A$10:$A$109,$DC39)))</f>
        <v/>
      </c>
      <c r="B39" s="1" t="str">
        <f>IF($DC39="","",REPT("　",$DD39-1)&amp;INDEX(排期计算!$B$10:$B$109,$DC39))</f>
        <v/>
      </c>
      <c r="C39" s="3" t="str">
        <f>IF($DC39="","",IF(AND(INDEX(排期计算!$M$10:$M$109,$DC39)="",NOT(ISNUMBER(INDEX(排期计算!$M$10:$M$109,$DC39)))),"",INDEX(排期计算!$M$10:$M$109,$DC39)))</f>
        <v/>
      </c>
      <c r="D39" s="3" t="str">
        <f>IF($DC39="","",IF(AND(INDEX(排期计算!$N$10:$N$109,$DC39)="",NOT(ISNUMBER(INDEX(排期计算!$N$10:$N$109,$DC39)))),"",INDEX(排期计算!$N$10:$N$109,$DC39)))</f>
        <v/>
      </c>
      <c r="E39" s="1" t="str">
        <f>IF(OR($C39="",$D39=""),"",IF($J39="里程碑",0,NETWORKDAYS($C39,$D39)))</f>
        <v/>
      </c>
      <c r="F39" s="7" t="str">
        <f>IF($DC39="","",IF(AND(INDEX(排期计算!$O$10:$O$109,$DC39)="",NOT(ISNUMBER(INDEX(排期计算!$O$10:$O$109,$DC39)))),"",INDEX(排期计算!$O$10:$O$109,$DC39)))</f>
        <v/>
      </c>
      <c r="G39" s="8" t="str">
        <f>IF($A39="","",IF(OR($C39="",$D39=""),"未排期",IF($F39&gt;=1,"已完成",IF($D39&lt;$B$4,"逾期",IF($C39&gt;$B$4,"未开始","进行中")))))</f>
        <v/>
      </c>
      <c r="H39" s="1" t="str">
        <f>IF($DC39="","",IF(AND(INDEX(排期计算!$C$10:$C$109,$DC39)="",NOT(ISNUMBER(INDEX(排期计算!$C$10:$C$109,$DC39)))),"",INDEX(排期计算!$C$10:$C$109,$DC39)))</f>
        <v/>
      </c>
      <c r="I39" s="1" t="str">
        <f>IF($DC39="","",IF(AND(INDEX(排期计算!$H$10:$H$109,$DC39)="",NOT(ISNUMBER(INDEX(排期计算!$H$10:$H$109,$DC39)))),"",INDEX(排期计算!$H$10:$H$109,$DC39)))</f>
        <v/>
      </c>
      <c r="J39" s="1" t="str">
        <f>IF($DC39="","",IF(AND(INDEX(排期计算!$K$10:$K$109,$DC39)="",NOT(ISNUMBER(INDEX(排期计算!$K$10:$K$109,$DC39)))),"",INDEX(排期计算!$K$10:$K$109,$DC39)))</f>
        <v/>
      </c>
      <c r="K39" s="8" t="str">
        <f>IF(OR($A39="",$C39="",$D39="",$C39&gt;K$6,$D39&lt;K$9),"",IF($J39="里程碑","◆",""))</f>
        <v/>
      </c>
      <c r="L39" s="8" t="str">
        <f>IF(OR($A39="",$C39="",$D39="",$C39&gt;L$6,$D39&lt;L$9),"",IF($J39="里程碑","◆",""))</f>
        <v/>
      </c>
      <c r="M39" s="8" t="str">
        <f>IF(OR($A39="",$C39="",$D39="",$C39&gt;M$6,$D39&lt;M$9),"",IF($J39="里程碑","◆",""))</f>
        <v/>
      </c>
      <c r="N39" s="8" t="str">
        <f>IF(OR($A39="",$C39="",$D39="",$C39&gt;N$6,$D39&lt;N$9),"",IF($J39="里程碑","◆",""))</f>
        <v/>
      </c>
      <c r="O39" s="8" t="str">
        <f>IF(OR($A39="",$C39="",$D39="",$C39&gt;O$6,$D39&lt;O$9),"",IF($J39="里程碑","◆",""))</f>
        <v/>
      </c>
      <c r="P39" s="8" t="str">
        <f>IF(OR($A39="",$C39="",$D39="",$C39&gt;P$6,$D39&lt;P$9),"",IF($J39="里程碑","◆",""))</f>
        <v/>
      </c>
      <c r="Q39" s="8" t="str">
        <f>IF(OR($A39="",$C39="",$D39="",$C39&gt;Q$6,$D39&lt;Q$9),"",IF($J39="里程碑","◆",""))</f>
        <v/>
      </c>
      <c r="R39" s="8" t="str">
        <f>IF(OR($A39="",$C39="",$D39="",$C39&gt;R$6,$D39&lt;R$9),"",IF($J39="里程碑","◆",""))</f>
        <v/>
      </c>
      <c r="S39" s="8" t="str">
        <f>IF(OR($A39="",$C39="",$D39="",$C39&gt;S$6,$D39&lt;S$9),"",IF($J39="里程碑","◆",""))</f>
        <v/>
      </c>
      <c r="T39" s="8" t="str">
        <f>IF(OR($A39="",$C39="",$D39="",$C39&gt;T$6,$D39&lt;T$9),"",IF($J39="里程碑","◆",""))</f>
        <v/>
      </c>
      <c r="U39" s="8" t="str">
        <f>IF(OR($A39="",$C39="",$D39="",$C39&gt;U$6,$D39&lt;U$9),"",IF($J39="里程碑","◆",""))</f>
        <v/>
      </c>
      <c r="V39" s="8" t="str">
        <f>IF(OR($A39="",$C39="",$D39="",$C39&gt;V$6,$D39&lt;V$9),"",IF($J39="里程碑","◆",""))</f>
        <v/>
      </c>
      <c r="W39" s="8" t="str">
        <f>IF(OR($A39="",$C39="",$D39="",$C39&gt;W$6,$D39&lt;W$9),"",IF($J39="里程碑","◆",""))</f>
        <v/>
      </c>
      <c r="X39" s="8" t="str">
        <f>IF(OR($A39="",$C39="",$D39="",$C39&gt;X$6,$D39&lt;X$9),"",IF($J39="里程碑","◆",""))</f>
        <v/>
      </c>
      <c r="Y39" s="8" t="str">
        <f>IF(OR($A39="",$C39="",$D39="",$C39&gt;Y$6,$D39&lt;Y$9),"",IF($J39="里程碑","◆",""))</f>
        <v/>
      </c>
      <c r="Z39" s="8" t="str">
        <f>IF(OR($A39="",$C39="",$D39="",$C39&gt;Z$6,$D39&lt;Z$9),"",IF($J39="里程碑","◆",""))</f>
        <v/>
      </c>
      <c r="AA39" s="8" t="str">
        <f>IF(OR($A39="",$C39="",$D39="",$C39&gt;AA$6,$D39&lt;AA$9),"",IF($J39="里程碑","◆",""))</f>
        <v/>
      </c>
      <c r="AB39" s="8" t="str">
        <f>IF(OR($A39="",$C39="",$D39="",$C39&gt;AB$6,$D39&lt;AB$9),"",IF($J39="里程碑","◆",""))</f>
        <v/>
      </c>
      <c r="AC39" s="8" t="str">
        <f>IF(OR($A39="",$C39="",$D39="",$C39&gt;AC$6,$D39&lt;AC$9),"",IF($J39="里程碑","◆",""))</f>
        <v/>
      </c>
      <c r="AD39" s="8" t="str">
        <f>IF(OR($A39="",$C39="",$D39="",$C39&gt;AD$6,$D39&lt;AD$9),"",IF($J39="里程碑","◆",""))</f>
        <v/>
      </c>
      <c r="AE39" s="8" t="str">
        <f>IF(OR($A39="",$C39="",$D39="",$C39&gt;AE$6,$D39&lt;AE$9),"",IF($J39="里程碑","◆",""))</f>
        <v/>
      </c>
      <c r="AF39" s="8" t="str">
        <f>IF(OR($A39="",$C39="",$D39="",$C39&gt;AF$6,$D39&lt;AF$9),"",IF($J39="里程碑","◆",""))</f>
        <v/>
      </c>
      <c r="AG39" s="8" t="str">
        <f>IF(OR($A39="",$C39="",$D39="",$C39&gt;AG$6,$D39&lt;AG$9),"",IF($J39="里程碑","◆",""))</f>
        <v/>
      </c>
      <c r="AH39" s="8" t="str">
        <f>IF(OR($A39="",$C39="",$D39="",$C39&gt;AH$6,$D39&lt;AH$9),"",IF($J39="里程碑","◆",""))</f>
        <v/>
      </c>
      <c r="AI39" s="8" t="str">
        <f>IF(OR($A39="",$C39="",$D39="",$C39&gt;AI$6,$D39&lt;AI$9),"",IF($J39="里程碑","◆",""))</f>
        <v/>
      </c>
      <c r="AJ39" s="8" t="str">
        <f>IF(OR($A39="",$C39="",$D39="",$C39&gt;AJ$6,$D39&lt;AJ$9),"",IF($J39="里程碑","◆",""))</f>
        <v/>
      </c>
      <c r="AK39" s="8" t="str">
        <f>IF(OR($A39="",$C39="",$D39="",$C39&gt;AK$6,$D39&lt;AK$9),"",IF($J39="里程碑","◆",""))</f>
        <v/>
      </c>
      <c r="AL39" s="8" t="str">
        <f>IF(OR($A39="",$C39="",$D39="",$C39&gt;AL$6,$D39&lt;AL$9),"",IF($J39="里程碑","◆",""))</f>
        <v/>
      </c>
      <c r="AM39" s="8" t="str">
        <f>IF(OR($A39="",$C39="",$D39="",$C39&gt;AM$6,$D39&lt;AM$9),"",IF($J39="里程碑","◆",""))</f>
        <v/>
      </c>
      <c r="AN39" s="8" t="str">
        <f>IF(OR($A39="",$C39="",$D39="",$C39&gt;AN$6,$D39&lt;AN$9),"",IF($J39="里程碑","◆",""))</f>
        <v/>
      </c>
      <c r="AO39" s="8" t="str">
        <f>IF(OR($A39="",$C39="",$D39="",$C39&gt;AO$6,$D39&lt;AO$9),"",IF($J39="里程碑","◆",""))</f>
        <v/>
      </c>
      <c r="AP39" s="8" t="str">
        <f>IF(OR($A39="",$C39="",$D39="",$C39&gt;AP$6,$D39&lt;AP$9),"",IF($J39="里程碑","◆",""))</f>
        <v/>
      </c>
      <c r="AQ39" s="8" t="str">
        <f>IF(OR($A39="",$C39="",$D39="",$C39&gt;AQ$6,$D39&lt;AQ$9),"",IF($J39="里程碑","◆",""))</f>
        <v/>
      </c>
      <c r="AR39" s="8" t="str">
        <f>IF(OR($A39="",$C39="",$D39="",$C39&gt;AR$6,$D39&lt;AR$9),"",IF($J39="里程碑","◆",""))</f>
        <v/>
      </c>
      <c r="AS39" s="8" t="str">
        <f>IF(OR($A39="",$C39="",$D39="",$C39&gt;AS$6,$D39&lt;AS$9),"",IF($J39="里程碑","◆",""))</f>
        <v/>
      </c>
      <c r="AT39" s="8" t="str">
        <f>IF(OR($A39="",$C39="",$D39="",$C39&gt;AT$6,$D39&lt;AT$9),"",IF($J39="里程碑","◆",""))</f>
        <v/>
      </c>
      <c r="AU39" s="8" t="str">
        <f>IF(OR($A39="",$C39="",$D39="",$C39&gt;AU$6,$D39&lt;AU$9),"",IF($J39="里程碑","◆",""))</f>
        <v/>
      </c>
      <c r="AV39" s="8" t="str">
        <f>IF(OR($A39="",$C39="",$D39="",$C39&gt;AV$6,$D39&lt;AV$9),"",IF($J39="里程碑","◆",""))</f>
        <v/>
      </c>
      <c r="AW39" s="8" t="str">
        <f>IF(OR($A39="",$C39="",$D39="",$C39&gt;AW$6,$D39&lt;AW$9),"",IF($J39="里程碑","◆",""))</f>
        <v/>
      </c>
      <c r="AX39" s="8" t="str">
        <f>IF(OR($A39="",$C39="",$D39="",$C39&gt;AX$6,$D39&lt;AX$9),"",IF($J39="里程碑","◆",""))</f>
        <v/>
      </c>
      <c r="AY39" s="8" t="str">
        <f>IF(OR($A39="",$C39="",$D39="",$C39&gt;AY$6,$D39&lt;AY$9),"",IF($J39="里程碑","◆",""))</f>
        <v/>
      </c>
      <c r="AZ39" s="8" t="str">
        <f>IF(OR($A39="",$C39="",$D39="",$C39&gt;AZ$6,$D39&lt;AZ$9),"",IF($J39="里程碑","◆",""))</f>
        <v/>
      </c>
      <c r="BA39" s="8" t="str">
        <f>IF(OR($A39="",$C39="",$D39="",$C39&gt;BA$6,$D39&lt;BA$9),"",IF($J39="里程碑","◆",""))</f>
        <v/>
      </c>
      <c r="BB39" s="8" t="str">
        <f>IF(OR($A39="",$C39="",$D39="",$C39&gt;BB$6,$D39&lt;BB$9),"",IF($J39="里程碑","◆",""))</f>
        <v/>
      </c>
      <c r="BC39" s="8" t="str">
        <f>IF(OR($A39="",$C39="",$D39="",$C39&gt;BC$6,$D39&lt;BC$9),"",IF($J39="里程碑","◆",""))</f>
        <v/>
      </c>
      <c r="BD39" s="8" t="str">
        <f>IF(OR($A39="",$C39="",$D39="",$C39&gt;BD$6,$D39&lt;BD$9),"",IF($J39="里程碑","◆",""))</f>
        <v/>
      </c>
      <c r="BE39" s="8" t="str">
        <f>IF(OR($A39="",$C39="",$D39="",$C39&gt;BE$6,$D39&lt;BE$9),"",IF($J39="里程碑","◆",""))</f>
        <v/>
      </c>
      <c r="BF39" s="8" t="str">
        <f>IF(OR($A39="",$C39="",$D39="",$C39&gt;BF$6,$D39&lt;BF$9),"",IF($J39="里程碑","◆",""))</f>
        <v/>
      </c>
      <c r="BG39" s="8" t="str">
        <f>IF(OR($A39="",$C39="",$D39="",$C39&gt;BG$6,$D39&lt;BG$9),"",IF($J39="里程碑","◆",""))</f>
        <v/>
      </c>
      <c r="BH39" s="8" t="str">
        <f>IF(OR($A39="",$C39="",$D39="",$C39&gt;BH$6,$D39&lt;BH$9),"",IF($J39="里程碑","◆",""))</f>
        <v/>
      </c>
      <c r="BI39" s="8" t="str">
        <f>IF(OR($A39="",$C39="",$D39="",$C39&gt;BI$6,$D39&lt;BI$9),"",IF($J39="里程碑","◆",""))</f>
        <v/>
      </c>
      <c r="BJ39" s="8" t="str">
        <f>IF(OR($A39="",$C39="",$D39="",$C39&gt;BJ$6,$D39&lt;BJ$9),"",IF($J39="里程碑","◆",""))</f>
        <v/>
      </c>
      <c r="BK39" s="8" t="str">
        <f>IF(OR($A39="",$C39="",$D39="",$C39&gt;BK$6,$D39&lt;BK$9),"",IF($J39="里程碑","◆",""))</f>
        <v/>
      </c>
      <c r="BL39" s="8" t="str">
        <f>IF(OR($A39="",$C39="",$D39="",$C39&gt;BL$6,$D39&lt;BL$9),"",IF($J39="里程碑","◆",""))</f>
        <v/>
      </c>
      <c r="BM39" s="8" t="str">
        <f>IF(OR($A39="",$C39="",$D39="",$C39&gt;BM$6,$D39&lt;BM$9),"",IF($J39="里程碑","◆",""))</f>
        <v/>
      </c>
      <c r="BN39" s="8" t="str">
        <f>IF(OR($A39="",$C39="",$D39="",$C39&gt;BN$6,$D39&lt;BN$9),"",IF($J39="里程碑","◆",""))</f>
        <v/>
      </c>
      <c r="BO39" s="8" t="str">
        <f>IF(OR($A39="",$C39="",$D39="",$C39&gt;BO$6,$D39&lt;BO$9),"",IF($J39="里程碑","◆",""))</f>
        <v/>
      </c>
      <c r="BP39" s="8" t="str">
        <f>IF(OR($A39="",$C39="",$D39="",$C39&gt;BP$6,$D39&lt;BP$9),"",IF($J39="里程碑","◆",""))</f>
        <v/>
      </c>
      <c r="BQ39" s="8" t="str">
        <f>IF(OR($A39="",$C39="",$D39="",$C39&gt;BQ$6,$D39&lt;BQ$9),"",IF($J39="里程碑","◆",""))</f>
        <v/>
      </c>
      <c r="BR39" s="8" t="str">
        <f>IF(OR($A39="",$C39="",$D39="",$C39&gt;BR$6,$D39&lt;BR$9),"",IF($J39="里程碑","◆",""))</f>
        <v/>
      </c>
      <c r="BS39" s="8" t="str">
        <f>IF(OR($A39="",$C39="",$D39="",$C39&gt;BS$6,$D39&lt;BS$9),"",IF($J39="里程碑","◆",""))</f>
        <v/>
      </c>
      <c r="BT39" s="8" t="str">
        <f>IF(OR($A39="",$C39="",$D39="",$C39&gt;BT$6,$D39&lt;BT$9),"",IF($J39="里程碑","◆",""))</f>
        <v/>
      </c>
      <c r="BU39" s="8" t="str">
        <f>IF(OR($A39="",$C39="",$D39="",$C39&gt;BU$6,$D39&lt;BU$9),"",IF($J39="里程碑","◆",""))</f>
        <v/>
      </c>
      <c r="BV39" s="8" t="str">
        <f>IF(OR($A39="",$C39="",$D39="",$C39&gt;BV$6,$D39&lt;BV$9),"",IF($J39="里程碑","◆",""))</f>
        <v/>
      </c>
      <c r="BW39" s="8" t="str">
        <f>IF(OR($A39="",$C39="",$D39="",$C39&gt;BW$6,$D39&lt;BW$9),"",IF($J39="里程碑","◆",""))</f>
        <v/>
      </c>
      <c r="BX39" s="8" t="str">
        <f>IF(OR($A39="",$C39="",$D39="",$C39&gt;BX$6,$D39&lt;BX$9),"",IF($J39="里程碑","◆",""))</f>
        <v/>
      </c>
      <c r="BY39" s="8" t="str">
        <f>IF(OR($A39="",$C39="",$D39="",$C39&gt;BY$6,$D39&lt;BY$9),"",IF($J39="里程碑","◆",""))</f>
        <v/>
      </c>
      <c r="BZ39" s="8" t="str">
        <f>IF(OR($A39="",$C39="",$D39="",$C39&gt;BZ$6,$D39&lt;BZ$9),"",IF($J39="里程碑","◆",""))</f>
        <v/>
      </c>
      <c r="CA39" s="8" t="str">
        <f>IF(OR($A39="",$C39="",$D39="",$C39&gt;CA$6,$D39&lt;CA$9),"",IF($J39="里程碑","◆",""))</f>
        <v/>
      </c>
      <c r="CB39" s="8" t="str">
        <f>IF(OR($A39="",$C39="",$D39="",$C39&gt;CB$6,$D39&lt;CB$9),"",IF($J39="里程碑","◆",""))</f>
        <v/>
      </c>
      <c r="CC39" s="8" t="str">
        <f>IF(OR($A39="",$C39="",$D39="",$C39&gt;CC$6,$D39&lt;CC$9),"",IF($J39="里程碑","◆",""))</f>
        <v/>
      </c>
      <c r="CD39" s="8" t="str">
        <f>IF(OR($A39="",$C39="",$D39="",$C39&gt;CD$6,$D39&lt;CD$9),"",IF($J39="里程碑","◆",""))</f>
        <v/>
      </c>
      <c r="CE39" s="8" t="str">
        <f>IF(OR($A39="",$C39="",$D39="",$C39&gt;CE$6,$D39&lt;CE$9),"",IF($J39="里程碑","◆",""))</f>
        <v/>
      </c>
      <c r="CF39" s="8" t="str">
        <f>IF(OR($A39="",$C39="",$D39="",$C39&gt;CF$6,$D39&lt;CF$9),"",IF($J39="里程碑","◆",""))</f>
        <v/>
      </c>
      <c r="CG39" s="8" t="str">
        <f>IF(OR($A39="",$C39="",$D39="",$C39&gt;CG$6,$D39&lt;CG$9),"",IF($J39="里程碑","◆",""))</f>
        <v/>
      </c>
      <c r="CH39" s="8" t="str">
        <f>IF(OR($A39="",$C39="",$D39="",$C39&gt;CH$6,$D39&lt;CH$9),"",IF($J39="里程碑","◆",""))</f>
        <v/>
      </c>
      <c r="CI39" s="8" t="str">
        <f>IF(OR($A39="",$C39="",$D39="",$C39&gt;CI$6,$D39&lt;CI$9),"",IF($J39="里程碑","◆",""))</f>
        <v/>
      </c>
      <c r="CJ39" s="8" t="str">
        <f>IF(OR($A39="",$C39="",$D39="",$C39&gt;CJ$6,$D39&lt;CJ$9),"",IF($J39="里程碑","◆",""))</f>
        <v/>
      </c>
      <c r="CK39" s="8" t="str">
        <f>IF(OR($A39="",$C39="",$D39="",$C39&gt;CK$6,$D39&lt;CK$9),"",IF($J39="里程碑","◆",""))</f>
        <v/>
      </c>
      <c r="CL39" s="8" t="str">
        <f>IF(OR($A39="",$C39="",$D39="",$C39&gt;CL$6,$D39&lt;CL$9),"",IF($J39="里程碑","◆",""))</f>
        <v/>
      </c>
      <c r="CM39" s="8" t="str">
        <f>IF(OR($A39="",$C39="",$D39="",$C39&gt;CM$6,$D39&lt;CM$9),"",IF($J39="里程碑","◆",""))</f>
        <v/>
      </c>
      <c r="CN39" s="8" t="str">
        <f>IF(OR($A39="",$C39="",$D39="",$C39&gt;CN$6,$D39&lt;CN$9),"",IF($J39="里程碑","◆",""))</f>
        <v/>
      </c>
      <c r="CO39" s="8" t="str">
        <f>IF(OR($A39="",$C39="",$D39="",$C39&gt;CO$6,$D39&lt;CO$9),"",IF($J39="里程碑","◆",""))</f>
        <v/>
      </c>
      <c r="CP39" s="8" t="str">
        <f>IF(OR($A39="",$C39="",$D39="",$C39&gt;CP$6,$D39&lt;CP$9),"",IF($J39="里程碑","◆",""))</f>
        <v/>
      </c>
      <c r="CQ39" s="8" t="str">
        <f>IF(OR($A39="",$C39="",$D39="",$C39&gt;CQ$6,$D39&lt;CQ$9),"",IF($J39="里程碑","◆",""))</f>
        <v/>
      </c>
      <c r="CR39" s="8" t="str">
        <f>IF(OR($A39="",$C39="",$D39="",$C39&gt;CR$6,$D39&lt;CR$9),"",IF($J39="里程碑","◆",""))</f>
        <v/>
      </c>
      <c r="CS39" s="8" t="str">
        <f>IF(OR($A39="",$C39="",$D39="",$C39&gt;CS$6,$D39&lt;CS$9),"",IF($J39="里程碑","◆",""))</f>
        <v/>
      </c>
      <c r="CT39" s="8" t="str">
        <f>IF(OR($A39="",$C39="",$D39="",$C39&gt;CT$6,$D39&lt;CT$9),"",IF($J39="里程碑","◆",""))</f>
        <v/>
      </c>
      <c r="CU39" s="8" t="str">
        <f>IF(OR($A39="",$C39="",$D39="",$C39&gt;CU$6,$D39&lt;CU$9),"",IF($J39="里程碑","◆",""))</f>
        <v/>
      </c>
      <c r="CV39" s="8" t="str">
        <f>IF(OR($A39="",$C39="",$D39="",$C39&gt;CV$6,$D39&lt;CV$9),"",IF($J39="里程碑","◆",""))</f>
        <v/>
      </c>
      <c r="CW39" s="8" t="str">
        <f>IF(OR($A39="",$C39="",$D39="",$C39&gt;CW$6,$D39&lt;CW$9),"",IF($J39="里程碑","◆",""))</f>
        <v/>
      </c>
      <c r="CX39" s="8" t="str">
        <f>IF(OR($A39="",$C39="",$D39="",$C39&gt;CX$6,$D39&lt;CX$9),"",IF($J39="里程碑","◆",""))</f>
        <v/>
      </c>
      <c r="CY39" s="8" t="str">
        <f>IF(OR($A39="",$C39="",$D39="",$C39&gt;CY$6,$D39&lt;CY$9),"",IF($J39="里程碑","◆",""))</f>
        <v/>
      </c>
      <c r="CZ39" s="8" t="str">
        <f>IF(OR($A39="",$C39="",$D39="",$C39&gt;CZ$6,$D39&lt;CZ$9),"",IF($J39="里程碑","◆",""))</f>
        <v/>
      </c>
      <c r="DA39" s="8" t="str">
        <f>IF(OR($A39="",$C39="",$D39="",$C39&gt;DA$6,$D39&lt;DA$9),"",IF($J39="里程碑","◆",""))</f>
        <v/>
      </c>
      <c r="DB39" s="8" t="str">
        <f>IF(OR($A39="",$C39="",$D39="",$C39&gt;DB$6,$D39&lt;DB$9),"",IF($J39="里程碑","◆",""))</f>
        <v/>
      </c>
      <c r="DC39" s="1" t="str">
        <f>IF(ROW()-9&gt;$DH$3,"",MATCH(ROW()-9,排期计算!$U$10:$U$109,0))</f>
        <v/>
      </c>
      <c r="DD39" s="1" t="str">
        <f>IF($DC39="","",INDEX(排期计算!$L$10:$L$109,$DC39))</f>
        <v/>
      </c>
      <c r="DE39" s="1"/>
      <c r="DF39" s="1"/>
      <c r="DG39" s="1"/>
      <c r="DH39" s="1"/>
      <c r="DI39" s="1"/>
      <c r="DJ39" s="1"/>
      <c r="DK39" s="1"/>
    </row>
    <row r="40" spans="1:115" ht="24.95" customHeight="1">
      <c r="A40" s="9" t="str">
        <f>IF($DC40="","",IF(AND(INDEX(排期计算!$A$10:$A$109,$DC40)="",NOT(ISNUMBER(INDEX(排期计算!$A$10:$A$109,$DC40)))),"",INDEX(排期计算!$A$10:$A$109,$DC40)))</f>
        <v/>
      </c>
      <c r="B40" s="1" t="str">
        <f>IF($DC40="","",REPT("　",$DD40-1)&amp;INDEX(排期计算!$B$10:$B$109,$DC40))</f>
        <v/>
      </c>
      <c r="C40" s="3" t="str">
        <f>IF($DC40="","",IF(AND(INDEX(排期计算!$M$10:$M$109,$DC40)="",NOT(ISNUMBER(INDEX(排期计算!$M$10:$M$109,$DC40)))),"",INDEX(排期计算!$M$10:$M$109,$DC40)))</f>
        <v/>
      </c>
      <c r="D40" s="3" t="str">
        <f>IF($DC40="","",IF(AND(INDEX(排期计算!$N$10:$N$109,$DC40)="",NOT(ISNUMBER(INDEX(排期计算!$N$10:$N$109,$DC40)))),"",INDEX(排期计算!$N$10:$N$109,$DC40)))</f>
        <v/>
      </c>
      <c r="E40" s="1" t="str">
        <f>IF(OR($C40="",$D40=""),"",IF($J40="里程碑",0,NETWORKDAYS($C40,$D40)))</f>
        <v/>
      </c>
      <c r="F40" s="7" t="str">
        <f>IF($DC40="","",IF(AND(INDEX(排期计算!$O$10:$O$109,$DC40)="",NOT(ISNUMBER(INDEX(排期计算!$O$10:$O$109,$DC40)))),"",INDEX(排期计算!$O$10:$O$109,$DC40)))</f>
        <v/>
      </c>
      <c r="G40" s="8" t="str">
        <f>IF($A40="","",IF(OR($C40="",$D40=""),"未排期",IF($F40&gt;=1,"已完成",IF($D40&lt;$B$4,"逾期",IF($C40&gt;$B$4,"未开始","进行中")))))</f>
        <v/>
      </c>
      <c r="H40" s="1" t="str">
        <f>IF($DC40="","",IF(AND(INDEX(排期计算!$C$10:$C$109,$DC40)="",NOT(ISNUMBER(INDEX(排期计算!$C$10:$C$109,$DC40)))),"",INDEX(排期计算!$C$10:$C$109,$DC40)))</f>
        <v/>
      </c>
      <c r="I40" s="1" t="str">
        <f>IF($DC40="","",IF(AND(INDEX(排期计算!$H$10:$H$109,$DC40)="",NOT(ISNUMBER(INDEX(排期计算!$H$10:$H$109,$DC40)))),"",INDEX(排期计算!$H$10:$H$109,$DC40)))</f>
        <v/>
      </c>
      <c r="J40" s="1" t="str">
        <f>IF($DC40="","",IF(AND(INDEX(排期计算!$K$10:$K$109,$DC40)="",NOT(ISNUMBER(INDEX(排期计算!$K$10:$K$109,$DC40)))),"",INDEX(排期计算!$K$10:$K$109,$DC40)))</f>
        <v/>
      </c>
      <c r="K40" s="8" t="str">
        <f>IF(OR($A40="",$C40="",$D40="",$C40&gt;K$6,$D40&lt;K$9),"",IF($J40="里程碑","◆",""))</f>
        <v/>
      </c>
      <c r="L40" s="8" t="str">
        <f>IF(OR($A40="",$C40="",$D40="",$C40&gt;L$6,$D40&lt;L$9),"",IF($J40="里程碑","◆",""))</f>
        <v/>
      </c>
      <c r="M40" s="8" t="str">
        <f>IF(OR($A40="",$C40="",$D40="",$C40&gt;M$6,$D40&lt;M$9),"",IF($J40="里程碑","◆",""))</f>
        <v/>
      </c>
      <c r="N40" s="8" t="str">
        <f>IF(OR($A40="",$C40="",$D40="",$C40&gt;N$6,$D40&lt;N$9),"",IF($J40="里程碑","◆",""))</f>
        <v/>
      </c>
      <c r="O40" s="8" t="str">
        <f>IF(OR($A40="",$C40="",$D40="",$C40&gt;O$6,$D40&lt;O$9),"",IF($J40="里程碑","◆",""))</f>
        <v/>
      </c>
      <c r="P40" s="8" t="str">
        <f>IF(OR($A40="",$C40="",$D40="",$C40&gt;P$6,$D40&lt;P$9),"",IF($J40="里程碑","◆",""))</f>
        <v/>
      </c>
      <c r="Q40" s="8" t="str">
        <f>IF(OR($A40="",$C40="",$D40="",$C40&gt;Q$6,$D40&lt;Q$9),"",IF($J40="里程碑","◆",""))</f>
        <v/>
      </c>
      <c r="R40" s="8" t="str">
        <f>IF(OR($A40="",$C40="",$D40="",$C40&gt;R$6,$D40&lt;R$9),"",IF($J40="里程碑","◆",""))</f>
        <v/>
      </c>
      <c r="S40" s="8" t="str">
        <f>IF(OR($A40="",$C40="",$D40="",$C40&gt;S$6,$D40&lt;S$9),"",IF($J40="里程碑","◆",""))</f>
        <v/>
      </c>
      <c r="T40" s="8" t="str">
        <f>IF(OR($A40="",$C40="",$D40="",$C40&gt;T$6,$D40&lt;T$9),"",IF($J40="里程碑","◆",""))</f>
        <v/>
      </c>
      <c r="U40" s="8" t="str">
        <f>IF(OR($A40="",$C40="",$D40="",$C40&gt;U$6,$D40&lt;U$9),"",IF($J40="里程碑","◆",""))</f>
        <v/>
      </c>
      <c r="V40" s="8" t="str">
        <f>IF(OR($A40="",$C40="",$D40="",$C40&gt;V$6,$D40&lt;V$9),"",IF($J40="里程碑","◆",""))</f>
        <v/>
      </c>
      <c r="W40" s="8" t="str">
        <f>IF(OR($A40="",$C40="",$D40="",$C40&gt;W$6,$D40&lt;W$9),"",IF($J40="里程碑","◆",""))</f>
        <v/>
      </c>
      <c r="X40" s="8" t="str">
        <f>IF(OR($A40="",$C40="",$D40="",$C40&gt;X$6,$D40&lt;X$9),"",IF($J40="里程碑","◆",""))</f>
        <v/>
      </c>
      <c r="Y40" s="8" t="str">
        <f>IF(OR($A40="",$C40="",$D40="",$C40&gt;Y$6,$D40&lt;Y$9),"",IF($J40="里程碑","◆",""))</f>
        <v/>
      </c>
      <c r="Z40" s="8" t="str">
        <f>IF(OR($A40="",$C40="",$D40="",$C40&gt;Z$6,$D40&lt;Z$9),"",IF($J40="里程碑","◆",""))</f>
        <v/>
      </c>
      <c r="AA40" s="8" t="str">
        <f>IF(OR($A40="",$C40="",$D40="",$C40&gt;AA$6,$D40&lt;AA$9),"",IF($J40="里程碑","◆",""))</f>
        <v/>
      </c>
      <c r="AB40" s="8" t="str">
        <f>IF(OR($A40="",$C40="",$D40="",$C40&gt;AB$6,$D40&lt;AB$9),"",IF($J40="里程碑","◆",""))</f>
        <v/>
      </c>
      <c r="AC40" s="8" t="str">
        <f>IF(OR($A40="",$C40="",$D40="",$C40&gt;AC$6,$D40&lt;AC$9),"",IF($J40="里程碑","◆",""))</f>
        <v/>
      </c>
      <c r="AD40" s="8" t="str">
        <f>IF(OR($A40="",$C40="",$D40="",$C40&gt;AD$6,$D40&lt;AD$9),"",IF($J40="里程碑","◆",""))</f>
        <v/>
      </c>
      <c r="AE40" s="8" t="str">
        <f>IF(OR($A40="",$C40="",$D40="",$C40&gt;AE$6,$D40&lt;AE$9),"",IF($J40="里程碑","◆",""))</f>
        <v/>
      </c>
      <c r="AF40" s="8" t="str">
        <f>IF(OR($A40="",$C40="",$D40="",$C40&gt;AF$6,$D40&lt;AF$9),"",IF($J40="里程碑","◆",""))</f>
        <v/>
      </c>
      <c r="AG40" s="8" t="str">
        <f>IF(OR($A40="",$C40="",$D40="",$C40&gt;AG$6,$D40&lt;AG$9),"",IF($J40="里程碑","◆",""))</f>
        <v/>
      </c>
      <c r="AH40" s="8" t="str">
        <f>IF(OR($A40="",$C40="",$D40="",$C40&gt;AH$6,$D40&lt;AH$9),"",IF($J40="里程碑","◆",""))</f>
        <v/>
      </c>
      <c r="AI40" s="8" t="str">
        <f>IF(OR($A40="",$C40="",$D40="",$C40&gt;AI$6,$D40&lt;AI$9),"",IF($J40="里程碑","◆",""))</f>
        <v/>
      </c>
      <c r="AJ40" s="8" t="str">
        <f>IF(OR($A40="",$C40="",$D40="",$C40&gt;AJ$6,$D40&lt;AJ$9),"",IF($J40="里程碑","◆",""))</f>
        <v/>
      </c>
      <c r="AK40" s="8" t="str">
        <f>IF(OR($A40="",$C40="",$D40="",$C40&gt;AK$6,$D40&lt;AK$9),"",IF($J40="里程碑","◆",""))</f>
        <v/>
      </c>
      <c r="AL40" s="8" t="str">
        <f>IF(OR($A40="",$C40="",$D40="",$C40&gt;AL$6,$D40&lt;AL$9),"",IF($J40="里程碑","◆",""))</f>
        <v/>
      </c>
      <c r="AM40" s="8" t="str">
        <f>IF(OR($A40="",$C40="",$D40="",$C40&gt;AM$6,$D40&lt;AM$9),"",IF($J40="里程碑","◆",""))</f>
        <v/>
      </c>
      <c r="AN40" s="8" t="str">
        <f>IF(OR($A40="",$C40="",$D40="",$C40&gt;AN$6,$D40&lt;AN$9),"",IF($J40="里程碑","◆",""))</f>
        <v/>
      </c>
      <c r="AO40" s="8" t="str">
        <f>IF(OR($A40="",$C40="",$D40="",$C40&gt;AO$6,$D40&lt;AO$9),"",IF($J40="里程碑","◆",""))</f>
        <v/>
      </c>
      <c r="AP40" s="8" t="str">
        <f>IF(OR($A40="",$C40="",$D40="",$C40&gt;AP$6,$D40&lt;AP$9),"",IF($J40="里程碑","◆",""))</f>
        <v/>
      </c>
      <c r="AQ40" s="8" t="str">
        <f>IF(OR($A40="",$C40="",$D40="",$C40&gt;AQ$6,$D40&lt;AQ$9),"",IF($J40="里程碑","◆",""))</f>
        <v/>
      </c>
      <c r="AR40" s="8" t="str">
        <f>IF(OR($A40="",$C40="",$D40="",$C40&gt;AR$6,$D40&lt;AR$9),"",IF($J40="里程碑","◆",""))</f>
        <v/>
      </c>
      <c r="AS40" s="8" t="str">
        <f>IF(OR($A40="",$C40="",$D40="",$C40&gt;AS$6,$D40&lt;AS$9),"",IF($J40="里程碑","◆",""))</f>
        <v/>
      </c>
      <c r="AT40" s="8" t="str">
        <f>IF(OR($A40="",$C40="",$D40="",$C40&gt;AT$6,$D40&lt;AT$9),"",IF($J40="里程碑","◆",""))</f>
        <v/>
      </c>
      <c r="AU40" s="8" t="str">
        <f>IF(OR($A40="",$C40="",$D40="",$C40&gt;AU$6,$D40&lt;AU$9),"",IF($J40="里程碑","◆",""))</f>
        <v/>
      </c>
      <c r="AV40" s="8" t="str">
        <f>IF(OR($A40="",$C40="",$D40="",$C40&gt;AV$6,$D40&lt;AV$9),"",IF($J40="里程碑","◆",""))</f>
        <v/>
      </c>
      <c r="AW40" s="8" t="str">
        <f>IF(OR($A40="",$C40="",$D40="",$C40&gt;AW$6,$D40&lt;AW$9),"",IF($J40="里程碑","◆",""))</f>
        <v/>
      </c>
      <c r="AX40" s="8" t="str">
        <f>IF(OR($A40="",$C40="",$D40="",$C40&gt;AX$6,$D40&lt;AX$9),"",IF($J40="里程碑","◆",""))</f>
        <v/>
      </c>
      <c r="AY40" s="8" t="str">
        <f>IF(OR($A40="",$C40="",$D40="",$C40&gt;AY$6,$D40&lt;AY$9),"",IF($J40="里程碑","◆",""))</f>
        <v/>
      </c>
      <c r="AZ40" s="8" t="str">
        <f>IF(OR($A40="",$C40="",$D40="",$C40&gt;AZ$6,$D40&lt;AZ$9),"",IF($J40="里程碑","◆",""))</f>
        <v/>
      </c>
      <c r="BA40" s="8" t="str">
        <f>IF(OR($A40="",$C40="",$D40="",$C40&gt;BA$6,$D40&lt;BA$9),"",IF($J40="里程碑","◆",""))</f>
        <v/>
      </c>
      <c r="BB40" s="8" t="str">
        <f>IF(OR($A40="",$C40="",$D40="",$C40&gt;BB$6,$D40&lt;BB$9),"",IF($J40="里程碑","◆",""))</f>
        <v/>
      </c>
      <c r="BC40" s="8" t="str">
        <f>IF(OR($A40="",$C40="",$D40="",$C40&gt;BC$6,$D40&lt;BC$9),"",IF($J40="里程碑","◆",""))</f>
        <v/>
      </c>
      <c r="BD40" s="8" t="str">
        <f>IF(OR($A40="",$C40="",$D40="",$C40&gt;BD$6,$D40&lt;BD$9),"",IF($J40="里程碑","◆",""))</f>
        <v/>
      </c>
      <c r="BE40" s="8" t="str">
        <f>IF(OR($A40="",$C40="",$D40="",$C40&gt;BE$6,$D40&lt;BE$9),"",IF($J40="里程碑","◆",""))</f>
        <v/>
      </c>
      <c r="BF40" s="8" t="str">
        <f>IF(OR($A40="",$C40="",$D40="",$C40&gt;BF$6,$D40&lt;BF$9),"",IF($J40="里程碑","◆",""))</f>
        <v/>
      </c>
      <c r="BG40" s="8" t="str">
        <f>IF(OR($A40="",$C40="",$D40="",$C40&gt;BG$6,$D40&lt;BG$9),"",IF($J40="里程碑","◆",""))</f>
        <v/>
      </c>
      <c r="BH40" s="8" t="str">
        <f>IF(OR($A40="",$C40="",$D40="",$C40&gt;BH$6,$D40&lt;BH$9),"",IF($J40="里程碑","◆",""))</f>
        <v/>
      </c>
      <c r="BI40" s="8" t="str">
        <f>IF(OR($A40="",$C40="",$D40="",$C40&gt;BI$6,$D40&lt;BI$9),"",IF($J40="里程碑","◆",""))</f>
        <v/>
      </c>
      <c r="BJ40" s="8" t="str">
        <f>IF(OR($A40="",$C40="",$D40="",$C40&gt;BJ$6,$D40&lt;BJ$9),"",IF($J40="里程碑","◆",""))</f>
        <v/>
      </c>
      <c r="BK40" s="8" t="str">
        <f>IF(OR($A40="",$C40="",$D40="",$C40&gt;BK$6,$D40&lt;BK$9),"",IF($J40="里程碑","◆",""))</f>
        <v/>
      </c>
      <c r="BL40" s="8" t="str">
        <f>IF(OR($A40="",$C40="",$D40="",$C40&gt;BL$6,$D40&lt;BL$9),"",IF($J40="里程碑","◆",""))</f>
        <v/>
      </c>
      <c r="BM40" s="8" t="str">
        <f>IF(OR($A40="",$C40="",$D40="",$C40&gt;BM$6,$D40&lt;BM$9),"",IF($J40="里程碑","◆",""))</f>
        <v/>
      </c>
      <c r="BN40" s="8" t="str">
        <f>IF(OR($A40="",$C40="",$D40="",$C40&gt;BN$6,$D40&lt;BN$9),"",IF($J40="里程碑","◆",""))</f>
        <v/>
      </c>
      <c r="BO40" s="8" t="str">
        <f>IF(OR($A40="",$C40="",$D40="",$C40&gt;BO$6,$D40&lt;BO$9),"",IF($J40="里程碑","◆",""))</f>
        <v/>
      </c>
      <c r="BP40" s="8" t="str">
        <f>IF(OR($A40="",$C40="",$D40="",$C40&gt;BP$6,$D40&lt;BP$9),"",IF($J40="里程碑","◆",""))</f>
        <v/>
      </c>
      <c r="BQ40" s="8" t="str">
        <f>IF(OR($A40="",$C40="",$D40="",$C40&gt;BQ$6,$D40&lt;BQ$9),"",IF($J40="里程碑","◆",""))</f>
        <v/>
      </c>
      <c r="BR40" s="8" t="str">
        <f>IF(OR($A40="",$C40="",$D40="",$C40&gt;BR$6,$D40&lt;BR$9),"",IF($J40="里程碑","◆",""))</f>
        <v/>
      </c>
      <c r="BS40" s="8" t="str">
        <f>IF(OR($A40="",$C40="",$D40="",$C40&gt;BS$6,$D40&lt;BS$9),"",IF($J40="里程碑","◆",""))</f>
        <v/>
      </c>
      <c r="BT40" s="8" t="str">
        <f>IF(OR($A40="",$C40="",$D40="",$C40&gt;BT$6,$D40&lt;BT$9),"",IF($J40="里程碑","◆",""))</f>
        <v/>
      </c>
      <c r="BU40" s="8" t="str">
        <f>IF(OR($A40="",$C40="",$D40="",$C40&gt;BU$6,$D40&lt;BU$9),"",IF($J40="里程碑","◆",""))</f>
        <v/>
      </c>
      <c r="BV40" s="8" t="str">
        <f>IF(OR($A40="",$C40="",$D40="",$C40&gt;BV$6,$D40&lt;BV$9),"",IF($J40="里程碑","◆",""))</f>
        <v/>
      </c>
      <c r="BW40" s="8" t="str">
        <f>IF(OR($A40="",$C40="",$D40="",$C40&gt;BW$6,$D40&lt;BW$9),"",IF($J40="里程碑","◆",""))</f>
        <v/>
      </c>
      <c r="BX40" s="8" t="str">
        <f>IF(OR($A40="",$C40="",$D40="",$C40&gt;BX$6,$D40&lt;BX$9),"",IF($J40="里程碑","◆",""))</f>
        <v/>
      </c>
      <c r="BY40" s="8" t="str">
        <f>IF(OR($A40="",$C40="",$D40="",$C40&gt;BY$6,$D40&lt;BY$9),"",IF($J40="里程碑","◆",""))</f>
        <v/>
      </c>
      <c r="BZ40" s="8" t="str">
        <f>IF(OR($A40="",$C40="",$D40="",$C40&gt;BZ$6,$D40&lt;BZ$9),"",IF($J40="里程碑","◆",""))</f>
        <v/>
      </c>
      <c r="CA40" s="8" t="str">
        <f>IF(OR($A40="",$C40="",$D40="",$C40&gt;CA$6,$D40&lt;CA$9),"",IF($J40="里程碑","◆",""))</f>
        <v/>
      </c>
      <c r="CB40" s="8" t="str">
        <f>IF(OR($A40="",$C40="",$D40="",$C40&gt;CB$6,$D40&lt;CB$9),"",IF($J40="里程碑","◆",""))</f>
        <v/>
      </c>
      <c r="CC40" s="8" t="str">
        <f>IF(OR($A40="",$C40="",$D40="",$C40&gt;CC$6,$D40&lt;CC$9),"",IF($J40="里程碑","◆",""))</f>
        <v/>
      </c>
      <c r="CD40" s="8" t="str">
        <f>IF(OR($A40="",$C40="",$D40="",$C40&gt;CD$6,$D40&lt;CD$9),"",IF($J40="里程碑","◆",""))</f>
        <v/>
      </c>
      <c r="CE40" s="8" t="str">
        <f>IF(OR($A40="",$C40="",$D40="",$C40&gt;CE$6,$D40&lt;CE$9),"",IF($J40="里程碑","◆",""))</f>
        <v/>
      </c>
      <c r="CF40" s="8" t="str">
        <f>IF(OR($A40="",$C40="",$D40="",$C40&gt;CF$6,$D40&lt;CF$9),"",IF($J40="里程碑","◆",""))</f>
        <v/>
      </c>
      <c r="CG40" s="8" t="str">
        <f>IF(OR($A40="",$C40="",$D40="",$C40&gt;CG$6,$D40&lt;CG$9),"",IF($J40="里程碑","◆",""))</f>
        <v/>
      </c>
      <c r="CH40" s="8" t="str">
        <f>IF(OR($A40="",$C40="",$D40="",$C40&gt;CH$6,$D40&lt;CH$9),"",IF($J40="里程碑","◆",""))</f>
        <v/>
      </c>
      <c r="CI40" s="8" t="str">
        <f>IF(OR($A40="",$C40="",$D40="",$C40&gt;CI$6,$D40&lt;CI$9),"",IF($J40="里程碑","◆",""))</f>
        <v/>
      </c>
      <c r="CJ40" s="8" t="str">
        <f>IF(OR($A40="",$C40="",$D40="",$C40&gt;CJ$6,$D40&lt;CJ$9),"",IF($J40="里程碑","◆",""))</f>
        <v/>
      </c>
      <c r="CK40" s="8" t="str">
        <f>IF(OR($A40="",$C40="",$D40="",$C40&gt;CK$6,$D40&lt;CK$9),"",IF($J40="里程碑","◆",""))</f>
        <v/>
      </c>
      <c r="CL40" s="8" t="str">
        <f>IF(OR($A40="",$C40="",$D40="",$C40&gt;CL$6,$D40&lt;CL$9),"",IF($J40="里程碑","◆",""))</f>
        <v/>
      </c>
      <c r="CM40" s="8" t="str">
        <f>IF(OR($A40="",$C40="",$D40="",$C40&gt;CM$6,$D40&lt;CM$9),"",IF($J40="里程碑","◆",""))</f>
        <v/>
      </c>
      <c r="CN40" s="8" t="str">
        <f>IF(OR($A40="",$C40="",$D40="",$C40&gt;CN$6,$D40&lt;CN$9),"",IF($J40="里程碑","◆",""))</f>
        <v/>
      </c>
      <c r="CO40" s="8" t="str">
        <f>IF(OR($A40="",$C40="",$D40="",$C40&gt;CO$6,$D40&lt;CO$9),"",IF($J40="里程碑","◆",""))</f>
        <v/>
      </c>
      <c r="CP40" s="8" t="str">
        <f>IF(OR($A40="",$C40="",$D40="",$C40&gt;CP$6,$D40&lt;CP$9),"",IF($J40="里程碑","◆",""))</f>
        <v/>
      </c>
      <c r="CQ40" s="8" t="str">
        <f>IF(OR($A40="",$C40="",$D40="",$C40&gt;CQ$6,$D40&lt;CQ$9),"",IF($J40="里程碑","◆",""))</f>
        <v/>
      </c>
      <c r="CR40" s="8" t="str">
        <f>IF(OR($A40="",$C40="",$D40="",$C40&gt;CR$6,$D40&lt;CR$9),"",IF($J40="里程碑","◆",""))</f>
        <v/>
      </c>
      <c r="CS40" s="8" t="str">
        <f>IF(OR($A40="",$C40="",$D40="",$C40&gt;CS$6,$D40&lt;CS$9),"",IF($J40="里程碑","◆",""))</f>
        <v/>
      </c>
      <c r="CT40" s="8" t="str">
        <f>IF(OR($A40="",$C40="",$D40="",$C40&gt;CT$6,$D40&lt;CT$9),"",IF($J40="里程碑","◆",""))</f>
        <v/>
      </c>
      <c r="CU40" s="8" t="str">
        <f>IF(OR($A40="",$C40="",$D40="",$C40&gt;CU$6,$D40&lt;CU$9),"",IF($J40="里程碑","◆",""))</f>
        <v/>
      </c>
      <c r="CV40" s="8" t="str">
        <f>IF(OR($A40="",$C40="",$D40="",$C40&gt;CV$6,$D40&lt;CV$9),"",IF($J40="里程碑","◆",""))</f>
        <v/>
      </c>
      <c r="CW40" s="8" t="str">
        <f>IF(OR($A40="",$C40="",$D40="",$C40&gt;CW$6,$D40&lt;CW$9),"",IF($J40="里程碑","◆",""))</f>
        <v/>
      </c>
      <c r="CX40" s="8" t="str">
        <f>IF(OR($A40="",$C40="",$D40="",$C40&gt;CX$6,$D40&lt;CX$9),"",IF($J40="里程碑","◆",""))</f>
        <v/>
      </c>
      <c r="CY40" s="8" t="str">
        <f>IF(OR($A40="",$C40="",$D40="",$C40&gt;CY$6,$D40&lt;CY$9),"",IF($J40="里程碑","◆",""))</f>
        <v/>
      </c>
      <c r="CZ40" s="8" t="str">
        <f>IF(OR($A40="",$C40="",$D40="",$C40&gt;CZ$6,$D40&lt;CZ$9),"",IF($J40="里程碑","◆",""))</f>
        <v/>
      </c>
      <c r="DA40" s="8" t="str">
        <f>IF(OR($A40="",$C40="",$D40="",$C40&gt;DA$6,$D40&lt;DA$9),"",IF($J40="里程碑","◆",""))</f>
        <v/>
      </c>
      <c r="DB40" s="8" t="str">
        <f>IF(OR($A40="",$C40="",$D40="",$C40&gt;DB$6,$D40&lt;DB$9),"",IF($J40="里程碑","◆",""))</f>
        <v/>
      </c>
      <c r="DC40" s="1" t="str">
        <f>IF(ROW()-9&gt;$DH$3,"",MATCH(ROW()-9,排期计算!$U$10:$U$109,0))</f>
        <v/>
      </c>
      <c r="DD40" s="1" t="str">
        <f>IF($DC40="","",INDEX(排期计算!$L$10:$L$109,$DC40))</f>
        <v/>
      </c>
      <c r="DE40" s="1"/>
      <c r="DF40" s="1"/>
      <c r="DG40" s="1"/>
      <c r="DH40" s="1"/>
      <c r="DI40" s="1"/>
      <c r="DJ40" s="1"/>
      <c r="DK40" s="1"/>
    </row>
    <row r="41" spans="1:115" ht="24.95" customHeight="1">
      <c r="A41" s="9" t="str">
        <f>IF($DC41="","",IF(AND(INDEX(排期计算!$A$10:$A$109,$DC41)="",NOT(ISNUMBER(INDEX(排期计算!$A$10:$A$109,$DC41)))),"",INDEX(排期计算!$A$10:$A$109,$DC41)))</f>
        <v/>
      </c>
      <c r="B41" s="1" t="str">
        <f>IF($DC41="","",REPT("　",$DD41-1)&amp;INDEX(排期计算!$B$10:$B$109,$DC41))</f>
        <v/>
      </c>
      <c r="C41" s="3" t="str">
        <f>IF($DC41="","",IF(AND(INDEX(排期计算!$M$10:$M$109,$DC41)="",NOT(ISNUMBER(INDEX(排期计算!$M$10:$M$109,$DC41)))),"",INDEX(排期计算!$M$10:$M$109,$DC41)))</f>
        <v/>
      </c>
      <c r="D41" s="3" t="str">
        <f>IF($DC41="","",IF(AND(INDEX(排期计算!$N$10:$N$109,$DC41)="",NOT(ISNUMBER(INDEX(排期计算!$N$10:$N$109,$DC41)))),"",INDEX(排期计算!$N$10:$N$109,$DC41)))</f>
        <v/>
      </c>
      <c r="E41" s="1" t="str">
        <f>IF(OR($C41="",$D41=""),"",IF($J41="里程碑",0,NETWORKDAYS($C41,$D41)))</f>
        <v/>
      </c>
      <c r="F41" s="7" t="str">
        <f>IF($DC41="","",IF(AND(INDEX(排期计算!$O$10:$O$109,$DC41)="",NOT(ISNUMBER(INDEX(排期计算!$O$10:$O$109,$DC41)))),"",INDEX(排期计算!$O$10:$O$109,$DC41)))</f>
        <v/>
      </c>
      <c r="G41" s="8" t="str">
        <f>IF($A41="","",IF(OR($C41="",$D41=""),"未排期",IF($F41&gt;=1,"已完成",IF($D41&lt;$B$4,"逾期",IF($C41&gt;$B$4,"未开始","进行中")))))</f>
        <v/>
      </c>
      <c r="H41" s="1" t="str">
        <f>IF($DC41="","",IF(AND(INDEX(排期计算!$C$10:$C$109,$DC41)="",NOT(ISNUMBER(INDEX(排期计算!$C$10:$C$109,$DC41)))),"",INDEX(排期计算!$C$10:$C$109,$DC41)))</f>
        <v/>
      </c>
      <c r="I41" s="1" t="str">
        <f>IF($DC41="","",IF(AND(INDEX(排期计算!$H$10:$H$109,$DC41)="",NOT(ISNUMBER(INDEX(排期计算!$H$10:$H$109,$DC41)))),"",INDEX(排期计算!$H$10:$H$109,$DC41)))</f>
        <v/>
      </c>
      <c r="J41" s="1" t="str">
        <f>IF($DC41="","",IF(AND(INDEX(排期计算!$K$10:$K$109,$DC41)="",NOT(ISNUMBER(INDEX(排期计算!$K$10:$K$109,$DC41)))),"",INDEX(排期计算!$K$10:$K$109,$DC41)))</f>
        <v/>
      </c>
      <c r="K41" s="8" t="str">
        <f>IF(OR($A41="",$C41="",$D41="",$C41&gt;K$6,$D41&lt;K$9),"",IF($J41="里程碑","◆",""))</f>
        <v/>
      </c>
      <c r="L41" s="8" t="str">
        <f>IF(OR($A41="",$C41="",$D41="",$C41&gt;L$6,$D41&lt;L$9),"",IF($J41="里程碑","◆",""))</f>
        <v/>
      </c>
      <c r="M41" s="8" t="str">
        <f>IF(OR($A41="",$C41="",$D41="",$C41&gt;M$6,$D41&lt;M$9),"",IF($J41="里程碑","◆",""))</f>
        <v/>
      </c>
      <c r="N41" s="8" t="str">
        <f>IF(OR($A41="",$C41="",$D41="",$C41&gt;N$6,$D41&lt;N$9),"",IF($J41="里程碑","◆",""))</f>
        <v/>
      </c>
      <c r="O41" s="8" t="str">
        <f>IF(OR($A41="",$C41="",$D41="",$C41&gt;O$6,$D41&lt;O$9),"",IF($J41="里程碑","◆",""))</f>
        <v/>
      </c>
      <c r="P41" s="8" t="str">
        <f>IF(OR($A41="",$C41="",$D41="",$C41&gt;P$6,$D41&lt;P$9),"",IF($J41="里程碑","◆",""))</f>
        <v/>
      </c>
      <c r="Q41" s="8" t="str">
        <f>IF(OR($A41="",$C41="",$D41="",$C41&gt;Q$6,$D41&lt;Q$9),"",IF($J41="里程碑","◆",""))</f>
        <v/>
      </c>
      <c r="R41" s="8" t="str">
        <f>IF(OR($A41="",$C41="",$D41="",$C41&gt;R$6,$D41&lt;R$9),"",IF($J41="里程碑","◆",""))</f>
        <v/>
      </c>
      <c r="S41" s="8" t="str">
        <f>IF(OR($A41="",$C41="",$D41="",$C41&gt;S$6,$D41&lt;S$9),"",IF($J41="里程碑","◆",""))</f>
        <v/>
      </c>
      <c r="T41" s="8" t="str">
        <f>IF(OR($A41="",$C41="",$D41="",$C41&gt;T$6,$D41&lt;T$9),"",IF($J41="里程碑","◆",""))</f>
        <v/>
      </c>
      <c r="U41" s="8" t="str">
        <f>IF(OR($A41="",$C41="",$D41="",$C41&gt;U$6,$D41&lt;U$9),"",IF($J41="里程碑","◆",""))</f>
        <v/>
      </c>
      <c r="V41" s="8" t="str">
        <f>IF(OR($A41="",$C41="",$D41="",$C41&gt;V$6,$D41&lt;V$9),"",IF($J41="里程碑","◆",""))</f>
        <v/>
      </c>
      <c r="W41" s="8" t="str">
        <f>IF(OR($A41="",$C41="",$D41="",$C41&gt;W$6,$D41&lt;W$9),"",IF($J41="里程碑","◆",""))</f>
        <v/>
      </c>
      <c r="X41" s="8" t="str">
        <f>IF(OR($A41="",$C41="",$D41="",$C41&gt;X$6,$D41&lt;X$9),"",IF($J41="里程碑","◆",""))</f>
        <v/>
      </c>
      <c r="Y41" s="8" t="str">
        <f>IF(OR($A41="",$C41="",$D41="",$C41&gt;Y$6,$D41&lt;Y$9),"",IF($J41="里程碑","◆",""))</f>
        <v/>
      </c>
      <c r="Z41" s="8" t="str">
        <f>IF(OR($A41="",$C41="",$D41="",$C41&gt;Z$6,$D41&lt;Z$9),"",IF($J41="里程碑","◆",""))</f>
        <v/>
      </c>
      <c r="AA41" s="8" t="str">
        <f>IF(OR($A41="",$C41="",$D41="",$C41&gt;AA$6,$D41&lt;AA$9),"",IF($J41="里程碑","◆",""))</f>
        <v/>
      </c>
      <c r="AB41" s="8" t="str">
        <f>IF(OR($A41="",$C41="",$D41="",$C41&gt;AB$6,$D41&lt;AB$9),"",IF($J41="里程碑","◆",""))</f>
        <v/>
      </c>
      <c r="AC41" s="8" t="str">
        <f>IF(OR($A41="",$C41="",$D41="",$C41&gt;AC$6,$D41&lt;AC$9),"",IF($J41="里程碑","◆",""))</f>
        <v/>
      </c>
      <c r="AD41" s="8" t="str">
        <f>IF(OR($A41="",$C41="",$D41="",$C41&gt;AD$6,$D41&lt;AD$9),"",IF($J41="里程碑","◆",""))</f>
        <v/>
      </c>
      <c r="AE41" s="8" t="str">
        <f>IF(OR($A41="",$C41="",$D41="",$C41&gt;AE$6,$D41&lt;AE$9),"",IF($J41="里程碑","◆",""))</f>
        <v/>
      </c>
      <c r="AF41" s="8" t="str">
        <f>IF(OR($A41="",$C41="",$D41="",$C41&gt;AF$6,$D41&lt;AF$9),"",IF($J41="里程碑","◆",""))</f>
        <v/>
      </c>
      <c r="AG41" s="8" t="str">
        <f>IF(OR($A41="",$C41="",$D41="",$C41&gt;AG$6,$D41&lt;AG$9),"",IF($J41="里程碑","◆",""))</f>
        <v/>
      </c>
      <c r="AH41" s="8" t="str">
        <f>IF(OR($A41="",$C41="",$D41="",$C41&gt;AH$6,$D41&lt;AH$9),"",IF($J41="里程碑","◆",""))</f>
        <v/>
      </c>
      <c r="AI41" s="8" t="str">
        <f>IF(OR($A41="",$C41="",$D41="",$C41&gt;AI$6,$D41&lt;AI$9),"",IF($J41="里程碑","◆",""))</f>
        <v/>
      </c>
      <c r="AJ41" s="8" t="str">
        <f>IF(OR($A41="",$C41="",$D41="",$C41&gt;AJ$6,$D41&lt;AJ$9),"",IF($J41="里程碑","◆",""))</f>
        <v/>
      </c>
      <c r="AK41" s="8" t="str">
        <f>IF(OR($A41="",$C41="",$D41="",$C41&gt;AK$6,$D41&lt;AK$9),"",IF($J41="里程碑","◆",""))</f>
        <v/>
      </c>
      <c r="AL41" s="8" t="str">
        <f>IF(OR($A41="",$C41="",$D41="",$C41&gt;AL$6,$D41&lt;AL$9),"",IF($J41="里程碑","◆",""))</f>
        <v/>
      </c>
      <c r="AM41" s="8" t="str">
        <f>IF(OR($A41="",$C41="",$D41="",$C41&gt;AM$6,$D41&lt;AM$9),"",IF($J41="里程碑","◆",""))</f>
        <v/>
      </c>
      <c r="AN41" s="8" t="str">
        <f>IF(OR($A41="",$C41="",$D41="",$C41&gt;AN$6,$D41&lt;AN$9),"",IF($J41="里程碑","◆",""))</f>
        <v/>
      </c>
      <c r="AO41" s="8" t="str">
        <f>IF(OR($A41="",$C41="",$D41="",$C41&gt;AO$6,$D41&lt;AO$9),"",IF($J41="里程碑","◆",""))</f>
        <v/>
      </c>
      <c r="AP41" s="8" t="str">
        <f>IF(OR($A41="",$C41="",$D41="",$C41&gt;AP$6,$D41&lt;AP$9),"",IF($J41="里程碑","◆",""))</f>
        <v/>
      </c>
      <c r="AQ41" s="8" t="str">
        <f>IF(OR($A41="",$C41="",$D41="",$C41&gt;AQ$6,$D41&lt;AQ$9),"",IF($J41="里程碑","◆",""))</f>
        <v/>
      </c>
      <c r="AR41" s="8" t="str">
        <f>IF(OR($A41="",$C41="",$D41="",$C41&gt;AR$6,$D41&lt;AR$9),"",IF($J41="里程碑","◆",""))</f>
        <v/>
      </c>
      <c r="AS41" s="8" t="str">
        <f>IF(OR($A41="",$C41="",$D41="",$C41&gt;AS$6,$D41&lt;AS$9),"",IF($J41="里程碑","◆",""))</f>
        <v/>
      </c>
      <c r="AT41" s="8" t="str">
        <f>IF(OR($A41="",$C41="",$D41="",$C41&gt;AT$6,$D41&lt;AT$9),"",IF($J41="里程碑","◆",""))</f>
        <v/>
      </c>
      <c r="AU41" s="8" t="str">
        <f>IF(OR($A41="",$C41="",$D41="",$C41&gt;AU$6,$D41&lt;AU$9),"",IF($J41="里程碑","◆",""))</f>
        <v/>
      </c>
      <c r="AV41" s="8" t="str">
        <f>IF(OR($A41="",$C41="",$D41="",$C41&gt;AV$6,$D41&lt;AV$9),"",IF($J41="里程碑","◆",""))</f>
        <v/>
      </c>
      <c r="AW41" s="8" t="str">
        <f>IF(OR($A41="",$C41="",$D41="",$C41&gt;AW$6,$D41&lt;AW$9),"",IF($J41="里程碑","◆",""))</f>
        <v/>
      </c>
      <c r="AX41" s="8" t="str">
        <f>IF(OR($A41="",$C41="",$D41="",$C41&gt;AX$6,$D41&lt;AX$9),"",IF($J41="里程碑","◆",""))</f>
        <v/>
      </c>
      <c r="AY41" s="8" t="str">
        <f>IF(OR($A41="",$C41="",$D41="",$C41&gt;AY$6,$D41&lt;AY$9),"",IF($J41="里程碑","◆",""))</f>
        <v/>
      </c>
      <c r="AZ41" s="8" t="str">
        <f>IF(OR($A41="",$C41="",$D41="",$C41&gt;AZ$6,$D41&lt;AZ$9),"",IF($J41="里程碑","◆",""))</f>
        <v/>
      </c>
      <c r="BA41" s="8" t="str">
        <f>IF(OR($A41="",$C41="",$D41="",$C41&gt;BA$6,$D41&lt;BA$9),"",IF($J41="里程碑","◆",""))</f>
        <v/>
      </c>
      <c r="BB41" s="8" t="str">
        <f>IF(OR($A41="",$C41="",$D41="",$C41&gt;BB$6,$D41&lt;BB$9),"",IF($J41="里程碑","◆",""))</f>
        <v/>
      </c>
      <c r="BC41" s="8" t="str">
        <f>IF(OR($A41="",$C41="",$D41="",$C41&gt;BC$6,$D41&lt;BC$9),"",IF($J41="里程碑","◆",""))</f>
        <v/>
      </c>
      <c r="BD41" s="8" t="str">
        <f>IF(OR($A41="",$C41="",$D41="",$C41&gt;BD$6,$D41&lt;BD$9),"",IF($J41="里程碑","◆",""))</f>
        <v/>
      </c>
      <c r="BE41" s="8" t="str">
        <f>IF(OR($A41="",$C41="",$D41="",$C41&gt;BE$6,$D41&lt;BE$9),"",IF($J41="里程碑","◆",""))</f>
        <v/>
      </c>
      <c r="BF41" s="8" t="str">
        <f>IF(OR($A41="",$C41="",$D41="",$C41&gt;BF$6,$D41&lt;BF$9),"",IF($J41="里程碑","◆",""))</f>
        <v/>
      </c>
      <c r="BG41" s="8" t="str">
        <f>IF(OR($A41="",$C41="",$D41="",$C41&gt;BG$6,$D41&lt;BG$9),"",IF($J41="里程碑","◆",""))</f>
        <v/>
      </c>
      <c r="BH41" s="8" t="str">
        <f>IF(OR($A41="",$C41="",$D41="",$C41&gt;BH$6,$D41&lt;BH$9),"",IF($J41="里程碑","◆",""))</f>
        <v/>
      </c>
      <c r="BI41" s="8" t="str">
        <f>IF(OR($A41="",$C41="",$D41="",$C41&gt;BI$6,$D41&lt;BI$9),"",IF($J41="里程碑","◆",""))</f>
        <v/>
      </c>
      <c r="BJ41" s="8" t="str">
        <f>IF(OR($A41="",$C41="",$D41="",$C41&gt;BJ$6,$D41&lt;BJ$9),"",IF($J41="里程碑","◆",""))</f>
        <v/>
      </c>
      <c r="BK41" s="8" t="str">
        <f>IF(OR($A41="",$C41="",$D41="",$C41&gt;BK$6,$D41&lt;BK$9),"",IF($J41="里程碑","◆",""))</f>
        <v/>
      </c>
      <c r="BL41" s="8" t="str">
        <f>IF(OR($A41="",$C41="",$D41="",$C41&gt;BL$6,$D41&lt;BL$9),"",IF($J41="里程碑","◆",""))</f>
        <v/>
      </c>
      <c r="BM41" s="8" t="str">
        <f>IF(OR($A41="",$C41="",$D41="",$C41&gt;BM$6,$D41&lt;BM$9),"",IF($J41="里程碑","◆",""))</f>
        <v/>
      </c>
      <c r="BN41" s="8" t="str">
        <f>IF(OR($A41="",$C41="",$D41="",$C41&gt;BN$6,$D41&lt;BN$9),"",IF($J41="里程碑","◆",""))</f>
        <v/>
      </c>
      <c r="BO41" s="8" t="str">
        <f>IF(OR($A41="",$C41="",$D41="",$C41&gt;BO$6,$D41&lt;BO$9),"",IF($J41="里程碑","◆",""))</f>
        <v/>
      </c>
      <c r="BP41" s="8" t="str">
        <f>IF(OR($A41="",$C41="",$D41="",$C41&gt;BP$6,$D41&lt;BP$9),"",IF($J41="里程碑","◆",""))</f>
        <v/>
      </c>
      <c r="BQ41" s="8" t="str">
        <f>IF(OR($A41="",$C41="",$D41="",$C41&gt;BQ$6,$D41&lt;BQ$9),"",IF($J41="里程碑","◆",""))</f>
        <v/>
      </c>
      <c r="BR41" s="8" t="str">
        <f>IF(OR($A41="",$C41="",$D41="",$C41&gt;BR$6,$D41&lt;BR$9),"",IF($J41="里程碑","◆",""))</f>
        <v/>
      </c>
      <c r="BS41" s="8" t="str">
        <f>IF(OR($A41="",$C41="",$D41="",$C41&gt;BS$6,$D41&lt;BS$9),"",IF($J41="里程碑","◆",""))</f>
        <v/>
      </c>
      <c r="BT41" s="8" t="str">
        <f>IF(OR($A41="",$C41="",$D41="",$C41&gt;BT$6,$D41&lt;BT$9),"",IF($J41="里程碑","◆",""))</f>
        <v/>
      </c>
      <c r="BU41" s="8" t="str">
        <f>IF(OR($A41="",$C41="",$D41="",$C41&gt;BU$6,$D41&lt;BU$9),"",IF($J41="里程碑","◆",""))</f>
        <v/>
      </c>
      <c r="BV41" s="8" t="str">
        <f>IF(OR($A41="",$C41="",$D41="",$C41&gt;BV$6,$D41&lt;BV$9),"",IF($J41="里程碑","◆",""))</f>
        <v/>
      </c>
      <c r="BW41" s="8" t="str">
        <f>IF(OR($A41="",$C41="",$D41="",$C41&gt;BW$6,$D41&lt;BW$9),"",IF($J41="里程碑","◆",""))</f>
        <v/>
      </c>
      <c r="BX41" s="8" t="str">
        <f>IF(OR($A41="",$C41="",$D41="",$C41&gt;BX$6,$D41&lt;BX$9),"",IF($J41="里程碑","◆",""))</f>
        <v/>
      </c>
      <c r="BY41" s="8" t="str">
        <f>IF(OR($A41="",$C41="",$D41="",$C41&gt;BY$6,$D41&lt;BY$9),"",IF($J41="里程碑","◆",""))</f>
        <v/>
      </c>
      <c r="BZ41" s="8" t="str">
        <f>IF(OR($A41="",$C41="",$D41="",$C41&gt;BZ$6,$D41&lt;BZ$9),"",IF($J41="里程碑","◆",""))</f>
        <v/>
      </c>
      <c r="CA41" s="8" t="str">
        <f>IF(OR($A41="",$C41="",$D41="",$C41&gt;CA$6,$D41&lt;CA$9),"",IF($J41="里程碑","◆",""))</f>
        <v/>
      </c>
      <c r="CB41" s="8" t="str">
        <f>IF(OR($A41="",$C41="",$D41="",$C41&gt;CB$6,$D41&lt;CB$9),"",IF($J41="里程碑","◆",""))</f>
        <v/>
      </c>
      <c r="CC41" s="8" t="str">
        <f>IF(OR($A41="",$C41="",$D41="",$C41&gt;CC$6,$D41&lt;CC$9),"",IF($J41="里程碑","◆",""))</f>
        <v/>
      </c>
      <c r="CD41" s="8" t="str">
        <f>IF(OR($A41="",$C41="",$D41="",$C41&gt;CD$6,$D41&lt;CD$9),"",IF($J41="里程碑","◆",""))</f>
        <v/>
      </c>
      <c r="CE41" s="8" t="str">
        <f>IF(OR($A41="",$C41="",$D41="",$C41&gt;CE$6,$D41&lt;CE$9),"",IF($J41="里程碑","◆",""))</f>
        <v/>
      </c>
      <c r="CF41" s="8" t="str">
        <f>IF(OR($A41="",$C41="",$D41="",$C41&gt;CF$6,$D41&lt;CF$9),"",IF($J41="里程碑","◆",""))</f>
        <v/>
      </c>
      <c r="CG41" s="8" t="str">
        <f>IF(OR($A41="",$C41="",$D41="",$C41&gt;CG$6,$D41&lt;CG$9),"",IF($J41="里程碑","◆",""))</f>
        <v/>
      </c>
      <c r="CH41" s="8" t="str">
        <f>IF(OR($A41="",$C41="",$D41="",$C41&gt;CH$6,$D41&lt;CH$9),"",IF($J41="里程碑","◆",""))</f>
        <v/>
      </c>
      <c r="CI41" s="8" t="str">
        <f>IF(OR($A41="",$C41="",$D41="",$C41&gt;CI$6,$D41&lt;CI$9),"",IF($J41="里程碑","◆",""))</f>
        <v/>
      </c>
      <c r="CJ41" s="8" t="str">
        <f>IF(OR($A41="",$C41="",$D41="",$C41&gt;CJ$6,$D41&lt;CJ$9),"",IF($J41="里程碑","◆",""))</f>
        <v/>
      </c>
      <c r="CK41" s="8" t="str">
        <f>IF(OR($A41="",$C41="",$D41="",$C41&gt;CK$6,$D41&lt;CK$9),"",IF($J41="里程碑","◆",""))</f>
        <v/>
      </c>
      <c r="CL41" s="8" t="str">
        <f>IF(OR($A41="",$C41="",$D41="",$C41&gt;CL$6,$D41&lt;CL$9),"",IF($J41="里程碑","◆",""))</f>
        <v/>
      </c>
      <c r="CM41" s="8" t="str">
        <f>IF(OR($A41="",$C41="",$D41="",$C41&gt;CM$6,$D41&lt;CM$9),"",IF($J41="里程碑","◆",""))</f>
        <v/>
      </c>
      <c r="CN41" s="8" t="str">
        <f>IF(OR($A41="",$C41="",$D41="",$C41&gt;CN$6,$D41&lt;CN$9),"",IF($J41="里程碑","◆",""))</f>
        <v/>
      </c>
      <c r="CO41" s="8" t="str">
        <f>IF(OR($A41="",$C41="",$D41="",$C41&gt;CO$6,$D41&lt;CO$9),"",IF($J41="里程碑","◆",""))</f>
        <v/>
      </c>
      <c r="CP41" s="8" t="str">
        <f>IF(OR($A41="",$C41="",$D41="",$C41&gt;CP$6,$D41&lt;CP$9),"",IF($J41="里程碑","◆",""))</f>
        <v/>
      </c>
      <c r="CQ41" s="8" t="str">
        <f>IF(OR($A41="",$C41="",$D41="",$C41&gt;CQ$6,$D41&lt;CQ$9),"",IF($J41="里程碑","◆",""))</f>
        <v/>
      </c>
      <c r="CR41" s="8" t="str">
        <f>IF(OR($A41="",$C41="",$D41="",$C41&gt;CR$6,$D41&lt;CR$9),"",IF($J41="里程碑","◆",""))</f>
        <v/>
      </c>
      <c r="CS41" s="8" t="str">
        <f>IF(OR($A41="",$C41="",$D41="",$C41&gt;CS$6,$D41&lt;CS$9),"",IF($J41="里程碑","◆",""))</f>
        <v/>
      </c>
      <c r="CT41" s="8" t="str">
        <f>IF(OR($A41="",$C41="",$D41="",$C41&gt;CT$6,$D41&lt;CT$9),"",IF($J41="里程碑","◆",""))</f>
        <v/>
      </c>
      <c r="CU41" s="8" t="str">
        <f>IF(OR($A41="",$C41="",$D41="",$C41&gt;CU$6,$D41&lt;CU$9),"",IF($J41="里程碑","◆",""))</f>
        <v/>
      </c>
      <c r="CV41" s="8" t="str">
        <f>IF(OR($A41="",$C41="",$D41="",$C41&gt;CV$6,$D41&lt;CV$9),"",IF($J41="里程碑","◆",""))</f>
        <v/>
      </c>
      <c r="CW41" s="8" t="str">
        <f>IF(OR($A41="",$C41="",$D41="",$C41&gt;CW$6,$D41&lt;CW$9),"",IF($J41="里程碑","◆",""))</f>
        <v/>
      </c>
      <c r="CX41" s="8" t="str">
        <f>IF(OR($A41="",$C41="",$D41="",$C41&gt;CX$6,$D41&lt;CX$9),"",IF($J41="里程碑","◆",""))</f>
        <v/>
      </c>
      <c r="CY41" s="8" t="str">
        <f>IF(OR($A41="",$C41="",$D41="",$C41&gt;CY$6,$D41&lt;CY$9),"",IF($J41="里程碑","◆",""))</f>
        <v/>
      </c>
      <c r="CZ41" s="8" t="str">
        <f>IF(OR($A41="",$C41="",$D41="",$C41&gt;CZ$6,$D41&lt;CZ$9),"",IF($J41="里程碑","◆",""))</f>
        <v/>
      </c>
      <c r="DA41" s="8" t="str">
        <f>IF(OR($A41="",$C41="",$D41="",$C41&gt;DA$6,$D41&lt;DA$9),"",IF($J41="里程碑","◆",""))</f>
        <v/>
      </c>
      <c r="DB41" s="8" t="str">
        <f>IF(OR($A41="",$C41="",$D41="",$C41&gt;DB$6,$D41&lt;DB$9),"",IF($J41="里程碑","◆",""))</f>
        <v/>
      </c>
      <c r="DC41" s="1" t="str">
        <f>IF(ROW()-9&gt;$DH$3,"",MATCH(ROW()-9,排期计算!$U$10:$U$109,0))</f>
        <v/>
      </c>
      <c r="DD41" s="1" t="str">
        <f>IF($DC41="","",INDEX(排期计算!$L$10:$L$109,$DC41))</f>
        <v/>
      </c>
      <c r="DE41" s="1"/>
      <c r="DF41" s="1"/>
      <c r="DG41" s="1"/>
      <c r="DH41" s="1"/>
      <c r="DI41" s="1"/>
      <c r="DJ41" s="1"/>
      <c r="DK41" s="1"/>
    </row>
    <row r="42" spans="1:115" ht="24.95" customHeight="1">
      <c r="A42" s="9" t="str">
        <f>IF($DC42="","",IF(AND(INDEX(排期计算!$A$10:$A$109,$DC42)="",NOT(ISNUMBER(INDEX(排期计算!$A$10:$A$109,$DC42)))),"",INDEX(排期计算!$A$10:$A$109,$DC42)))</f>
        <v/>
      </c>
      <c r="B42" s="1" t="str">
        <f>IF($DC42="","",REPT("　",$DD42-1)&amp;INDEX(排期计算!$B$10:$B$109,$DC42))</f>
        <v/>
      </c>
      <c r="C42" s="3" t="str">
        <f>IF($DC42="","",IF(AND(INDEX(排期计算!$M$10:$M$109,$DC42)="",NOT(ISNUMBER(INDEX(排期计算!$M$10:$M$109,$DC42)))),"",INDEX(排期计算!$M$10:$M$109,$DC42)))</f>
        <v/>
      </c>
      <c r="D42" s="3" t="str">
        <f>IF($DC42="","",IF(AND(INDEX(排期计算!$N$10:$N$109,$DC42)="",NOT(ISNUMBER(INDEX(排期计算!$N$10:$N$109,$DC42)))),"",INDEX(排期计算!$N$10:$N$109,$DC42)))</f>
        <v/>
      </c>
      <c r="E42" s="1" t="str">
        <f>IF(OR($C42="",$D42=""),"",IF($J42="里程碑",0,NETWORKDAYS($C42,$D42)))</f>
        <v/>
      </c>
      <c r="F42" s="7" t="str">
        <f>IF($DC42="","",IF(AND(INDEX(排期计算!$O$10:$O$109,$DC42)="",NOT(ISNUMBER(INDEX(排期计算!$O$10:$O$109,$DC42)))),"",INDEX(排期计算!$O$10:$O$109,$DC42)))</f>
        <v/>
      </c>
      <c r="G42" s="8" t="str">
        <f>IF($A42="","",IF(OR($C42="",$D42=""),"未排期",IF($F42&gt;=1,"已完成",IF($D42&lt;$B$4,"逾期",IF($C42&gt;$B$4,"未开始","进行中")))))</f>
        <v/>
      </c>
      <c r="H42" s="1" t="str">
        <f>IF($DC42="","",IF(AND(INDEX(排期计算!$C$10:$C$109,$DC42)="",NOT(ISNUMBER(INDEX(排期计算!$C$10:$C$109,$DC42)))),"",INDEX(排期计算!$C$10:$C$109,$DC42)))</f>
        <v/>
      </c>
      <c r="I42" s="1" t="str">
        <f>IF($DC42="","",IF(AND(INDEX(排期计算!$H$10:$H$109,$DC42)="",NOT(ISNUMBER(INDEX(排期计算!$H$10:$H$109,$DC42)))),"",INDEX(排期计算!$H$10:$H$109,$DC42)))</f>
        <v/>
      </c>
      <c r="J42" s="1" t="str">
        <f>IF($DC42="","",IF(AND(INDEX(排期计算!$K$10:$K$109,$DC42)="",NOT(ISNUMBER(INDEX(排期计算!$K$10:$K$109,$DC42)))),"",INDEX(排期计算!$K$10:$K$109,$DC42)))</f>
        <v/>
      </c>
      <c r="K42" s="8" t="str">
        <f>IF(OR($A42="",$C42="",$D42="",$C42&gt;K$6,$D42&lt;K$9),"",IF($J42="里程碑","◆",""))</f>
        <v/>
      </c>
      <c r="L42" s="8" t="str">
        <f>IF(OR($A42="",$C42="",$D42="",$C42&gt;L$6,$D42&lt;L$9),"",IF($J42="里程碑","◆",""))</f>
        <v/>
      </c>
      <c r="M42" s="8" t="str">
        <f>IF(OR($A42="",$C42="",$D42="",$C42&gt;M$6,$D42&lt;M$9),"",IF($J42="里程碑","◆",""))</f>
        <v/>
      </c>
      <c r="N42" s="8" t="str">
        <f>IF(OR($A42="",$C42="",$D42="",$C42&gt;N$6,$D42&lt;N$9),"",IF($J42="里程碑","◆",""))</f>
        <v/>
      </c>
      <c r="O42" s="8" t="str">
        <f>IF(OR($A42="",$C42="",$D42="",$C42&gt;O$6,$D42&lt;O$9),"",IF($J42="里程碑","◆",""))</f>
        <v/>
      </c>
      <c r="P42" s="8" t="str">
        <f>IF(OR($A42="",$C42="",$D42="",$C42&gt;P$6,$D42&lt;P$9),"",IF($J42="里程碑","◆",""))</f>
        <v/>
      </c>
      <c r="Q42" s="8" t="str">
        <f>IF(OR($A42="",$C42="",$D42="",$C42&gt;Q$6,$D42&lt;Q$9),"",IF($J42="里程碑","◆",""))</f>
        <v/>
      </c>
      <c r="R42" s="8" t="str">
        <f>IF(OR($A42="",$C42="",$D42="",$C42&gt;R$6,$D42&lt;R$9),"",IF($J42="里程碑","◆",""))</f>
        <v/>
      </c>
      <c r="S42" s="8" t="str">
        <f>IF(OR($A42="",$C42="",$D42="",$C42&gt;S$6,$D42&lt;S$9),"",IF($J42="里程碑","◆",""))</f>
        <v/>
      </c>
      <c r="T42" s="8" t="str">
        <f>IF(OR($A42="",$C42="",$D42="",$C42&gt;T$6,$D42&lt;T$9),"",IF($J42="里程碑","◆",""))</f>
        <v/>
      </c>
      <c r="U42" s="8" t="str">
        <f>IF(OR($A42="",$C42="",$D42="",$C42&gt;U$6,$D42&lt;U$9),"",IF($J42="里程碑","◆",""))</f>
        <v/>
      </c>
      <c r="V42" s="8" t="str">
        <f>IF(OR($A42="",$C42="",$D42="",$C42&gt;V$6,$D42&lt;V$9),"",IF($J42="里程碑","◆",""))</f>
        <v/>
      </c>
      <c r="W42" s="8" t="str">
        <f>IF(OR($A42="",$C42="",$D42="",$C42&gt;W$6,$D42&lt;W$9),"",IF($J42="里程碑","◆",""))</f>
        <v/>
      </c>
      <c r="X42" s="8" t="str">
        <f>IF(OR($A42="",$C42="",$D42="",$C42&gt;X$6,$D42&lt;X$9),"",IF($J42="里程碑","◆",""))</f>
        <v/>
      </c>
      <c r="Y42" s="8" t="str">
        <f>IF(OR($A42="",$C42="",$D42="",$C42&gt;Y$6,$D42&lt;Y$9),"",IF($J42="里程碑","◆",""))</f>
        <v/>
      </c>
      <c r="Z42" s="8" t="str">
        <f>IF(OR($A42="",$C42="",$D42="",$C42&gt;Z$6,$D42&lt;Z$9),"",IF($J42="里程碑","◆",""))</f>
        <v/>
      </c>
      <c r="AA42" s="8" t="str">
        <f>IF(OR($A42="",$C42="",$D42="",$C42&gt;AA$6,$D42&lt;AA$9),"",IF($J42="里程碑","◆",""))</f>
        <v/>
      </c>
      <c r="AB42" s="8" t="str">
        <f>IF(OR($A42="",$C42="",$D42="",$C42&gt;AB$6,$D42&lt;AB$9),"",IF($J42="里程碑","◆",""))</f>
        <v/>
      </c>
      <c r="AC42" s="8" t="str">
        <f>IF(OR($A42="",$C42="",$D42="",$C42&gt;AC$6,$D42&lt;AC$9),"",IF($J42="里程碑","◆",""))</f>
        <v/>
      </c>
      <c r="AD42" s="8" t="str">
        <f>IF(OR($A42="",$C42="",$D42="",$C42&gt;AD$6,$D42&lt;AD$9),"",IF($J42="里程碑","◆",""))</f>
        <v/>
      </c>
      <c r="AE42" s="8" t="str">
        <f>IF(OR($A42="",$C42="",$D42="",$C42&gt;AE$6,$D42&lt;AE$9),"",IF($J42="里程碑","◆",""))</f>
        <v/>
      </c>
      <c r="AF42" s="8" t="str">
        <f>IF(OR($A42="",$C42="",$D42="",$C42&gt;AF$6,$D42&lt;AF$9),"",IF($J42="里程碑","◆",""))</f>
        <v/>
      </c>
      <c r="AG42" s="8" t="str">
        <f>IF(OR($A42="",$C42="",$D42="",$C42&gt;AG$6,$D42&lt;AG$9),"",IF($J42="里程碑","◆",""))</f>
        <v/>
      </c>
      <c r="AH42" s="8" t="str">
        <f>IF(OR($A42="",$C42="",$D42="",$C42&gt;AH$6,$D42&lt;AH$9),"",IF($J42="里程碑","◆",""))</f>
        <v/>
      </c>
      <c r="AI42" s="8" t="str">
        <f>IF(OR($A42="",$C42="",$D42="",$C42&gt;AI$6,$D42&lt;AI$9),"",IF($J42="里程碑","◆",""))</f>
        <v/>
      </c>
      <c r="AJ42" s="8" t="str">
        <f>IF(OR($A42="",$C42="",$D42="",$C42&gt;AJ$6,$D42&lt;AJ$9),"",IF($J42="里程碑","◆",""))</f>
        <v/>
      </c>
      <c r="AK42" s="8" t="str">
        <f>IF(OR($A42="",$C42="",$D42="",$C42&gt;AK$6,$D42&lt;AK$9),"",IF($J42="里程碑","◆",""))</f>
        <v/>
      </c>
      <c r="AL42" s="8" t="str">
        <f>IF(OR($A42="",$C42="",$D42="",$C42&gt;AL$6,$D42&lt;AL$9),"",IF($J42="里程碑","◆",""))</f>
        <v/>
      </c>
      <c r="AM42" s="8" t="str">
        <f>IF(OR($A42="",$C42="",$D42="",$C42&gt;AM$6,$D42&lt;AM$9),"",IF($J42="里程碑","◆",""))</f>
        <v/>
      </c>
      <c r="AN42" s="8" t="str">
        <f>IF(OR($A42="",$C42="",$D42="",$C42&gt;AN$6,$D42&lt;AN$9),"",IF($J42="里程碑","◆",""))</f>
        <v/>
      </c>
      <c r="AO42" s="8" t="str">
        <f>IF(OR($A42="",$C42="",$D42="",$C42&gt;AO$6,$D42&lt;AO$9),"",IF($J42="里程碑","◆",""))</f>
        <v/>
      </c>
      <c r="AP42" s="8" t="str">
        <f>IF(OR($A42="",$C42="",$D42="",$C42&gt;AP$6,$D42&lt;AP$9),"",IF($J42="里程碑","◆",""))</f>
        <v/>
      </c>
      <c r="AQ42" s="8" t="str">
        <f>IF(OR($A42="",$C42="",$D42="",$C42&gt;AQ$6,$D42&lt;AQ$9),"",IF($J42="里程碑","◆",""))</f>
        <v/>
      </c>
      <c r="AR42" s="8" t="str">
        <f>IF(OR($A42="",$C42="",$D42="",$C42&gt;AR$6,$D42&lt;AR$9),"",IF($J42="里程碑","◆",""))</f>
        <v/>
      </c>
      <c r="AS42" s="8" t="str">
        <f>IF(OR($A42="",$C42="",$D42="",$C42&gt;AS$6,$D42&lt;AS$9),"",IF($J42="里程碑","◆",""))</f>
        <v/>
      </c>
      <c r="AT42" s="8" t="str">
        <f>IF(OR($A42="",$C42="",$D42="",$C42&gt;AT$6,$D42&lt;AT$9),"",IF($J42="里程碑","◆",""))</f>
        <v/>
      </c>
      <c r="AU42" s="8" t="str">
        <f>IF(OR($A42="",$C42="",$D42="",$C42&gt;AU$6,$D42&lt;AU$9),"",IF($J42="里程碑","◆",""))</f>
        <v/>
      </c>
      <c r="AV42" s="8" t="str">
        <f>IF(OR($A42="",$C42="",$D42="",$C42&gt;AV$6,$D42&lt;AV$9),"",IF($J42="里程碑","◆",""))</f>
        <v/>
      </c>
      <c r="AW42" s="8" t="str">
        <f>IF(OR($A42="",$C42="",$D42="",$C42&gt;AW$6,$D42&lt;AW$9),"",IF($J42="里程碑","◆",""))</f>
        <v/>
      </c>
      <c r="AX42" s="8" t="str">
        <f>IF(OR($A42="",$C42="",$D42="",$C42&gt;AX$6,$D42&lt;AX$9),"",IF($J42="里程碑","◆",""))</f>
        <v/>
      </c>
      <c r="AY42" s="8" t="str">
        <f>IF(OR($A42="",$C42="",$D42="",$C42&gt;AY$6,$D42&lt;AY$9),"",IF($J42="里程碑","◆",""))</f>
        <v/>
      </c>
      <c r="AZ42" s="8" t="str">
        <f>IF(OR($A42="",$C42="",$D42="",$C42&gt;AZ$6,$D42&lt;AZ$9),"",IF($J42="里程碑","◆",""))</f>
        <v/>
      </c>
      <c r="BA42" s="8" t="str">
        <f>IF(OR($A42="",$C42="",$D42="",$C42&gt;BA$6,$D42&lt;BA$9),"",IF($J42="里程碑","◆",""))</f>
        <v/>
      </c>
      <c r="BB42" s="8" t="str">
        <f>IF(OR($A42="",$C42="",$D42="",$C42&gt;BB$6,$D42&lt;BB$9),"",IF($J42="里程碑","◆",""))</f>
        <v/>
      </c>
      <c r="BC42" s="8" t="str">
        <f>IF(OR($A42="",$C42="",$D42="",$C42&gt;BC$6,$D42&lt;BC$9),"",IF($J42="里程碑","◆",""))</f>
        <v/>
      </c>
      <c r="BD42" s="8" t="str">
        <f>IF(OR($A42="",$C42="",$D42="",$C42&gt;BD$6,$D42&lt;BD$9),"",IF($J42="里程碑","◆",""))</f>
        <v/>
      </c>
      <c r="BE42" s="8" t="str">
        <f>IF(OR($A42="",$C42="",$D42="",$C42&gt;BE$6,$D42&lt;BE$9),"",IF($J42="里程碑","◆",""))</f>
        <v/>
      </c>
      <c r="BF42" s="8" t="str">
        <f>IF(OR($A42="",$C42="",$D42="",$C42&gt;BF$6,$D42&lt;BF$9),"",IF($J42="里程碑","◆",""))</f>
        <v/>
      </c>
      <c r="BG42" s="8" t="str">
        <f>IF(OR($A42="",$C42="",$D42="",$C42&gt;BG$6,$D42&lt;BG$9),"",IF($J42="里程碑","◆",""))</f>
        <v/>
      </c>
      <c r="BH42" s="8" t="str">
        <f>IF(OR($A42="",$C42="",$D42="",$C42&gt;BH$6,$D42&lt;BH$9),"",IF($J42="里程碑","◆",""))</f>
        <v/>
      </c>
      <c r="BI42" s="8" t="str">
        <f>IF(OR($A42="",$C42="",$D42="",$C42&gt;BI$6,$D42&lt;BI$9),"",IF($J42="里程碑","◆",""))</f>
        <v/>
      </c>
      <c r="BJ42" s="8" t="str">
        <f>IF(OR($A42="",$C42="",$D42="",$C42&gt;BJ$6,$D42&lt;BJ$9),"",IF($J42="里程碑","◆",""))</f>
        <v/>
      </c>
      <c r="BK42" s="8" t="str">
        <f>IF(OR($A42="",$C42="",$D42="",$C42&gt;BK$6,$D42&lt;BK$9),"",IF($J42="里程碑","◆",""))</f>
        <v/>
      </c>
      <c r="BL42" s="8" t="str">
        <f>IF(OR($A42="",$C42="",$D42="",$C42&gt;BL$6,$D42&lt;BL$9),"",IF($J42="里程碑","◆",""))</f>
        <v/>
      </c>
      <c r="BM42" s="8" t="str">
        <f>IF(OR($A42="",$C42="",$D42="",$C42&gt;BM$6,$D42&lt;BM$9),"",IF($J42="里程碑","◆",""))</f>
        <v/>
      </c>
      <c r="BN42" s="8" t="str">
        <f>IF(OR($A42="",$C42="",$D42="",$C42&gt;BN$6,$D42&lt;BN$9),"",IF($J42="里程碑","◆",""))</f>
        <v/>
      </c>
      <c r="BO42" s="8" t="str">
        <f>IF(OR($A42="",$C42="",$D42="",$C42&gt;BO$6,$D42&lt;BO$9),"",IF($J42="里程碑","◆",""))</f>
        <v/>
      </c>
      <c r="BP42" s="8" t="str">
        <f>IF(OR($A42="",$C42="",$D42="",$C42&gt;BP$6,$D42&lt;BP$9),"",IF($J42="里程碑","◆",""))</f>
        <v/>
      </c>
      <c r="BQ42" s="8" t="str">
        <f>IF(OR($A42="",$C42="",$D42="",$C42&gt;BQ$6,$D42&lt;BQ$9),"",IF($J42="里程碑","◆",""))</f>
        <v/>
      </c>
      <c r="BR42" s="8" t="str">
        <f>IF(OR($A42="",$C42="",$D42="",$C42&gt;BR$6,$D42&lt;BR$9),"",IF($J42="里程碑","◆",""))</f>
        <v/>
      </c>
      <c r="BS42" s="8" t="str">
        <f>IF(OR($A42="",$C42="",$D42="",$C42&gt;BS$6,$D42&lt;BS$9),"",IF($J42="里程碑","◆",""))</f>
        <v/>
      </c>
      <c r="BT42" s="8" t="str">
        <f>IF(OR($A42="",$C42="",$D42="",$C42&gt;BT$6,$D42&lt;BT$9),"",IF($J42="里程碑","◆",""))</f>
        <v/>
      </c>
      <c r="BU42" s="8" t="str">
        <f>IF(OR($A42="",$C42="",$D42="",$C42&gt;BU$6,$D42&lt;BU$9),"",IF($J42="里程碑","◆",""))</f>
        <v/>
      </c>
      <c r="BV42" s="8" t="str">
        <f>IF(OR($A42="",$C42="",$D42="",$C42&gt;BV$6,$D42&lt;BV$9),"",IF($J42="里程碑","◆",""))</f>
        <v/>
      </c>
      <c r="BW42" s="8" t="str">
        <f>IF(OR($A42="",$C42="",$D42="",$C42&gt;BW$6,$D42&lt;BW$9),"",IF($J42="里程碑","◆",""))</f>
        <v/>
      </c>
      <c r="BX42" s="8" t="str">
        <f>IF(OR($A42="",$C42="",$D42="",$C42&gt;BX$6,$D42&lt;BX$9),"",IF($J42="里程碑","◆",""))</f>
        <v/>
      </c>
      <c r="BY42" s="8" t="str">
        <f>IF(OR($A42="",$C42="",$D42="",$C42&gt;BY$6,$D42&lt;BY$9),"",IF($J42="里程碑","◆",""))</f>
        <v/>
      </c>
      <c r="BZ42" s="8" t="str">
        <f>IF(OR($A42="",$C42="",$D42="",$C42&gt;BZ$6,$D42&lt;BZ$9),"",IF($J42="里程碑","◆",""))</f>
        <v/>
      </c>
      <c r="CA42" s="8" t="str">
        <f>IF(OR($A42="",$C42="",$D42="",$C42&gt;CA$6,$D42&lt;CA$9),"",IF($J42="里程碑","◆",""))</f>
        <v/>
      </c>
      <c r="CB42" s="8" t="str">
        <f>IF(OR($A42="",$C42="",$D42="",$C42&gt;CB$6,$D42&lt;CB$9),"",IF($J42="里程碑","◆",""))</f>
        <v/>
      </c>
      <c r="CC42" s="8" t="str">
        <f>IF(OR($A42="",$C42="",$D42="",$C42&gt;CC$6,$D42&lt;CC$9),"",IF($J42="里程碑","◆",""))</f>
        <v/>
      </c>
      <c r="CD42" s="8" t="str">
        <f>IF(OR($A42="",$C42="",$D42="",$C42&gt;CD$6,$D42&lt;CD$9),"",IF($J42="里程碑","◆",""))</f>
        <v/>
      </c>
      <c r="CE42" s="8" t="str">
        <f>IF(OR($A42="",$C42="",$D42="",$C42&gt;CE$6,$D42&lt;CE$9),"",IF($J42="里程碑","◆",""))</f>
        <v/>
      </c>
      <c r="CF42" s="8" t="str">
        <f>IF(OR($A42="",$C42="",$D42="",$C42&gt;CF$6,$D42&lt;CF$9),"",IF($J42="里程碑","◆",""))</f>
        <v/>
      </c>
      <c r="CG42" s="8" t="str">
        <f>IF(OR($A42="",$C42="",$D42="",$C42&gt;CG$6,$D42&lt;CG$9),"",IF($J42="里程碑","◆",""))</f>
        <v/>
      </c>
      <c r="CH42" s="8" t="str">
        <f>IF(OR($A42="",$C42="",$D42="",$C42&gt;CH$6,$D42&lt;CH$9),"",IF($J42="里程碑","◆",""))</f>
        <v/>
      </c>
      <c r="CI42" s="8" t="str">
        <f>IF(OR($A42="",$C42="",$D42="",$C42&gt;CI$6,$D42&lt;CI$9),"",IF($J42="里程碑","◆",""))</f>
        <v/>
      </c>
      <c r="CJ42" s="8" t="str">
        <f>IF(OR($A42="",$C42="",$D42="",$C42&gt;CJ$6,$D42&lt;CJ$9),"",IF($J42="里程碑","◆",""))</f>
        <v/>
      </c>
      <c r="CK42" s="8" t="str">
        <f>IF(OR($A42="",$C42="",$D42="",$C42&gt;CK$6,$D42&lt;CK$9),"",IF($J42="里程碑","◆",""))</f>
        <v/>
      </c>
      <c r="CL42" s="8" t="str">
        <f>IF(OR($A42="",$C42="",$D42="",$C42&gt;CL$6,$D42&lt;CL$9),"",IF($J42="里程碑","◆",""))</f>
        <v/>
      </c>
      <c r="CM42" s="8" t="str">
        <f>IF(OR($A42="",$C42="",$D42="",$C42&gt;CM$6,$D42&lt;CM$9),"",IF($J42="里程碑","◆",""))</f>
        <v/>
      </c>
      <c r="CN42" s="8" t="str">
        <f>IF(OR($A42="",$C42="",$D42="",$C42&gt;CN$6,$D42&lt;CN$9),"",IF($J42="里程碑","◆",""))</f>
        <v/>
      </c>
      <c r="CO42" s="8" t="str">
        <f>IF(OR($A42="",$C42="",$D42="",$C42&gt;CO$6,$D42&lt;CO$9),"",IF($J42="里程碑","◆",""))</f>
        <v/>
      </c>
      <c r="CP42" s="8" t="str">
        <f>IF(OR($A42="",$C42="",$D42="",$C42&gt;CP$6,$D42&lt;CP$9),"",IF($J42="里程碑","◆",""))</f>
        <v/>
      </c>
      <c r="CQ42" s="8" t="str">
        <f>IF(OR($A42="",$C42="",$D42="",$C42&gt;CQ$6,$D42&lt;CQ$9),"",IF($J42="里程碑","◆",""))</f>
        <v/>
      </c>
      <c r="CR42" s="8" t="str">
        <f>IF(OR($A42="",$C42="",$D42="",$C42&gt;CR$6,$D42&lt;CR$9),"",IF($J42="里程碑","◆",""))</f>
        <v/>
      </c>
      <c r="CS42" s="8" t="str">
        <f>IF(OR($A42="",$C42="",$D42="",$C42&gt;CS$6,$D42&lt;CS$9),"",IF($J42="里程碑","◆",""))</f>
        <v/>
      </c>
      <c r="CT42" s="8" t="str">
        <f>IF(OR($A42="",$C42="",$D42="",$C42&gt;CT$6,$D42&lt;CT$9),"",IF($J42="里程碑","◆",""))</f>
        <v/>
      </c>
      <c r="CU42" s="8" t="str">
        <f>IF(OR($A42="",$C42="",$D42="",$C42&gt;CU$6,$D42&lt;CU$9),"",IF($J42="里程碑","◆",""))</f>
        <v/>
      </c>
      <c r="CV42" s="8" t="str">
        <f>IF(OR($A42="",$C42="",$D42="",$C42&gt;CV$6,$D42&lt;CV$9),"",IF($J42="里程碑","◆",""))</f>
        <v/>
      </c>
      <c r="CW42" s="8" t="str">
        <f>IF(OR($A42="",$C42="",$D42="",$C42&gt;CW$6,$D42&lt;CW$9),"",IF($J42="里程碑","◆",""))</f>
        <v/>
      </c>
      <c r="CX42" s="8" t="str">
        <f>IF(OR($A42="",$C42="",$D42="",$C42&gt;CX$6,$D42&lt;CX$9),"",IF($J42="里程碑","◆",""))</f>
        <v/>
      </c>
      <c r="CY42" s="8" t="str">
        <f>IF(OR($A42="",$C42="",$D42="",$C42&gt;CY$6,$D42&lt;CY$9),"",IF($J42="里程碑","◆",""))</f>
        <v/>
      </c>
      <c r="CZ42" s="8" t="str">
        <f>IF(OR($A42="",$C42="",$D42="",$C42&gt;CZ$6,$D42&lt;CZ$9),"",IF($J42="里程碑","◆",""))</f>
        <v/>
      </c>
      <c r="DA42" s="8" t="str">
        <f>IF(OR($A42="",$C42="",$D42="",$C42&gt;DA$6,$D42&lt;DA$9),"",IF($J42="里程碑","◆",""))</f>
        <v/>
      </c>
      <c r="DB42" s="8" t="str">
        <f>IF(OR($A42="",$C42="",$D42="",$C42&gt;DB$6,$D42&lt;DB$9),"",IF($J42="里程碑","◆",""))</f>
        <v/>
      </c>
      <c r="DC42" s="1" t="str">
        <f>IF(ROW()-9&gt;$DH$3,"",MATCH(ROW()-9,排期计算!$U$10:$U$109,0))</f>
        <v/>
      </c>
      <c r="DD42" s="1" t="str">
        <f>IF($DC42="","",INDEX(排期计算!$L$10:$L$109,$DC42))</f>
        <v/>
      </c>
      <c r="DE42" s="1"/>
      <c r="DF42" s="1"/>
      <c r="DG42" s="1"/>
      <c r="DH42" s="1"/>
      <c r="DI42" s="1"/>
      <c r="DJ42" s="1"/>
      <c r="DK42" s="1"/>
    </row>
    <row r="43" spans="1:115" ht="24.95" customHeight="1">
      <c r="A43" s="9" t="str">
        <f>IF($DC43="","",IF(AND(INDEX(排期计算!$A$10:$A$109,$DC43)="",NOT(ISNUMBER(INDEX(排期计算!$A$10:$A$109,$DC43)))),"",INDEX(排期计算!$A$10:$A$109,$DC43)))</f>
        <v/>
      </c>
      <c r="B43" s="1" t="str">
        <f>IF($DC43="","",REPT("　",$DD43-1)&amp;INDEX(排期计算!$B$10:$B$109,$DC43))</f>
        <v/>
      </c>
      <c r="C43" s="3" t="str">
        <f>IF($DC43="","",IF(AND(INDEX(排期计算!$M$10:$M$109,$DC43)="",NOT(ISNUMBER(INDEX(排期计算!$M$10:$M$109,$DC43)))),"",INDEX(排期计算!$M$10:$M$109,$DC43)))</f>
        <v/>
      </c>
      <c r="D43" s="3" t="str">
        <f>IF($DC43="","",IF(AND(INDEX(排期计算!$N$10:$N$109,$DC43)="",NOT(ISNUMBER(INDEX(排期计算!$N$10:$N$109,$DC43)))),"",INDEX(排期计算!$N$10:$N$109,$DC43)))</f>
        <v/>
      </c>
      <c r="E43" s="1" t="str">
        <f>IF(OR($C43="",$D43=""),"",IF($J43="里程碑",0,NETWORKDAYS($C43,$D43)))</f>
        <v/>
      </c>
      <c r="F43" s="7" t="str">
        <f>IF($DC43="","",IF(AND(INDEX(排期计算!$O$10:$O$109,$DC43)="",NOT(ISNUMBER(INDEX(排期计算!$O$10:$O$109,$DC43)))),"",INDEX(排期计算!$O$10:$O$109,$DC43)))</f>
        <v/>
      </c>
      <c r="G43" s="8" t="str">
        <f>IF($A43="","",IF(OR($C43="",$D43=""),"未排期",IF($F43&gt;=1,"已完成",IF($D43&lt;$B$4,"逾期",IF($C43&gt;$B$4,"未开始","进行中")))))</f>
        <v/>
      </c>
      <c r="H43" s="1" t="str">
        <f>IF($DC43="","",IF(AND(INDEX(排期计算!$C$10:$C$109,$DC43)="",NOT(ISNUMBER(INDEX(排期计算!$C$10:$C$109,$DC43)))),"",INDEX(排期计算!$C$10:$C$109,$DC43)))</f>
        <v/>
      </c>
      <c r="I43" s="1" t="str">
        <f>IF($DC43="","",IF(AND(INDEX(排期计算!$H$10:$H$109,$DC43)="",NOT(ISNUMBER(INDEX(排期计算!$H$10:$H$109,$DC43)))),"",INDEX(排期计算!$H$10:$H$109,$DC43)))</f>
        <v/>
      </c>
      <c r="J43" s="1" t="str">
        <f>IF($DC43="","",IF(AND(INDEX(排期计算!$K$10:$K$109,$DC43)="",NOT(ISNUMBER(INDEX(排期计算!$K$10:$K$109,$DC43)))),"",INDEX(排期计算!$K$10:$K$109,$DC43)))</f>
        <v/>
      </c>
      <c r="K43" s="8" t="str">
        <f>IF(OR($A43="",$C43="",$D43="",$C43&gt;K$6,$D43&lt;K$9),"",IF($J43="里程碑","◆",""))</f>
        <v/>
      </c>
      <c r="L43" s="8" t="str">
        <f>IF(OR($A43="",$C43="",$D43="",$C43&gt;L$6,$D43&lt;L$9),"",IF($J43="里程碑","◆",""))</f>
        <v/>
      </c>
      <c r="M43" s="8" t="str">
        <f>IF(OR($A43="",$C43="",$D43="",$C43&gt;M$6,$D43&lt;M$9),"",IF($J43="里程碑","◆",""))</f>
        <v/>
      </c>
      <c r="N43" s="8" t="str">
        <f>IF(OR($A43="",$C43="",$D43="",$C43&gt;N$6,$D43&lt;N$9),"",IF($J43="里程碑","◆",""))</f>
        <v/>
      </c>
      <c r="O43" s="8" t="str">
        <f>IF(OR($A43="",$C43="",$D43="",$C43&gt;O$6,$D43&lt;O$9),"",IF($J43="里程碑","◆",""))</f>
        <v/>
      </c>
      <c r="P43" s="8" t="str">
        <f>IF(OR($A43="",$C43="",$D43="",$C43&gt;P$6,$D43&lt;P$9),"",IF($J43="里程碑","◆",""))</f>
        <v/>
      </c>
      <c r="Q43" s="8" t="str">
        <f>IF(OR($A43="",$C43="",$D43="",$C43&gt;Q$6,$D43&lt;Q$9),"",IF($J43="里程碑","◆",""))</f>
        <v/>
      </c>
      <c r="R43" s="8" t="str">
        <f>IF(OR($A43="",$C43="",$D43="",$C43&gt;R$6,$D43&lt;R$9),"",IF($J43="里程碑","◆",""))</f>
        <v/>
      </c>
      <c r="S43" s="8" t="str">
        <f>IF(OR($A43="",$C43="",$D43="",$C43&gt;S$6,$D43&lt;S$9),"",IF($J43="里程碑","◆",""))</f>
        <v/>
      </c>
      <c r="T43" s="8" t="str">
        <f>IF(OR($A43="",$C43="",$D43="",$C43&gt;T$6,$D43&lt;T$9),"",IF($J43="里程碑","◆",""))</f>
        <v/>
      </c>
      <c r="U43" s="8" t="str">
        <f>IF(OR($A43="",$C43="",$D43="",$C43&gt;U$6,$D43&lt;U$9),"",IF($J43="里程碑","◆",""))</f>
        <v/>
      </c>
      <c r="V43" s="8" t="str">
        <f>IF(OR($A43="",$C43="",$D43="",$C43&gt;V$6,$D43&lt;V$9),"",IF($J43="里程碑","◆",""))</f>
        <v/>
      </c>
      <c r="W43" s="8" t="str">
        <f>IF(OR($A43="",$C43="",$D43="",$C43&gt;W$6,$D43&lt;W$9),"",IF($J43="里程碑","◆",""))</f>
        <v/>
      </c>
      <c r="X43" s="8" t="str">
        <f>IF(OR($A43="",$C43="",$D43="",$C43&gt;X$6,$D43&lt;X$9),"",IF($J43="里程碑","◆",""))</f>
        <v/>
      </c>
      <c r="Y43" s="8" t="str">
        <f>IF(OR($A43="",$C43="",$D43="",$C43&gt;Y$6,$D43&lt;Y$9),"",IF($J43="里程碑","◆",""))</f>
        <v/>
      </c>
      <c r="Z43" s="8" t="str">
        <f>IF(OR($A43="",$C43="",$D43="",$C43&gt;Z$6,$D43&lt;Z$9),"",IF($J43="里程碑","◆",""))</f>
        <v/>
      </c>
      <c r="AA43" s="8" t="str">
        <f>IF(OR($A43="",$C43="",$D43="",$C43&gt;AA$6,$D43&lt;AA$9),"",IF($J43="里程碑","◆",""))</f>
        <v/>
      </c>
      <c r="AB43" s="8" t="str">
        <f>IF(OR($A43="",$C43="",$D43="",$C43&gt;AB$6,$D43&lt;AB$9),"",IF($J43="里程碑","◆",""))</f>
        <v/>
      </c>
      <c r="AC43" s="8" t="str">
        <f>IF(OR($A43="",$C43="",$D43="",$C43&gt;AC$6,$D43&lt;AC$9),"",IF($J43="里程碑","◆",""))</f>
        <v/>
      </c>
      <c r="AD43" s="8" t="str">
        <f>IF(OR($A43="",$C43="",$D43="",$C43&gt;AD$6,$D43&lt;AD$9),"",IF($J43="里程碑","◆",""))</f>
        <v/>
      </c>
      <c r="AE43" s="8" t="str">
        <f>IF(OR($A43="",$C43="",$D43="",$C43&gt;AE$6,$D43&lt;AE$9),"",IF($J43="里程碑","◆",""))</f>
        <v/>
      </c>
      <c r="AF43" s="8" t="str">
        <f>IF(OR($A43="",$C43="",$D43="",$C43&gt;AF$6,$D43&lt;AF$9),"",IF($J43="里程碑","◆",""))</f>
        <v/>
      </c>
      <c r="AG43" s="8" t="str">
        <f>IF(OR($A43="",$C43="",$D43="",$C43&gt;AG$6,$D43&lt;AG$9),"",IF($J43="里程碑","◆",""))</f>
        <v/>
      </c>
      <c r="AH43" s="8" t="str">
        <f>IF(OR($A43="",$C43="",$D43="",$C43&gt;AH$6,$D43&lt;AH$9),"",IF($J43="里程碑","◆",""))</f>
        <v/>
      </c>
      <c r="AI43" s="8" t="str">
        <f>IF(OR($A43="",$C43="",$D43="",$C43&gt;AI$6,$D43&lt;AI$9),"",IF($J43="里程碑","◆",""))</f>
        <v/>
      </c>
      <c r="AJ43" s="8" t="str">
        <f>IF(OR($A43="",$C43="",$D43="",$C43&gt;AJ$6,$D43&lt;AJ$9),"",IF($J43="里程碑","◆",""))</f>
        <v/>
      </c>
      <c r="AK43" s="8" t="str">
        <f>IF(OR($A43="",$C43="",$D43="",$C43&gt;AK$6,$D43&lt;AK$9),"",IF($J43="里程碑","◆",""))</f>
        <v/>
      </c>
      <c r="AL43" s="8" t="str">
        <f>IF(OR($A43="",$C43="",$D43="",$C43&gt;AL$6,$D43&lt;AL$9),"",IF($J43="里程碑","◆",""))</f>
        <v/>
      </c>
      <c r="AM43" s="8" t="str">
        <f>IF(OR($A43="",$C43="",$D43="",$C43&gt;AM$6,$D43&lt;AM$9),"",IF($J43="里程碑","◆",""))</f>
        <v/>
      </c>
      <c r="AN43" s="8" t="str">
        <f>IF(OR($A43="",$C43="",$D43="",$C43&gt;AN$6,$D43&lt;AN$9),"",IF($J43="里程碑","◆",""))</f>
        <v/>
      </c>
      <c r="AO43" s="8" t="str">
        <f>IF(OR($A43="",$C43="",$D43="",$C43&gt;AO$6,$D43&lt;AO$9),"",IF($J43="里程碑","◆",""))</f>
        <v/>
      </c>
      <c r="AP43" s="8" t="str">
        <f>IF(OR($A43="",$C43="",$D43="",$C43&gt;AP$6,$D43&lt;AP$9),"",IF($J43="里程碑","◆",""))</f>
        <v/>
      </c>
      <c r="AQ43" s="8" t="str">
        <f>IF(OR($A43="",$C43="",$D43="",$C43&gt;AQ$6,$D43&lt;AQ$9),"",IF($J43="里程碑","◆",""))</f>
        <v/>
      </c>
      <c r="AR43" s="8" t="str">
        <f>IF(OR($A43="",$C43="",$D43="",$C43&gt;AR$6,$D43&lt;AR$9),"",IF($J43="里程碑","◆",""))</f>
        <v/>
      </c>
      <c r="AS43" s="8" t="str">
        <f>IF(OR($A43="",$C43="",$D43="",$C43&gt;AS$6,$D43&lt;AS$9),"",IF($J43="里程碑","◆",""))</f>
        <v/>
      </c>
      <c r="AT43" s="8" t="str">
        <f>IF(OR($A43="",$C43="",$D43="",$C43&gt;AT$6,$D43&lt;AT$9),"",IF($J43="里程碑","◆",""))</f>
        <v/>
      </c>
      <c r="AU43" s="8" t="str">
        <f>IF(OR($A43="",$C43="",$D43="",$C43&gt;AU$6,$D43&lt;AU$9),"",IF($J43="里程碑","◆",""))</f>
        <v/>
      </c>
      <c r="AV43" s="8" t="str">
        <f>IF(OR($A43="",$C43="",$D43="",$C43&gt;AV$6,$D43&lt;AV$9),"",IF($J43="里程碑","◆",""))</f>
        <v/>
      </c>
      <c r="AW43" s="8" t="str">
        <f>IF(OR($A43="",$C43="",$D43="",$C43&gt;AW$6,$D43&lt;AW$9),"",IF($J43="里程碑","◆",""))</f>
        <v/>
      </c>
      <c r="AX43" s="8" t="str">
        <f>IF(OR($A43="",$C43="",$D43="",$C43&gt;AX$6,$D43&lt;AX$9),"",IF($J43="里程碑","◆",""))</f>
        <v/>
      </c>
      <c r="AY43" s="8" t="str">
        <f>IF(OR($A43="",$C43="",$D43="",$C43&gt;AY$6,$D43&lt;AY$9),"",IF($J43="里程碑","◆",""))</f>
        <v/>
      </c>
      <c r="AZ43" s="8" t="str">
        <f>IF(OR($A43="",$C43="",$D43="",$C43&gt;AZ$6,$D43&lt;AZ$9),"",IF($J43="里程碑","◆",""))</f>
        <v/>
      </c>
      <c r="BA43" s="8" t="str">
        <f>IF(OR($A43="",$C43="",$D43="",$C43&gt;BA$6,$D43&lt;BA$9),"",IF($J43="里程碑","◆",""))</f>
        <v/>
      </c>
      <c r="BB43" s="8" t="str">
        <f>IF(OR($A43="",$C43="",$D43="",$C43&gt;BB$6,$D43&lt;BB$9),"",IF($J43="里程碑","◆",""))</f>
        <v/>
      </c>
      <c r="BC43" s="8" t="str">
        <f>IF(OR($A43="",$C43="",$D43="",$C43&gt;BC$6,$D43&lt;BC$9),"",IF($J43="里程碑","◆",""))</f>
        <v/>
      </c>
      <c r="BD43" s="8" t="str">
        <f>IF(OR($A43="",$C43="",$D43="",$C43&gt;BD$6,$D43&lt;BD$9),"",IF($J43="里程碑","◆",""))</f>
        <v/>
      </c>
      <c r="BE43" s="8" t="str">
        <f>IF(OR($A43="",$C43="",$D43="",$C43&gt;BE$6,$D43&lt;BE$9),"",IF($J43="里程碑","◆",""))</f>
        <v/>
      </c>
      <c r="BF43" s="8" t="str">
        <f>IF(OR($A43="",$C43="",$D43="",$C43&gt;BF$6,$D43&lt;BF$9),"",IF($J43="里程碑","◆",""))</f>
        <v/>
      </c>
      <c r="BG43" s="8" t="str">
        <f>IF(OR($A43="",$C43="",$D43="",$C43&gt;BG$6,$D43&lt;BG$9),"",IF($J43="里程碑","◆",""))</f>
        <v/>
      </c>
      <c r="BH43" s="8" t="str">
        <f>IF(OR($A43="",$C43="",$D43="",$C43&gt;BH$6,$D43&lt;BH$9),"",IF($J43="里程碑","◆",""))</f>
        <v/>
      </c>
      <c r="BI43" s="8" t="str">
        <f>IF(OR($A43="",$C43="",$D43="",$C43&gt;BI$6,$D43&lt;BI$9),"",IF($J43="里程碑","◆",""))</f>
        <v/>
      </c>
      <c r="BJ43" s="8" t="str">
        <f>IF(OR($A43="",$C43="",$D43="",$C43&gt;BJ$6,$D43&lt;BJ$9),"",IF($J43="里程碑","◆",""))</f>
        <v/>
      </c>
      <c r="BK43" s="8" t="str">
        <f>IF(OR($A43="",$C43="",$D43="",$C43&gt;BK$6,$D43&lt;BK$9),"",IF($J43="里程碑","◆",""))</f>
        <v/>
      </c>
      <c r="BL43" s="8" t="str">
        <f>IF(OR($A43="",$C43="",$D43="",$C43&gt;BL$6,$D43&lt;BL$9),"",IF($J43="里程碑","◆",""))</f>
        <v/>
      </c>
      <c r="BM43" s="8" t="str">
        <f>IF(OR($A43="",$C43="",$D43="",$C43&gt;BM$6,$D43&lt;BM$9),"",IF($J43="里程碑","◆",""))</f>
        <v/>
      </c>
      <c r="BN43" s="8" t="str">
        <f>IF(OR($A43="",$C43="",$D43="",$C43&gt;BN$6,$D43&lt;BN$9),"",IF($J43="里程碑","◆",""))</f>
        <v/>
      </c>
      <c r="BO43" s="8" t="str">
        <f>IF(OR($A43="",$C43="",$D43="",$C43&gt;BO$6,$D43&lt;BO$9),"",IF($J43="里程碑","◆",""))</f>
        <v/>
      </c>
      <c r="BP43" s="8" t="str">
        <f>IF(OR($A43="",$C43="",$D43="",$C43&gt;BP$6,$D43&lt;BP$9),"",IF($J43="里程碑","◆",""))</f>
        <v/>
      </c>
      <c r="BQ43" s="8" t="str">
        <f>IF(OR($A43="",$C43="",$D43="",$C43&gt;BQ$6,$D43&lt;BQ$9),"",IF($J43="里程碑","◆",""))</f>
        <v/>
      </c>
      <c r="BR43" s="8" t="str">
        <f>IF(OR($A43="",$C43="",$D43="",$C43&gt;BR$6,$D43&lt;BR$9),"",IF($J43="里程碑","◆",""))</f>
        <v/>
      </c>
      <c r="BS43" s="8" t="str">
        <f>IF(OR($A43="",$C43="",$D43="",$C43&gt;BS$6,$D43&lt;BS$9),"",IF($J43="里程碑","◆",""))</f>
        <v/>
      </c>
      <c r="BT43" s="8" t="str">
        <f>IF(OR($A43="",$C43="",$D43="",$C43&gt;BT$6,$D43&lt;BT$9),"",IF($J43="里程碑","◆",""))</f>
        <v/>
      </c>
      <c r="BU43" s="8" t="str">
        <f>IF(OR($A43="",$C43="",$D43="",$C43&gt;BU$6,$D43&lt;BU$9),"",IF($J43="里程碑","◆",""))</f>
        <v/>
      </c>
      <c r="BV43" s="8" t="str">
        <f>IF(OR($A43="",$C43="",$D43="",$C43&gt;BV$6,$D43&lt;BV$9),"",IF($J43="里程碑","◆",""))</f>
        <v/>
      </c>
      <c r="BW43" s="8" t="str">
        <f>IF(OR($A43="",$C43="",$D43="",$C43&gt;BW$6,$D43&lt;BW$9),"",IF($J43="里程碑","◆",""))</f>
        <v/>
      </c>
      <c r="BX43" s="8" t="str">
        <f>IF(OR($A43="",$C43="",$D43="",$C43&gt;BX$6,$D43&lt;BX$9),"",IF($J43="里程碑","◆",""))</f>
        <v/>
      </c>
      <c r="BY43" s="8" t="str">
        <f>IF(OR($A43="",$C43="",$D43="",$C43&gt;BY$6,$D43&lt;BY$9),"",IF($J43="里程碑","◆",""))</f>
        <v/>
      </c>
      <c r="BZ43" s="8" t="str">
        <f>IF(OR($A43="",$C43="",$D43="",$C43&gt;BZ$6,$D43&lt;BZ$9),"",IF($J43="里程碑","◆",""))</f>
        <v/>
      </c>
      <c r="CA43" s="8" t="str">
        <f>IF(OR($A43="",$C43="",$D43="",$C43&gt;CA$6,$D43&lt;CA$9),"",IF($J43="里程碑","◆",""))</f>
        <v/>
      </c>
      <c r="CB43" s="8" t="str">
        <f>IF(OR($A43="",$C43="",$D43="",$C43&gt;CB$6,$D43&lt;CB$9),"",IF($J43="里程碑","◆",""))</f>
        <v/>
      </c>
      <c r="CC43" s="8" t="str">
        <f>IF(OR($A43="",$C43="",$D43="",$C43&gt;CC$6,$D43&lt;CC$9),"",IF($J43="里程碑","◆",""))</f>
        <v/>
      </c>
      <c r="CD43" s="8" t="str">
        <f>IF(OR($A43="",$C43="",$D43="",$C43&gt;CD$6,$D43&lt;CD$9),"",IF($J43="里程碑","◆",""))</f>
        <v/>
      </c>
      <c r="CE43" s="8" t="str">
        <f>IF(OR($A43="",$C43="",$D43="",$C43&gt;CE$6,$D43&lt;CE$9),"",IF($J43="里程碑","◆",""))</f>
        <v/>
      </c>
      <c r="CF43" s="8" t="str">
        <f>IF(OR($A43="",$C43="",$D43="",$C43&gt;CF$6,$D43&lt;CF$9),"",IF($J43="里程碑","◆",""))</f>
        <v/>
      </c>
      <c r="CG43" s="8" t="str">
        <f>IF(OR($A43="",$C43="",$D43="",$C43&gt;CG$6,$D43&lt;CG$9),"",IF($J43="里程碑","◆",""))</f>
        <v/>
      </c>
      <c r="CH43" s="8" t="str">
        <f>IF(OR($A43="",$C43="",$D43="",$C43&gt;CH$6,$D43&lt;CH$9),"",IF($J43="里程碑","◆",""))</f>
        <v/>
      </c>
      <c r="CI43" s="8" t="str">
        <f>IF(OR($A43="",$C43="",$D43="",$C43&gt;CI$6,$D43&lt;CI$9),"",IF($J43="里程碑","◆",""))</f>
        <v/>
      </c>
      <c r="CJ43" s="8" t="str">
        <f>IF(OR($A43="",$C43="",$D43="",$C43&gt;CJ$6,$D43&lt;CJ$9),"",IF($J43="里程碑","◆",""))</f>
        <v/>
      </c>
      <c r="CK43" s="8" t="str">
        <f>IF(OR($A43="",$C43="",$D43="",$C43&gt;CK$6,$D43&lt;CK$9),"",IF($J43="里程碑","◆",""))</f>
        <v/>
      </c>
      <c r="CL43" s="8" t="str">
        <f>IF(OR($A43="",$C43="",$D43="",$C43&gt;CL$6,$D43&lt;CL$9),"",IF($J43="里程碑","◆",""))</f>
        <v/>
      </c>
      <c r="CM43" s="8" t="str">
        <f>IF(OR($A43="",$C43="",$D43="",$C43&gt;CM$6,$D43&lt;CM$9),"",IF($J43="里程碑","◆",""))</f>
        <v/>
      </c>
      <c r="CN43" s="8" t="str">
        <f>IF(OR($A43="",$C43="",$D43="",$C43&gt;CN$6,$D43&lt;CN$9),"",IF($J43="里程碑","◆",""))</f>
        <v/>
      </c>
      <c r="CO43" s="8" t="str">
        <f>IF(OR($A43="",$C43="",$D43="",$C43&gt;CO$6,$D43&lt;CO$9),"",IF($J43="里程碑","◆",""))</f>
        <v/>
      </c>
      <c r="CP43" s="8" t="str">
        <f>IF(OR($A43="",$C43="",$D43="",$C43&gt;CP$6,$D43&lt;CP$9),"",IF($J43="里程碑","◆",""))</f>
        <v/>
      </c>
      <c r="CQ43" s="8" t="str">
        <f>IF(OR($A43="",$C43="",$D43="",$C43&gt;CQ$6,$D43&lt;CQ$9),"",IF($J43="里程碑","◆",""))</f>
        <v/>
      </c>
      <c r="CR43" s="8" t="str">
        <f>IF(OR($A43="",$C43="",$D43="",$C43&gt;CR$6,$D43&lt;CR$9),"",IF($J43="里程碑","◆",""))</f>
        <v/>
      </c>
      <c r="CS43" s="8" t="str">
        <f>IF(OR($A43="",$C43="",$D43="",$C43&gt;CS$6,$D43&lt;CS$9),"",IF($J43="里程碑","◆",""))</f>
        <v/>
      </c>
      <c r="CT43" s="8" t="str">
        <f>IF(OR($A43="",$C43="",$D43="",$C43&gt;CT$6,$D43&lt;CT$9),"",IF($J43="里程碑","◆",""))</f>
        <v/>
      </c>
      <c r="CU43" s="8" t="str">
        <f>IF(OR($A43="",$C43="",$D43="",$C43&gt;CU$6,$D43&lt;CU$9),"",IF($J43="里程碑","◆",""))</f>
        <v/>
      </c>
      <c r="CV43" s="8" t="str">
        <f>IF(OR($A43="",$C43="",$D43="",$C43&gt;CV$6,$D43&lt;CV$9),"",IF($J43="里程碑","◆",""))</f>
        <v/>
      </c>
      <c r="CW43" s="8" t="str">
        <f>IF(OR($A43="",$C43="",$D43="",$C43&gt;CW$6,$D43&lt;CW$9),"",IF($J43="里程碑","◆",""))</f>
        <v/>
      </c>
      <c r="CX43" s="8" t="str">
        <f>IF(OR($A43="",$C43="",$D43="",$C43&gt;CX$6,$D43&lt;CX$9),"",IF($J43="里程碑","◆",""))</f>
        <v/>
      </c>
      <c r="CY43" s="8" t="str">
        <f>IF(OR($A43="",$C43="",$D43="",$C43&gt;CY$6,$D43&lt;CY$9),"",IF($J43="里程碑","◆",""))</f>
        <v/>
      </c>
      <c r="CZ43" s="8" t="str">
        <f>IF(OR($A43="",$C43="",$D43="",$C43&gt;CZ$6,$D43&lt;CZ$9),"",IF($J43="里程碑","◆",""))</f>
        <v/>
      </c>
      <c r="DA43" s="8" t="str">
        <f>IF(OR($A43="",$C43="",$D43="",$C43&gt;DA$6,$D43&lt;DA$9),"",IF($J43="里程碑","◆",""))</f>
        <v/>
      </c>
      <c r="DB43" s="8" t="str">
        <f>IF(OR($A43="",$C43="",$D43="",$C43&gt;DB$6,$D43&lt;DB$9),"",IF($J43="里程碑","◆",""))</f>
        <v/>
      </c>
      <c r="DC43" s="1" t="str">
        <f>IF(ROW()-9&gt;$DH$3,"",MATCH(ROW()-9,排期计算!$U$10:$U$109,0))</f>
        <v/>
      </c>
      <c r="DD43" s="1" t="str">
        <f>IF($DC43="","",INDEX(排期计算!$L$10:$L$109,$DC43))</f>
        <v/>
      </c>
      <c r="DE43" s="1"/>
      <c r="DF43" s="1"/>
      <c r="DG43" s="1"/>
      <c r="DH43" s="1"/>
      <c r="DI43" s="1"/>
      <c r="DJ43" s="1"/>
      <c r="DK43" s="1"/>
    </row>
    <row r="44" spans="1:115" ht="24.95" customHeight="1">
      <c r="A44" s="9" t="str">
        <f>IF($DC44="","",IF(AND(INDEX(排期计算!$A$10:$A$109,$DC44)="",NOT(ISNUMBER(INDEX(排期计算!$A$10:$A$109,$DC44)))),"",INDEX(排期计算!$A$10:$A$109,$DC44)))</f>
        <v/>
      </c>
      <c r="B44" s="1" t="str">
        <f>IF($DC44="","",REPT("　",$DD44-1)&amp;INDEX(排期计算!$B$10:$B$109,$DC44))</f>
        <v/>
      </c>
      <c r="C44" s="3" t="str">
        <f>IF($DC44="","",IF(AND(INDEX(排期计算!$M$10:$M$109,$DC44)="",NOT(ISNUMBER(INDEX(排期计算!$M$10:$M$109,$DC44)))),"",INDEX(排期计算!$M$10:$M$109,$DC44)))</f>
        <v/>
      </c>
      <c r="D44" s="3" t="str">
        <f>IF($DC44="","",IF(AND(INDEX(排期计算!$N$10:$N$109,$DC44)="",NOT(ISNUMBER(INDEX(排期计算!$N$10:$N$109,$DC44)))),"",INDEX(排期计算!$N$10:$N$109,$DC44)))</f>
        <v/>
      </c>
      <c r="E44" s="1" t="str">
        <f>IF(OR($C44="",$D44=""),"",IF($J44="里程碑",0,NETWORKDAYS($C44,$D44)))</f>
        <v/>
      </c>
      <c r="F44" s="7" t="str">
        <f>IF($DC44="","",IF(AND(INDEX(排期计算!$O$10:$O$109,$DC44)="",NOT(ISNUMBER(INDEX(排期计算!$O$10:$O$109,$DC44)))),"",INDEX(排期计算!$O$10:$O$109,$DC44)))</f>
        <v/>
      </c>
      <c r="G44" s="8" t="str">
        <f>IF($A44="","",IF(OR($C44="",$D44=""),"未排期",IF($F44&gt;=1,"已完成",IF($D44&lt;$B$4,"逾期",IF($C44&gt;$B$4,"未开始","进行中")))))</f>
        <v/>
      </c>
      <c r="H44" s="1" t="str">
        <f>IF($DC44="","",IF(AND(INDEX(排期计算!$C$10:$C$109,$DC44)="",NOT(ISNUMBER(INDEX(排期计算!$C$10:$C$109,$DC44)))),"",INDEX(排期计算!$C$10:$C$109,$DC44)))</f>
        <v/>
      </c>
      <c r="I44" s="1" t="str">
        <f>IF($DC44="","",IF(AND(INDEX(排期计算!$H$10:$H$109,$DC44)="",NOT(ISNUMBER(INDEX(排期计算!$H$10:$H$109,$DC44)))),"",INDEX(排期计算!$H$10:$H$109,$DC44)))</f>
        <v/>
      </c>
      <c r="J44" s="1" t="str">
        <f>IF($DC44="","",IF(AND(INDEX(排期计算!$K$10:$K$109,$DC44)="",NOT(ISNUMBER(INDEX(排期计算!$K$10:$K$109,$DC44)))),"",INDEX(排期计算!$K$10:$K$109,$DC44)))</f>
        <v/>
      </c>
      <c r="K44" s="8" t="str">
        <f>IF(OR($A44="",$C44="",$D44="",$C44&gt;K$6,$D44&lt;K$9),"",IF($J44="里程碑","◆",""))</f>
        <v/>
      </c>
      <c r="L44" s="8" t="str">
        <f>IF(OR($A44="",$C44="",$D44="",$C44&gt;L$6,$D44&lt;L$9),"",IF($J44="里程碑","◆",""))</f>
        <v/>
      </c>
      <c r="M44" s="8" t="str">
        <f>IF(OR($A44="",$C44="",$D44="",$C44&gt;M$6,$D44&lt;M$9),"",IF($J44="里程碑","◆",""))</f>
        <v/>
      </c>
      <c r="N44" s="8" t="str">
        <f>IF(OR($A44="",$C44="",$D44="",$C44&gt;N$6,$D44&lt;N$9),"",IF($J44="里程碑","◆",""))</f>
        <v/>
      </c>
      <c r="O44" s="8" t="str">
        <f>IF(OR($A44="",$C44="",$D44="",$C44&gt;O$6,$D44&lt;O$9),"",IF($J44="里程碑","◆",""))</f>
        <v/>
      </c>
      <c r="P44" s="8" t="str">
        <f>IF(OR($A44="",$C44="",$D44="",$C44&gt;P$6,$D44&lt;P$9),"",IF($J44="里程碑","◆",""))</f>
        <v/>
      </c>
      <c r="Q44" s="8" t="str">
        <f>IF(OR($A44="",$C44="",$D44="",$C44&gt;Q$6,$D44&lt;Q$9),"",IF($J44="里程碑","◆",""))</f>
        <v/>
      </c>
      <c r="R44" s="8" t="str">
        <f>IF(OR($A44="",$C44="",$D44="",$C44&gt;R$6,$D44&lt;R$9),"",IF($J44="里程碑","◆",""))</f>
        <v/>
      </c>
      <c r="S44" s="8" t="str">
        <f>IF(OR($A44="",$C44="",$D44="",$C44&gt;S$6,$D44&lt;S$9),"",IF($J44="里程碑","◆",""))</f>
        <v/>
      </c>
      <c r="T44" s="8" t="str">
        <f>IF(OR($A44="",$C44="",$D44="",$C44&gt;T$6,$D44&lt;T$9),"",IF($J44="里程碑","◆",""))</f>
        <v/>
      </c>
      <c r="U44" s="8" t="str">
        <f>IF(OR($A44="",$C44="",$D44="",$C44&gt;U$6,$D44&lt;U$9),"",IF($J44="里程碑","◆",""))</f>
        <v/>
      </c>
      <c r="V44" s="8" t="str">
        <f>IF(OR($A44="",$C44="",$D44="",$C44&gt;V$6,$D44&lt;V$9),"",IF($J44="里程碑","◆",""))</f>
        <v/>
      </c>
      <c r="W44" s="8" t="str">
        <f>IF(OR($A44="",$C44="",$D44="",$C44&gt;W$6,$D44&lt;W$9),"",IF($J44="里程碑","◆",""))</f>
        <v/>
      </c>
      <c r="X44" s="8" t="str">
        <f>IF(OR($A44="",$C44="",$D44="",$C44&gt;X$6,$D44&lt;X$9),"",IF($J44="里程碑","◆",""))</f>
        <v/>
      </c>
      <c r="Y44" s="8" t="str">
        <f>IF(OR($A44="",$C44="",$D44="",$C44&gt;Y$6,$D44&lt;Y$9),"",IF($J44="里程碑","◆",""))</f>
        <v/>
      </c>
      <c r="Z44" s="8" t="str">
        <f>IF(OR($A44="",$C44="",$D44="",$C44&gt;Z$6,$D44&lt;Z$9),"",IF($J44="里程碑","◆",""))</f>
        <v/>
      </c>
      <c r="AA44" s="8" t="str">
        <f>IF(OR($A44="",$C44="",$D44="",$C44&gt;AA$6,$D44&lt;AA$9),"",IF($J44="里程碑","◆",""))</f>
        <v/>
      </c>
      <c r="AB44" s="8" t="str">
        <f>IF(OR($A44="",$C44="",$D44="",$C44&gt;AB$6,$D44&lt;AB$9),"",IF($J44="里程碑","◆",""))</f>
        <v/>
      </c>
      <c r="AC44" s="8" t="str">
        <f>IF(OR($A44="",$C44="",$D44="",$C44&gt;AC$6,$D44&lt;AC$9),"",IF($J44="里程碑","◆",""))</f>
        <v/>
      </c>
      <c r="AD44" s="8" t="str">
        <f>IF(OR($A44="",$C44="",$D44="",$C44&gt;AD$6,$D44&lt;AD$9),"",IF($J44="里程碑","◆",""))</f>
        <v/>
      </c>
      <c r="AE44" s="8" t="str">
        <f>IF(OR($A44="",$C44="",$D44="",$C44&gt;AE$6,$D44&lt;AE$9),"",IF($J44="里程碑","◆",""))</f>
        <v/>
      </c>
      <c r="AF44" s="8" t="str">
        <f>IF(OR($A44="",$C44="",$D44="",$C44&gt;AF$6,$D44&lt;AF$9),"",IF($J44="里程碑","◆",""))</f>
        <v/>
      </c>
      <c r="AG44" s="8" t="str">
        <f>IF(OR($A44="",$C44="",$D44="",$C44&gt;AG$6,$D44&lt;AG$9),"",IF($J44="里程碑","◆",""))</f>
        <v/>
      </c>
      <c r="AH44" s="8" t="str">
        <f>IF(OR($A44="",$C44="",$D44="",$C44&gt;AH$6,$D44&lt;AH$9),"",IF($J44="里程碑","◆",""))</f>
        <v/>
      </c>
      <c r="AI44" s="8" t="str">
        <f>IF(OR($A44="",$C44="",$D44="",$C44&gt;AI$6,$D44&lt;AI$9),"",IF($J44="里程碑","◆",""))</f>
        <v/>
      </c>
      <c r="AJ44" s="8" t="str">
        <f>IF(OR($A44="",$C44="",$D44="",$C44&gt;AJ$6,$D44&lt;AJ$9),"",IF($J44="里程碑","◆",""))</f>
        <v/>
      </c>
      <c r="AK44" s="8" t="str">
        <f>IF(OR($A44="",$C44="",$D44="",$C44&gt;AK$6,$D44&lt;AK$9),"",IF($J44="里程碑","◆",""))</f>
        <v/>
      </c>
      <c r="AL44" s="8" t="str">
        <f>IF(OR($A44="",$C44="",$D44="",$C44&gt;AL$6,$D44&lt;AL$9),"",IF($J44="里程碑","◆",""))</f>
        <v/>
      </c>
      <c r="AM44" s="8" t="str">
        <f>IF(OR($A44="",$C44="",$D44="",$C44&gt;AM$6,$D44&lt;AM$9),"",IF($J44="里程碑","◆",""))</f>
        <v/>
      </c>
      <c r="AN44" s="8" t="str">
        <f>IF(OR($A44="",$C44="",$D44="",$C44&gt;AN$6,$D44&lt;AN$9),"",IF($J44="里程碑","◆",""))</f>
        <v/>
      </c>
      <c r="AO44" s="8" t="str">
        <f>IF(OR($A44="",$C44="",$D44="",$C44&gt;AO$6,$D44&lt;AO$9),"",IF($J44="里程碑","◆",""))</f>
        <v/>
      </c>
      <c r="AP44" s="8" t="str">
        <f>IF(OR($A44="",$C44="",$D44="",$C44&gt;AP$6,$D44&lt;AP$9),"",IF($J44="里程碑","◆",""))</f>
        <v/>
      </c>
      <c r="AQ44" s="8" t="str">
        <f>IF(OR($A44="",$C44="",$D44="",$C44&gt;AQ$6,$D44&lt;AQ$9),"",IF($J44="里程碑","◆",""))</f>
        <v/>
      </c>
      <c r="AR44" s="8" t="str">
        <f>IF(OR($A44="",$C44="",$D44="",$C44&gt;AR$6,$D44&lt;AR$9),"",IF($J44="里程碑","◆",""))</f>
        <v/>
      </c>
      <c r="AS44" s="8" t="str">
        <f>IF(OR($A44="",$C44="",$D44="",$C44&gt;AS$6,$D44&lt;AS$9),"",IF($J44="里程碑","◆",""))</f>
        <v/>
      </c>
      <c r="AT44" s="8" t="str">
        <f>IF(OR($A44="",$C44="",$D44="",$C44&gt;AT$6,$D44&lt;AT$9),"",IF($J44="里程碑","◆",""))</f>
        <v/>
      </c>
      <c r="AU44" s="8" t="str">
        <f>IF(OR($A44="",$C44="",$D44="",$C44&gt;AU$6,$D44&lt;AU$9),"",IF($J44="里程碑","◆",""))</f>
        <v/>
      </c>
      <c r="AV44" s="8" t="str">
        <f>IF(OR($A44="",$C44="",$D44="",$C44&gt;AV$6,$D44&lt;AV$9),"",IF($J44="里程碑","◆",""))</f>
        <v/>
      </c>
      <c r="AW44" s="8" t="str">
        <f>IF(OR($A44="",$C44="",$D44="",$C44&gt;AW$6,$D44&lt;AW$9),"",IF($J44="里程碑","◆",""))</f>
        <v/>
      </c>
      <c r="AX44" s="8" t="str">
        <f>IF(OR($A44="",$C44="",$D44="",$C44&gt;AX$6,$D44&lt;AX$9),"",IF($J44="里程碑","◆",""))</f>
        <v/>
      </c>
      <c r="AY44" s="8" t="str">
        <f>IF(OR($A44="",$C44="",$D44="",$C44&gt;AY$6,$D44&lt;AY$9),"",IF($J44="里程碑","◆",""))</f>
        <v/>
      </c>
      <c r="AZ44" s="8" t="str">
        <f>IF(OR($A44="",$C44="",$D44="",$C44&gt;AZ$6,$D44&lt;AZ$9),"",IF($J44="里程碑","◆",""))</f>
        <v/>
      </c>
      <c r="BA44" s="8" t="str">
        <f>IF(OR($A44="",$C44="",$D44="",$C44&gt;BA$6,$D44&lt;BA$9),"",IF($J44="里程碑","◆",""))</f>
        <v/>
      </c>
      <c r="BB44" s="8" t="str">
        <f>IF(OR($A44="",$C44="",$D44="",$C44&gt;BB$6,$D44&lt;BB$9),"",IF($J44="里程碑","◆",""))</f>
        <v/>
      </c>
      <c r="BC44" s="8" t="str">
        <f>IF(OR($A44="",$C44="",$D44="",$C44&gt;BC$6,$D44&lt;BC$9),"",IF($J44="里程碑","◆",""))</f>
        <v/>
      </c>
      <c r="BD44" s="8" t="str">
        <f>IF(OR($A44="",$C44="",$D44="",$C44&gt;BD$6,$D44&lt;BD$9),"",IF($J44="里程碑","◆",""))</f>
        <v/>
      </c>
      <c r="BE44" s="8" t="str">
        <f>IF(OR($A44="",$C44="",$D44="",$C44&gt;BE$6,$D44&lt;BE$9),"",IF($J44="里程碑","◆",""))</f>
        <v/>
      </c>
      <c r="BF44" s="8" t="str">
        <f>IF(OR($A44="",$C44="",$D44="",$C44&gt;BF$6,$D44&lt;BF$9),"",IF($J44="里程碑","◆",""))</f>
        <v/>
      </c>
      <c r="BG44" s="8" t="str">
        <f>IF(OR($A44="",$C44="",$D44="",$C44&gt;BG$6,$D44&lt;BG$9),"",IF($J44="里程碑","◆",""))</f>
        <v/>
      </c>
      <c r="BH44" s="8" t="str">
        <f>IF(OR($A44="",$C44="",$D44="",$C44&gt;BH$6,$D44&lt;BH$9),"",IF($J44="里程碑","◆",""))</f>
        <v/>
      </c>
      <c r="BI44" s="8" t="str">
        <f>IF(OR($A44="",$C44="",$D44="",$C44&gt;BI$6,$D44&lt;BI$9),"",IF($J44="里程碑","◆",""))</f>
        <v/>
      </c>
      <c r="BJ44" s="8" t="str">
        <f>IF(OR($A44="",$C44="",$D44="",$C44&gt;BJ$6,$D44&lt;BJ$9),"",IF($J44="里程碑","◆",""))</f>
        <v/>
      </c>
      <c r="BK44" s="8" t="str">
        <f>IF(OR($A44="",$C44="",$D44="",$C44&gt;BK$6,$D44&lt;BK$9),"",IF($J44="里程碑","◆",""))</f>
        <v/>
      </c>
      <c r="BL44" s="8" t="str">
        <f>IF(OR($A44="",$C44="",$D44="",$C44&gt;BL$6,$D44&lt;BL$9),"",IF($J44="里程碑","◆",""))</f>
        <v/>
      </c>
      <c r="BM44" s="8" t="str">
        <f>IF(OR($A44="",$C44="",$D44="",$C44&gt;BM$6,$D44&lt;BM$9),"",IF($J44="里程碑","◆",""))</f>
        <v/>
      </c>
      <c r="BN44" s="8" t="str">
        <f>IF(OR($A44="",$C44="",$D44="",$C44&gt;BN$6,$D44&lt;BN$9),"",IF($J44="里程碑","◆",""))</f>
        <v/>
      </c>
      <c r="BO44" s="8" t="str">
        <f>IF(OR($A44="",$C44="",$D44="",$C44&gt;BO$6,$D44&lt;BO$9),"",IF($J44="里程碑","◆",""))</f>
        <v/>
      </c>
      <c r="BP44" s="8" t="str">
        <f>IF(OR($A44="",$C44="",$D44="",$C44&gt;BP$6,$D44&lt;BP$9),"",IF($J44="里程碑","◆",""))</f>
        <v/>
      </c>
      <c r="BQ44" s="8" t="str">
        <f>IF(OR($A44="",$C44="",$D44="",$C44&gt;BQ$6,$D44&lt;BQ$9),"",IF($J44="里程碑","◆",""))</f>
        <v/>
      </c>
      <c r="BR44" s="8" t="str">
        <f>IF(OR($A44="",$C44="",$D44="",$C44&gt;BR$6,$D44&lt;BR$9),"",IF($J44="里程碑","◆",""))</f>
        <v/>
      </c>
      <c r="BS44" s="8" t="str">
        <f>IF(OR($A44="",$C44="",$D44="",$C44&gt;BS$6,$D44&lt;BS$9),"",IF($J44="里程碑","◆",""))</f>
        <v/>
      </c>
      <c r="BT44" s="8" t="str">
        <f>IF(OR($A44="",$C44="",$D44="",$C44&gt;BT$6,$D44&lt;BT$9),"",IF($J44="里程碑","◆",""))</f>
        <v/>
      </c>
      <c r="BU44" s="8" t="str">
        <f>IF(OR($A44="",$C44="",$D44="",$C44&gt;BU$6,$D44&lt;BU$9),"",IF($J44="里程碑","◆",""))</f>
        <v/>
      </c>
      <c r="BV44" s="8" t="str">
        <f>IF(OR($A44="",$C44="",$D44="",$C44&gt;BV$6,$D44&lt;BV$9),"",IF($J44="里程碑","◆",""))</f>
        <v/>
      </c>
      <c r="BW44" s="8" t="str">
        <f>IF(OR($A44="",$C44="",$D44="",$C44&gt;BW$6,$D44&lt;BW$9),"",IF($J44="里程碑","◆",""))</f>
        <v/>
      </c>
      <c r="BX44" s="8" t="str">
        <f>IF(OR($A44="",$C44="",$D44="",$C44&gt;BX$6,$D44&lt;BX$9),"",IF($J44="里程碑","◆",""))</f>
        <v/>
      </c>
      <c r="BY44" s="8" t="str">
        <f>IF(OR($A44="",$C44="",$D44="",$C44&gt;BY$6,$D44&lt;BY$9),"",IF($J44="里程碑","◆",""))</f>
        <v/>
      </c>
      <c r="BZ44" s="8" t="str">
        <f>IF(OR($A44="",$C44="",$D44="",$C44&gt;BZ$6,$D44&lt;BZ$9),"",IF($J44="里程碑","◆",""))</f>
        <v/>
      </c>
      <c r="CA44" s="8" t="str">
        <f>IF(OR($A44="",$C44="",$D44="",$C44&gt;CA$6,$D44&lt;CA$9),"",IF($J44="里程碑","◆",""))</f>
        <v/>
      </c>
      <c r="CB44" s="8" t="str">
        <f>IF(OR($A44="",$C44="",$D44="",$C44&gt;CB$6,$D44&lt;CB$9),"",IF($J44="里程碑","◆",""))</f>
        <v/>
      </c>
      <c r="CC44" s="8" t="str">
        <f>IF(OR($A44="",$C44="",$D44="",$C44&gt;CC$6,$D44&lt;CC$9),"",IF($J44="里程碑","◆",""))</f>
        <v/>
      </c>
      <c r="CD44" s="8" t="str">
        <f>IF(OR($A44="",$C44="",$D44="",$C44&gt;CD$6,$D44&lt;CD$9),"",IF($J44="里程碑","◆",""))</f>
        <v/>
      </c>
      <c r="CE44" s="8" t="str">
        <f>IF(OR($A44="",$C44="",$D44="",$C44&gt;CE$6,$D44&lt;CE$9),"",IF($J44="里程碑","◆",""))</f>
        <v/>
      </c>
      <c r="CF44" s="8" t="str">
        <f>IF(OR($A44="",$C44="",$D44="",$C44&gt;CF$6,$D44&lt;CF$9),"",IF($J44="里程碑","◆",""))</f>
        <v/>
      </c>
      <c r="CG44" s="8" t="str">
        <f>IF(OR($A44="",$C44="",$D44="",$C44&gt;CG$6,$D44&lt;CG$9),"",IF($J44="里程碑","◆",""))</f>
        <v/>
      </c>
      <c r="CH44" s="8" t="str">
        <f>IF(OR($A44="",$C44="",$D44="",$C44&gt;CH$6,$D44&lt;CH$9),"",IF($J44="里程碑","◆",""))</f>
        <v/>
      </c>
      <c r="CI44" s="8" t="str">
        <f>IF(OR($A44="",$C44="",$D44="",$C44&gt;CI$6,$D44&lt;CI$9),"",IF($J44="里程碑","◆",""))</f>
        <v/>
      </c>
      <c r="CJ44" s="8" t="str">
        <f>IF(OR($A44="",$C44="",$D44="",$C44&gt;CJ$6,$D44&lt;CJ$9),"",IF($J44="里程碑","◆",""))</f>
        <v/>
      </c>
      <c r="CK44" s="8" t="str">
        <f>IF(OR($A44="",$C44="",$D44="",$C44&gt;CK$6,$D44&lt;CK$9),"",IF($J44="里程碑","◆",""))</f>
        <v/>
      </c>
      <c r="CL44" s="8" t="str">
        <f>IF(OR($A44="",$C44="",$D44="",$C44&gt;CL$6,$D44&lt;CL$9),"",IF($J44="里程碑","◆",""))</f>
        <v/>
      </c>
      <c r="CM44" s="8" t="str">
        <f>IF(OR($A44="",$C44="",$D44="",$C44&gt;CM$6,$D44&lt;CM$9),"",IF($J44="里程碑","◆",""))</f>
        <v/>
      </c>
      <c r="CN44" s="8" t="str">
        <f>IF(OR($A44="",$C44="",$D44="",$C44&gt;CN$6,$D44&lt;CN$9),"",IF($J44="里程碑","◆",""))</f>
        <v/>
      </c>
      <c r="CO44" s="8" t="str">
        <f>IF(OR($A44="",$C44="",$D44="",$C44&gt;CO$6,$D44&lt;CO$9),"",IF($J44="里程碑","◆",""))</f>
        <v/>
      </c>
      <c r="CP44" s="8" t="str">
        <f>IF(OR($A44="",$C44="",$D44="",$C44&gt;CP$6,$D44&lt;CP$9),"",IF($J44="里程碑","◆",""))</f>
        <v/>
      </c>
      <c r="CQ44" s="8" t="str">
        <f>IF(OR($A44="",$C44="",$D44="",$C44&gt;CQ$6,$D44&lt;CQ$9),"",IF($J44="里程碑","◆",""))</f>
        <v/>
      </c>
      <c r="CR44" s="8" t="str">
        <f>IF(OR($A44="",$C44="",$D44="",$C44&gt;CR$6,$D44&lt;CR$9),"",IF($J44="里程碑","◆",""))</f>
        <v/>
      </c>
      <c r="CS44" s="8" t="str">
        <f>IF(OR($A44="",$C44="",$D44="",$C44&gt;CS$6,$D44&lt;CS$9),"",IF($J44="里程碑","◆",""))</f>
        <v/>
      </c>
      <c r="CT44" s="8" t="str">
        <f>IF(OR($A44="",$C44="",$D44="",$C44&gt;CT$6,$D44&lt;CT$9),"",IF($J44="里程碑","◆",""))</f>
        <v/>
      </c>
      <c r="CU44" s="8" t="str">
        <f>IF(OR($A44="",$C44="",$D44="",$C44&gt;CU$6,$D44&lt;CU$9),"",IF($J44="里程碑","◆",""))</f>
        <v/>
      </c>
      <c r="CV44" s="8" t="str">
        <f>IF(OR($A44="",$C44="",$D44="",$C44&gt;CV$6,$D44&lt;CV$9),"",IF($J44="里程碑","◆",""))</f>
        <v/>
      </c>
      <c r="CW44" s="8" t="str">
        <f>IF(OR($A44="",$C44="",$D44="",$C44&gt;CW$6,$D44&lt;CW$9),"",IF($J44="里程碑","◆",""))</f>
        <v/>
      </c>
      <c r="CX44" s="8" t="str">
        <f>IF(OR($A44="",$C44="",$D44="",$C44&gt;CX$6,$D44&lt;CX$9),"",IF($J44="里程碑","◆",""))</f>
        <v/>
      </c>
      <c r="CY44" s="8" t="str">
        <f>IF(OR($A44="",$C44="",$D44="",$C44&gt;CY$6,$D44&lt;CY$9),"",IF($J44="里程碑","◆",""))</f>
        <v/>
      </c>
      <c r="CZ44" s="8" t="str">
        <f>IF(OR($A44="",$C44="",$D44="",$C44&gt;CZ$6,$D44&lt;CZ$9),"",IF($J44="里程碑","◆",""))</f>
        <v/>
      </c>
      <c r="DA44" s="8" t="str">
        <f>IF(OR($A44="",$C44="",$D44="",$C44&gt;DA$6,$D44&lt;DA$9),"",IF($J44="里程碑","◆",""))</f>
        <v/>
      </c>
      <c r="DB44" s="8" t="str">
        <f>IF(OR($A44="",$C44="",$D44="",$C44&gt;DB$6,$D44&lt;DB$9),"",IF($J44="里程碑","◆",""))</f>
        <v/>
      </c>
      <c r="DC44" s="1" t="str">
        <f>IF(ROW()-9&gt;$DH$3,"",MATCH(ROW()-9,排期计算!$U$10:$U$109,0))</f>
        <v/>
      </c>
      <c r="DD44" s="1" t="str">
        <f>IF($DC44="","",INDEX(排期计算!$L$10:$L$109,$DC44))</f>
        <v/>
      </c>
      <c r="DE44" s="1"/>
      <c r="DF44" s="1"/>
      <c r="DG44" s="1"/>
      <c r="DH44" s="1"/>
      <c r="DI44" s="1"/>
      <c r="DJ44" s="1"/>
      <c r="DK44" s="1"/>
    </row>
    <row r="45" spans="1:115" ht="24.95" customHeight="1">
      <c r="A45" s="9" t="str">
        <f>IF($DC45="","",IF(AND(INDEX(排期计算!$A$10:$A$109,$DC45)="",NOT(ISNUMBER(INDEX(排期计算!$A$10:$A$109,$DC45)))),"",INDEX(排期计算!$A$10:$A$109,$DC45)))</f>
        <v/>
      </c>
      <c r="B45" s="1" t="str">
        <f>IF($DC45="","",REPT("　",$DD45-1)&amp;INDEX(排期计算!$B$10:$B$109,$DC45))</f>
        <v/>
      </c>
      <c r="C45" s="3" t="str">
        <f>IF($DC45="","",IF(AND(INDEX(排期计算!$M$10:$M$109,$DC45)="",NOT(ISNUMBER(INDEX(排期计算!$M$10:$M$109,$DC45)))),"",INDEX(排期计算!$M$10:$M$109,$DC45)))</f>
        <v/>
      </c>
      <c r="D45" s="3" t="str">
        <f>IF($DC45="","",IF(AND(INDEX(排期计算!$N$10:$N$109,$DC45)="",NOT(ISNUMBER(INDEX(排期计算!$N$10:$N$109,$DC45)))),"",INDEX(排期计算!$N$10:$N$109,$DC45)))</f>
        <v/>
      </c>
      <c r="E45" s="1" t="str">
        <f>IF(OR($C45="",$D45=""),"",IF($J45="里程碑",0,NETWORKDAYS($C45,$D45)))</f>
        <v/>
      </c>
      <c r="F45" s="7" t="str">
        <f>IF($DC45="","",IF(AND(INDEX(排期计算!$O$10:$O$109,$DC45)="",NOT(ISNUMBER(INDEX(排期计算!$O$10:$O$109,$DC45)))),"",INDEX(排期计算!$O$10:$O$109,$DC45)))</f>
        <v/>
      </c>
      <c r="G45" s="8" t="str">
        <f>IF($A45="","",IF(OR($C45="",$D45=""),"未排期",IF($F45&gt;=1,"已完成",IF($D45&lt;$B$4,"逾期",IF($C45&gt;$B$4,"未开始","进行中")))))</f>
        <v/>
      </c>
      <c r="H45" s="1" t="str">
        <f>IF($DC45="","",IF(AND(INDEX(排期计算!$C$10:$C$109,$DC45)="",NOT(ISNUMBER(INDEX(排期计算!$C$10:$C$109,$DC45)))),"",INDEX(排期计算!$C$10:$C$109,$DC45)))</f>
        <v/>
      </c>
      <c r="I45" s="1" t="str">
        <f>IF($DC45="","",IF(AND(INDEX(排期计算!$H$10:$H$109,$DC45)="",NOT(ISNUMBER(INDEX(排期计算!$H$10:$H$109,$DC45)))),"",INDEX(排期计算!$H$10:$H$109,$DC45)))</f>
        <v/>
      </c>
      <c r="J45" s="1" t="str">
        <f>IF($DC45="","",IF(AND(INDEX(排期计算!$K$10:$K$109,$DC45)="",NOT(ISNUMBER(INDEX(排期计算!$K$10:$K$109,$DC45)))),"",INDEX(排期计算!$K$10:$K$109,$DC45)))</f>
        <v/>
      </c>
      <c r="K45" s="8" t="str">
        <f>IF(OR($A45="",$C45="",$D45="",$C45&gt;K$6,$D45&lt;K$9),"",IF($J45="里程碑","◆",""))</f>
        <v/>
      </c>
      <c r="L45" s="8" t="str">
        <f>IF(OR($A45="",$C45="",$D45="",$C45&gt;L$6,$D45&lt;L$9),"",IF($J45="里程碑","◆",""))</f>
        <v/>
      </c>
      <c r="M45" s="8" t="str">
        <f>IF(OR($A45="",$C45="",$D45="",$C45&gt;M$6,$D45&lt;M$9),"",IF($J45="里程碑","◆",""))</f>
        <v/>
      </c>
      <c r="N45" s="8" t="str">
        <f>IF(OR($A45="",$C45="",$D45="",$C45&gt;N$6,$D45&lt;N$9),"",IF($J45="里程碑","◆",""))</f>
        <v/>
      </c>
      <c r="O45" s="8" t="str">
        <f>IF(OR($A45="",$C45="",$D45="",$C45&gt;O$6,$D45&lt;O$9),"",IF($J45="里程碑","◆",""))</f>
        <v/>
      </c>
      <c r="P45" s="8" t="str">
        <f>IF(OR($A45="",$C45="",$D45="",$C45&gt;P$6,$D45&lt;P$9),"",IF($J45="里程碑","◆",""))</f>
        <v/>
      </c>
      <c r="Q45" s="8" t="str">
        <f>IF(OR($A45="",$C45="",$D45="",$C45&gt;Q$6,$D45&lt;Q$9),"",IF($J45="里程碑","◆",""))</f>
        <v/>
      </c>
      <c r="R45" s="8" t="str">
        <f>IF(OR($A45="",$C45="",$D45="",$C45&gt;R$6,$D45&lt;R$9),"",IF($J45="里程碑","◆",""))</f>
        <v/>
      </c>
      <c r="S45" s="8" t="str">
        <f>IF(OR($A45="",$C45="",$D45="",$C45&gt;S$6,$D45&lt;S$9),"",IF($J45="里程碑","◆",""))</f>
        <v/>
      </c>
      <c r="T45" s="8" t="str">
        <f>IF(OR($A45="",$C45="",$D45="",$C45&gt;T$6,$D45&lt;T$9),"",IF($J45="里程碑","◆",""))</f>
        <v/>
      </c>
      <c r="U45" s="8" t="str">
        <f>IF(OR($A45="",$C45="",$D45="",$C45&gt;U$6,$D45&lt;U$9),"",IF($J45="里程碑","◆",""))</f>
        <v/>
      </c>
      <c r="V45" s="8" t="str">
        <f>IF(OR($A45="",$C45="",$D45="",$C45&gt;V$6,$D45&lt;V$9),"",IF($J45="里程碑","◆",""))</f>
        <v/>
      </c>
      <c r="W45" s="8" t="str">
        <f>IF(OR($A45="",$C45="",$D45="",$C45&gt;W$6,$D45&lt;W$9),"",IF($J45="里程碑","◆",""))</f>
        <v/>
      </c>
      <c r="X45" s="8" t="str">
        <f>IF(OR($A45="",$C45="",$D45="",$C45&gt;X$6,$D45&lt;X$9),"",IF($J45="里程碑","◆",""))</f>
        <v/>
      </c>
      <c r="Y45" s="8" t="str">
        <f>IF(OR($A45="",$C45="",$D45="",$C45&gt;Y$6,$D45&lt;Y$9),"",IF($J45="里程碑","◆",""))</f>
        <v/>
      </c>
      <c r="Z45" s="8" t="str">
        <f>IF(OR($A45="",$C45="",$D45="",$C45&gt;Z$6,$D45&lt;Z$9),"",IF($J45="里程碑","◆",""))</f>
        <v/>
      </c>
      <c r="AA45" s="8" t="str">
        <f>IF(OR($A45="",$C45="",$D45="",$C45&gt;AA$6,$D45&lt;AA$9),"",IF($J45="里程碑","◆",""))</f>
        <v/>
      </c>
      <c r="AB45" s="8" t="str">
        <f>IF(OR($A45="",$C45="",$D45="",$C45&gt;AB$6,$D45&lt;AB$9),"",IF($J45="里程碑","◆",""))</f>
        <v/>
      </c>
      <c r="AC45" s="8" t="str">
        <f>IF(OR($A45="",$C45="",$D45="",$C45&gt;AC$6,$D45&lt;AC$9),"",IF($J45="里程碑","◆",""))</f>
        <v/>
      </c>
      <c r="AD45" s="8" t="str">
        <f>IF(OR($A45="",$C45="",$D45="",$C45&gt;AD$6,$D45&lt;AD$9),"",IF($J45="里程碑","◆",""))</f>
        <v/>
      </c>
      <c r="AE45" s="8" t="str">
        <f>IF(OR($A45="",$C45="",$D45="",$C45&gt;AE$6,$D45&lt;AE$9),"",IF($J45="里程碑","◆",""))</f>
        <v/>
      </c>
      <c r="AF45" s="8" t="str">
        <f>IF(OR($A45="",$C45="",$D45="",$C45&gt;AF$6,$D45&lt;AF$9),"",IF($J45="里程碑","◆",""))</f>
        <v/>
      </c>
      <c r="AG45" s="8" t="str">
        <f>IF(OR($A45="",$C45="",$D45="",$C45&gt;AG$6,$D45&lt;AG$9),"",IF($J45="里程碑","◆",""))</f>
        <v/>
      </c>
      <c r="AH45" s="8" t="str">
        <f>IF(OR($A45="",$C45="",$D45="",$C45&gt;AH$6,$D45&lt;AH$9),"",IF($J45="里程碑","◆",""))</f>
        <v/>
      </c>
      <c r="AI45" s="8" t="str">
        <f>IF(OR($A45="",$C45="",$D45="",$C45&gt;AI$6,$D45&lt;AI$9),"",IF($J45="里程碑","◆",""))</f>
        <v/>
      </c>
      <c r="AJ45" s="8" t="str">
        <f>IF(OR($A45="",$C45="",$D45="",$C45&gt;AJ$6,$D45&lt;AJ$9),"",IF($J45="里程碑","◆",""))</f>
        <v/>
      </c>
      <c r="AK45" s="8" t="str">
        <f>IF(OR($A45="",$C45="",$D45="",$C45&gt;AK$6,$D45&lt;AK$9),"",IF($J45="里程碑","◆",""))</f>
        <v/>
      </c>
      <c r="AL45" s="8" t="str">
        <f>IF(OR($A45="",$C45="",$D45="",$C45&gt;AL$6,$D45&lt;AL$9),"",IF($J45="里程碑","◆",""))</f>
        <v/>
      </c>
      <c r="AM45" s="8" t="str">
        <f>IF(OR($A45="",$C45="",$D45="",$C45&gt;AM$6,$D45&lt;AM$9),"",IF($J45="里程碑","◆",""))</f>
        <v/>
      </c>
      <c r="AN45" s="8" t="str">
        <f>IF(OR($A45="",$C45="",$D45="",$C45&gt;AN$6,$D45&lt;AN$9),"",IF($J45="里程碑","◆",""))</f>
        <v/>
      </c>
      <c r="AO45" s="8" t="str">
        <f>IF(OR($A45="",$C45="",$D45="",$C45&gt;AO$6,$D45&lt;AO$9),"",IF($J45="里程碑","◆",""))</f>
        <v/>
      </c>
      <c r="AP45" s="8" t="str">
        <f>IF(OR($A45="",$C45="",$D45="",$C45&gt;AP$6,$D45&lt;AP$9),"",IF($J45="里程碑","◆",""))</f>
        <v/>
      </c>
      <c r="AQ45" s="8" t="str">
        <f>IF(OR($A45="",$C45="",$D45="",$C45&gt;AQ$6,$D45&lt;AQ$9),"",IF($J45="里程碑","◆",""))</f>
        <v/>
      </c>
      <c r="AR45" s="8" t="str">
        <f>IF(OR($A45="",$C45="",$D45="",$C45&gt;AR$6,$D45&lt;AR$9),"",IF($J45="里程碑","◆",""))</f>
        <v/>
      </c>
      <c r="AS45" s="8" t="str">
        <f>IF(OR($A45="",$C45="",$D45="",$C45&gt;AS$6,$D45&lt;AS$9),"",IF($J45="里程碑","◆",""))</f>
        <v/>
      </c>
      <c r="AT45" s="8" t="str">
        <f>IF(OR($A45="",$C45="",$D45="",$C45&gt;AT$6,$D45&lt;AT$9),"",IF($J45="里程碑","◆",""))</f>
        <v/>
      </c>
      <c r="AU45" s="8" t="str">
        <f>IF(OR($A45="",$C45="",$D45="",$C45&gt;AU$6,$D45&lt;AU$9),"",IF($J45="里程碑","◆",""))</f>
        <v/>
      </c>
      <c r="AV45" s="8" t="str">
        <f>IF(OR($A45="",$C45="",$D45="",$C45&gt;AV$6,$D45&lt;AV$9),"",IF($J45="里程碑","◆",""))</f>
        <v/>
      </c>
      <c r="AW45" s="8" t="str">
        <f>IF(OR($A45="",$C45="",$D45="",$C45&gt;AW$6,$D45&lt;AW$9),"",IF($J45="里程碑","◆",""))</f>
        <v/>
      </c>
      <c r="AX45" s="8" t="str">
        <f>IF(OR($A45="",$C45="",$D45="",$C45&gt;AX$6,$D45&lt;AX$9),"",IF($J45="里程碑","◆",""))</f>
        <v/>
      </c>
      <c r="AY45" s="8" t="str">
        <f>IF(OR($A45="",$C45="",$D45="",$C45&gt;AY$6,$D45&lt;AY$9),"",IF($J45="里程碑","◆",""))</f>
        <v/>
      </c>
      <c r="AZ45" s="8" t="str">
        <f>IF(OR($A45="",$C45="",$D45="",$C45&gt;AZ$6,$D45&lt;AZ$9),"",IF($J45="里程碑","◆",""))</f>
        <v/>
      </c>
      <c r="BA45" s="8" t="str">
        <f>IF(OR($A45="",$C45="",$D45="",$C45&gt;BA$6,$D45&lt;BA$9),"",IF($J45="里程碑","◆",""))</f>
        <v/>
      </c>
      <c r="BB45" s="8" t="str">
        <f>IF(OR($A45="",$C45="",$D45="",$C45&gt;BB$6,$D45&lt;BB$9),"",IF($J45="里程碑","◆",""))</f>
        <v/>
      </c>
      <c r="BC45" s="8" t="str">
        <f>IF(OR($A45="",$C45="",$D45="",$C45&gt;BC$6,$D45&lt;BC$9),"",IF($J45="里程碑","◆",""))</f>
        <v/>
      </c>
      <c r="BD45" s="8" t="str">
        <f>IF(OR($A45="",$C45="",$D45="",$C45&gt;BD$6,$D45&lt;BD$9),"",IF($J45="里程碑","◆",""))</f>
        <v/>
      </c>
      <c r="BE45" s="8" t="str">
        <f>IF(OR($A45="",$C45="",$D45="",$C45&gt;BE$6,$D45&lt;BE$9),"",IF($J45="里程碑","◆",""))</f>
        <v/>
      </c>
      <c r="BF45" s="8" t="str">
        <f>IF(OR($A45="",$C45="",$D45="",$C45&gt;BF$6,$D45&lt;BF$9),"",IF($J45="里程碑","◆",""))</f>
        <v/>
      </c>
      <c r="BG45" s="8" t="str">
        <f>IF(OR($A45="",$C45="",$D45="",$C45&gt;BG$6,$D45&lt;BG$9),"",IF($J45="里程碑","◆",""))</f>
        <v/>
      </c>
      <c r="BH45" s="8" t="str">
        <f>IF(OR($A45="",$C45="",$D45="",$C45&gt;BH$6,$D45&lt;BH$9),"",IF($J45="里程碑","◆",""))</f>
        <v/>
      </c>
      <c r="BI45" s="8" t="str">
        <f>IF(OR($A45="",$C45="",$D45="",$C45&gt;BI$6,$D45&lt;BI$9),"",IF($J45="里程碑","◆",""))</f>
        <v/>
      </c>
      <c r="BJ45" s="8" t="str">
        <f>IF(OR($A45="",$C45="",$D45="",$C45&gt;BJ$6,$D45&lt;BJ$9),"",IF($J45="里程碑","◆",""))</f>
        <v/>
      </c>
      <c r="BK45" s="8" t="str">
        <f>IF(OR($A45="",$C45="",$D45="",$C45&gt;BK$6,$D45&lt;BK$9),"",IF($J45="里程碑","◆",""))</f>
        <v/>
      </c>
      <c r="BL45" s="8" t="str">
        <f>IF(OR($A45="",$C45="",$D45="",$C45&gt;BL$6,$D45&lt;BL$9),"",IF($J45="里程碑","◆",""))</f>
        <v/>
      </c>
      <c r="BM45" s="8" t="str">
        <f>IF(OR($A45="",$C45="",$D45="",$C45&gt;BM$6,$D45&lt;BM$9),"",IF($J45="里程碑","◆",""))</f>
        <v/>
      </c>
      <c r="BN45" s="8" t="str">
        <f>IF(OR($A45="",$C45="",$D45="",$C45&gt;BN$6,$D45&lt;BN$9),"",IF($J45="里程碑","◆",""))</f>
        <v/>
      </c>
      <c r="BO45" s="8" t="str">
        <f>IF(OR($A45="",$C45="",$D45="",$C45&gt;BO$6,$D45&lt;BO$9),"",IF($J45="里程碑","◆",""))</f>
        <v/>
      </c>
      <c r="BP45" s="8" t="str">
        <f>IF(OR($A45="",$C45="",$D45="",$C45&gt;BP$6,$D45&lt;BP$9),"",IF($J45="里程碑","◆",""))</f>
        <v/>
      </c>
      <c r="BQ45" s="8" t="str">
        <f>IF(OR($A45="",$C45="",$D45="",$C45&gt;BQ$6,$D45&lt;BQ$9),"",IF($J45="里程碑","◆",""))</f>
        <v/>
      </c>
      <c r="BR45" s="8" t="str">
        <f>IF(OR($A45="",$C45="",$D45="",$C45&gt;BR$6,$D45&lt;BR$9),"",IF($J45="里程碑","◆",""))</f>
        <v/>
      </c>
      <c r="BS45" s="8" t="str">
        <f>IF(OR($A45="",$C45="",$D45="",$C45&gt;BS$6,$D45&lt;BS$9),"",IF($J45="里程碑","◆",""))</f>
        <v/>
      </c>
      <c r="BT45" s="8" t="str">
        <f>IF(OR($A45="",$C45="",$D45="",$C45&gt;BT$6,$D45&lt;BT$9),"",IF($J45="里程碑","◆",""))</f>
        <v/>
      </c>
      <c r="BU45" s="8" t="str">
        <f>IF(OR($A45="",$C45="",$D45="",$C45&gt;BU$6,$D45&lt;BU$9),"",IF($J45="里程碑","◆",""))</f>
        <v/>
      </c>
      <c r="BV45" s="8" t="str">
        <f>IF(OR($A45="",$C45="",$D45="",$C45&gt;BV$6,$D45&lt;BV$9),"",IF($J45="里程碑","◆",""))</f>
        <v/>
      </c>
      <c r="BW45" s="8" t="str">
        <f>IF(OR($A45="",$C45="",$D45="",$C45&gt;BW$6,$D45&lt;BW$9),"",IF($J45="里程碑","◆",""))</f>
        <v/>
      </c>
      <c r="BX45" s="8" t="str">
        <f>IF(OR($A45="",$C45="",$D45="",$C45&gt;BX$6,$D45&lt;BX$9),"",IF($J45="里程碑","◆",""))</f>
        <v/>
      </c>
      <c r="BY45" s="8" t="str">
        <f>IF(OR($A45="",$C45="",$D45="",$C45&gt;BY$6,$D45&lt;BY$9),"",IF($J45="里程碑","◆",""))</f>
        <v/>
      </c>
      <c r="BZ45" s="8" t="str">
        <f>IF(OR($A45="",$C45="",$D45="",$C45&gt;BZ$6,$D45&lt;BZ$9),"",IF($J45="里程碑","◆",""))</f>
        <v/>
      </c>
      <c r="CA45" s="8" t="str">
        <f>IF(OR($A45="",$C45="",$D45="",$C45&gt;CA$6,$D45&lt;CA$9),"",IF($J45="里程碑","◆",""))</f>
        <v/>
      </c>
      <c r="CB45" s="8" t="str">
        <f>IF(OR($A45="",$C45="",$D45="",$C45&gt;CB$6,$D45&lt;CB$9),"",IF($J45="里程碑","◆",""))</f>
        <v/>
      </c>
      <c r="CC45" s="8" t="str">
        <f>IF(OR($A45="",$C45="",$D45="",$C45&gt;CC$6,$D45&lt;CC$9),"",IF($J45="里程碑","◆",""))</f>
        <v/>
      </c>
      <c r="CD45" s="8" t="str">
        <f>IF(OR($A45="",$C45="",$D45="",$C45&gt;CD$6,$D45&lt;CD$9),"",IF($J45="里程碑","◆",""))</f>
        <v/>
      </c>
      <c r="CE45" s="8" t="str">
        <f>IF(OR($A45="",$C45="",$D45="",$C45&gt;CE$6,$D45&lt;CE$9),"",IF($J45="里程碑","◆",""))</f>
        <v/>
      </c>
      <c r="CF45" s="8" t="str">
        <f>IF(OR($A45="",$C45="",$D45="",$C45&gt;CF$6,$D45&lt;CF$9),"",IF($J45="里程碑","◆",""))</f>
        <v/>
      </c>
      <c r="CG45" s="8" t="str">
        <f>IF(OR($A45="",$C45="",$D45="",$C45&gt;CG$6,$D45&lt;CG$9),"",IF($J45="里程碑","◆",""))</f>
        <v/>
      </c>
      <c r="CH45" s="8" t="str">
        <f>IF(OR($A45="",$C45="",$D45="",$C45&gt;CH$6,$D45&lt;CH$9),"",IF($J45="里程碑","◆",""))</f>
        <v/>
      </c>
      <c r="CI45" s="8" t="str">
        <f>IF(OR($A45="",$C45="",$D45="",$C45&gt;CI$6,$D45&lt;CI$9),"",IF($J45="里程碑","◆",""))</f>
        <v/>
      </c>
      <c r="CJ45" s="8" t="str">
        <f>IF(OR($A45="",$C45="",$D45="",$C45&gt;CJ$6,$D45&lt;CJ$9),"",IF($J45="里程碑","◆",""))</f>
        <v/>
      </c>
      <c r="CK45" s="8" t="str">
        <f>IF(OR($A45="",$C45="",$D45="",$C45&gt;CK$6,$D45&lt;CK$9),"",IF($J45="里程碑","◆",""))</f>
        <v/>
      </c>
      <c r="CL45" s="8" t="str">
        <f>IF(OR($A45="",$C45="",$D45="",$C45&gt;CL$6,$D45&lt;CL$9),"",IF($J45="里程碑","◆",""))</f>
        <v/>
      </c>
      <c r="CM45" s="8" t="str">
        <f>IF(OR($A45="",$C45="",$D45="",$C45&gt;CM$6,$D45&lt;CM$9),"",IF($J45="里程碑","◆",""))</f>
        <v/>
      </c>
      <c r="CN45" s="8" t="str">
        <f>IF(OR($A45="",$C45="",$D45="",$C45&gt;CN$6,$D45&lt;CN$9),"",IF($J45="里程碑","◆",""))</f>
        <v/>
      </c>
      <c r="CO45" s="8" t="str">
        <f>IF(OR($A45="",$C45="",$D45="",$C45&gt;CO$6,$D45&lt;CO$9),"",IF($J45="里程碑","◆",""))</f>
        <v/>
      </c>
      <c r="CP45" s="8" t="str">
        <f>IF(OR($A45="",$C45="",$D45="",$C45&gt;CP$6,$D45&lt;CP$9),"",IF($J45="里程碑","◆",""))</f>
        <v/>
      </c>
      <c r="CQ45" s="8" t="str">
        <f>IF(OR($A45="",$C45="",$D45="",$C45&gt;CQ$6,$D45&lt;CQ$9),"",IF($J45="里程碑","◆",""))</f>
        <v/>
      </c>
      <c r="CR45" s="8" t="str">
        <f>IF(OR($A45="",$C45="",$D45="",$C45&gt;CR$6,$D45&lt;CR$9),"",IF($J45="里程碑","◆",""))</f>
        <v/>
      </c>
      <c r="CS45" s="8" t="str">
        <f>IF(OR($A45="",$C45="",$D45="",$C45&gt;CS$6,$D45&lt;CS$9),"",IF($J45="里程碑","◆",""))</f>
        <v/>
      </c>
      <c r="CT45" s="8" t="str">
        <f>IF(OR($A45="",$C45="",$D45="",$C45&gt;CT$6,$D45&lt;CT$9),"",IF($J45="里程碑","◆",""))</f>
        <v/>
      </c>
      <c r="CU45" s="8" t="str">
        <f>IF(OR($A45="",$C45="",$D45="",$C45&gt;CU$6,$D45&lt;CU$9),"",IF($J45="里程碑","◆",""))</f>
        <v/>
      </c>
      <c r="CV45" s="8" t="str">
        <f>IF(OR($A45="",$C45="",$D45="",$C45&gt;CV$6,$D45&lt;CV$9),"",IF($J45="里程碑","◆",""))</f>
        <v/>
      </c>
      <c r="CW45" s="8" t="str">
        <f>IF(OR($A45="",$C45="",$D45="",$C45&gt;CW$6,$D45&lt;CW$9),"",IF($J45="里程碑","◆",""))</f>
        <v/>
      </c>
      <c r="CX45" s="8" t="str">
        <f>IF(OR($A45="",$C45="",$D45="",$C45&gt;CX$6,$D45&lt;CX$9),"",IF($J45="里程碑","◆",""))</f>
        <v/>
      </c>
      <c r="CY45" s="8" t="str">
        <f>IF(OR($A45="",$C45="",$D45="",$C45&gt;CY$6,$D45&lt;CY$9),"",IF($J45="里程碑","◆",""))</f>
        <v/>
      </c>
      <c r="CZ45" s="8" t="str">
        <f>IF(OR($A45="",$C45="",$D45="",$C45&gt;CZ$6,$D45&lt;CZ$9),"",IF($J45="里程碑","◆",""))</f>
        <v/>
      </c>
      <c r="DA45" s="8" t="str">
        <f>IF(OR($A45="",$C45="",$D45="",$C45&gt;DA$6,$D45&lt;DA$9),"",IF($J45="里程碑","◆",""))</f>
        <v/>
      </c>
      <c r="DB45" s="8" t="str">
        <f>IF(OR($A45="",$C45="",$D45="",$C45&gt;DB$6,$D45&lt;DB$9),"",IF($J45="里程碑","◆",""))</f>
        <v/>
      </c>
      <c r="DC45" s="1" t="str">
        <f>IF(ROW()-9&gt;$DH$3,"",MATCH(ROW()-9,排期计算!$U$10:$U$109,0))</f>
        <v/>
      </c>
      <c r="DD45" s="1" t="str">
        <f>IF($DC45="","",INDEX(排期计算!$L$10:$L$109,$DC45))</f>
        <v/>
      </c>
      <c r="DE45" s="1"/>
      <c r="DF45" s="1"/>
      <c r="DG45" s="1"/>
      <c r="DH45" s="1"/>
      <c r="DI45" s="1"/>
      <c r="DJ45" s="1"/>
      <c r="DK45" s="1"/>
    </row>
    <row r="46" spans="1:115" ht="24.95" customHeight="1">
      <c r="A46" s="9" t="str">
        <f>IF($DC46="","",IF(AND(INDEX(排期计算!$A$10:$A$109,$DC46)="",NOT(ISNUMBER(INDEX(排期计算!$A$10:$A$109,$DC46)))),"",INDEX(排期计算!$A$10:$A$109,$DC46)))</f>
        <v/>
      </c>
      <c r="B46" s="1" t="str">
        <f>IF($DC46="","",REPT("　",$DD46-1)&amp;INDEX(排期计算!$B$10:$B$109,$DC46))</f>
        <v/>
      </c>
      <c r="C46" s="3" t="str">
        <f>IF($DC46="","",IF(AND(INDEX(排期计算!$M$10:$M$109,$DC46)="",NOT(ISNUMBER(INDEX(排期计算!$M$10:$M$109,$DC46)))),"",INDEX(排期计算!$M$10:$M$109,$DC46)))</f>
        <v/>
      </c>
      <c r="D46" s="3" t="str">
        <f>IF($DC46="","",IF(AND(INDEX(排期计算!$N$10:$N$109,$DC46)="",NOT(ISNUMBER(INDEX(排期计算!$N$10:$N$109,$DC46)))),"",INDEX(排期计算!$N$10:$N$109,$DC46)))</f>
        <v/>
      </c>
      <c r="E46" s="1" t="str">
        <f>IF(OR($C46="",$D46=""),"",IF($J46="里程碑",0,NETWORKDAYS($C46,$D46)))</f>
        <v/>
      </c>
      <c r="F46" s="7" t="str">
        <f>IF($DC46="","",IF(AND(INDEX(排期计算!$O$10:$O$109,$DC46)="",NOT(ISNUMBER(INDEX(排期计算!$O$10:$O$109,$DC46)))),"",INDEX(排期计算!$O$10:$O$109,$DC46)))</f>
        <v/>
      </c>
      <c r="G46" s="8" t="str">
        <f>IF($A46="","",IF(OR($C46="",$D46=""),"未排期",IF($F46&gt;=1,"已完成",IF($D46&lt;$B$4,"逾期",IF($C46&gt;$B$4,"未开始","进行中")))))</f>
        <v/>
      </c>
      <c r="H46" s="1" t="str">
        <f>IF($DC46="","",IF(AND(INDEX(排期计算!$C$10:$C$109,$DC46)="",NOT(ISNUMBER(INDEX(排期计算!$C$10:$C$109,$DC46)))),"",INDEX(排期计算!$C$10:$C$109,$DC46)))</f>
        <v/>
      </c>
      <c r="I46" s="1" t="str">
        <f>IF($DC46="","",IF(AND(INDEX(排期计算!$H$10:$H$109,$DC46)="",NOT(ISNUMBER(INDEX(排期计算!$H$10:$H$109,$DC46)))),"",INDEX(排期计算!$H$10:$H$109,$DC46)))</f>
        <v/>
      </c>
      <c r="J46" s="1" t="str">
        <f>IF($DC46="","",IF(AND(INDEX(排期计算!$K$10:$K$109,$DC46)="",NOT(ISNUMBER(INDEX(排期计算!$K$10:$K$109,$DC46)))),"",INDEX(排期计算!$K$10:$K$109,$DC46)))</f>
        <v/>
      </c>
      <c r="K46" s="8" t="str">
        <f>IF(OR($A46="",$C46="",$D46="",$C46&gt;K$6,$D46&lt;K$9),"",IF($J46="里程碑","◆",""))</f>
        <v/>
      </c>
      <c r="L46" s="8" t="str">
        <f>IF(OR($A46="",$C46="",$D46="",$C46&gt;L$6,$D46&lt;L$9),"",IF($J46="里程碑","◆",""))</f>
        <v/>
      </c>
      <c r="M46" s="8" t="str">
        <f>IF(OR($A46="",$C46="",$D46="",$C46&gt;M$6,$D46&lt;M$9),"",IF($J46="里程碑","◆",""))</f>
        <v/>
      </c>
      <c r="N46" s="8" t="str">
        <f>IF(OR($A46="",$C46="",$D46="",$C46&gt;N$6,$D46&lt;N$9),"",IF($J46="里程碑","◆",""))</f>
        <v/>
      </c>
      <c r="O46" s="8" t="str">
        <f>IF(OR($A46="",$C46="",$D46="",$C46&gt;O$6,$D46&lt;O$9),"",IF($J46="里程碑","◆",""))</f>
        <v/>
      </c>
      <c r="P46" s="8" t="str">
        <f>IF(OR($A46="",$C46="",$D46="",$C46&gt;P$6,$D46&lt;P$9),"",IF($J46="里程碑","◆",""))</f>
        <v/>
      </c>
      <c r="Q46" s="8" t="str">
        <f>IF(OR($A46="",$C46="",$D46="",$C46&gt;Q$6,$D46&lt;Q$9),"",IF($J46="里程碑","◆",""))</f>
        <v/>
      </c>
      <c r="R46" s="8" t="str">
        <f>IF(OR($A46="",$C46="",$D46="",$C46&gt;R$6,$D46&lt;R$9),"",IF($J46="里程碑","◆",""))</f>
        <v/>
      </c>
      <c r="S46" s="8" t="str">
        <f>IF(OR($A46="",$C46="",$D46="",$C46&gt;S$6,$D46&lt;S$9),"",IF($J46="里程碑","◆",""))</f>
        <v/>
      </c>
      <c r="T46" s="8" t="str">
        <f>IF(OR($A46="",$C46="",$D46="",$C46&gt;T$6,$D46&lt;T$9),"",IF($J46="里程碑","◆",""))</f>
        <v/>
      </c>
      <c r="U46" s="8" t="str">
        <f>IF(OR($A46="",$C46="",$D46="",$C46&gt;U$6,$D46&lt;U$9),"",IF($J46="里程碑","◆",""))</f>
        <v/>
      </c>
      <c r="V46" s="8" t="str">
        <f>IF(OR($A46="",$C46="",$D46="",$C46&gt;V$6,$D46&lt;V$9),"",IF($J46="里程碑","◆",""))</f>
        <v/>
      </c>
      <c r="W46" s="8" t="str">
        <f>IF(OR($A46="",$C46="",$D46="",$C46&gt;W$6,$D46&lt;W$9),"",IF($J46="里程碑","◆",""))</f>
        <v/>
      </c>
      <c r="X46" s="8" t="str">
        <f>IF(OR($A46="",$C46="",$D46="",$C46&gt;X$6,$D46&lt;X$9),"",IF($J46="里程碑","◆",""))</f>
        <v/>
      </c>
      <c r="Y46" s="8" t="str">
        <f>IF(OR($A46="",$C46="",$D46="",$C46&gt;Y$6,$D46&lt;Y$9),"",IF($J46="里程碑","◆",""))</f>
        <v/>
      </c>
      <c r="Z46" s="8" t="str">
        <f>IF(OR($A46="",$C46="",$D46="",$C46&gt;Z$6,$D46&lt;Z$9),"",IF($J46="里程碑","◆",""))</f>
        <v/>
      </c>
      <c r="AA46" s="8" t="str">
        <f>IF(OR($A46="",$C46="",$D46="",$C46&gt;AA$6,$D46&lt;AA$9),"",IF($J46="里程碑","◆",""))</f>
        <v/>
      </c>
      <c r="AB46" s="8" t="str">
        <f>IF(OR($A46="",$C46="",$D46="",$C46&gt;AB$6,$D46&lt;AB$9),"",IF($J46="里程碑","◆",""))</f>
        <v/>
      </c>
      <c r="AC46" s="8" t="str">
        <f>IF(OR($A46="",$C46="",$D46="",$C46&gt;AC$6,$D46&lt;AC$9),"",IF($J46="里程碑","◆",""))</f>
        <v/>
      </c>
      <c r="AD46" s="8" t="str">
        <f>IF(OR($A46="",$C46="",$D46="",$C46&gt;AD$6,$D46&lt;AD$9),"",IF($J46="里程碑","◆",""))</f>
        <v/>
      </c>
      <c r="AE46" s="8" t="str">
        <f>IF(OR($A46="",$C46="",$D46="",$C46&gt;AE$6,$D46&lt;AE$9),"",IF($J46="里程碑","◆",""))</f>
        <v/>
      </c>
      <c r="AF46" s="8" t="str">
        <f>IF(OR($A46="",$C46="",$D46="",$C46&gt;AF$6,$D46&lt;AF$9),"",IF($J46="里程碑","◆",""))</f>
        <v/>
      </c>
      <c r="AG46" s="8" t="str">
        <f>IF(OR($A46="",$C46="",$D46="",$C46&gt;AG$6,$D46&lt;AG$9),"",IF($J46="里程碑","◆",""))</f>
        <v/>
      </c>
      <c r="AH46" s="8" t="str">
        <f>IF(OR($A46="",$C46="",$D46="",$C46&gt;AH$6,$D46&lt;AH$9),"",IF($J46="里程碑","◆",""))</f>
        <v/>
      </c>
      <c r="AI46" s="8" t="str">
        <f>IF(OR($A46="",$C46="",$D46="",$C46&gt;AI$6,$D46&lt;AI$9),"",IF($J46="里程碑","◆",""))</f>
        <v/>
      </c>
      <c r="AJ46" s="8" t="str">
        <f>IF(OR($A46="",$C46="",$D46="",$C46&gt;AJ$6,$D46&lt;AJ$9),"",IF($J46="里程碑","◆",""))</f>
        <v/>
      </c>
      <c r="AK46" s="8" t="str">
        <f>IF(OR($A46="",$C46="",$D46="",$C46&gt;AK$6,$D46&lt;AK$9),"",IF($J46="里程碑","◆",""))</f>
        <v/>
      </c>
      <c r="AL46" s="8" t="str">
        <f>IF(OR($A46="",$C46="",$D46="",$C46&gt;AL$6,$D46&lt;AL$9),"",IF($J46="里程碑","◆",""))</f>
        <v/>
      </c>
      <c r="AM46" s="8" t="str">
        <f>IF(OR($A46="",$C46="",$D46="",$C46&gt;AM$6,$D46&lt;AM$9),"",IF($J46="里程碑","◆",""))</f>
        <v/>
      </c>
      <c r="AN46" s="8" t="str">
        <f>IF(OR($A46="",$C46="",$D46="",$C46&gt;AN$6,$D46&lt;AN$9),"",IF($J46="里程碑","◆",""))</f>
        <v/>
      </c>
      <c r="AO46" s="8" t="str">
        <f>IF(OR($A46="",$C46="",$D46="",$C46&gt;AO$6,$D46&lt;AO$9),"",IF($J46="里程碑","◆",""))</f>
        <v/>
      </c>
      <c r="AP46" s="8" t="str">
        <f>IF(OR($A46="",$C46="",$D46="",$C46&gt;AP$6,$D46&lt;AP$9),"",IF($J46="里程碑","◆",""))</f>
        <v/>
      </c>
      <c r="AQ46" s="8" t="str">
        <f>IF(OR($A46="",$C46="",$D46="",$C46&gt;AQ$6,$D46&lt;AQ$9),"",IF($J46="里程碑","◆",""))</f>
        <v/>
      </c>
      <c r="AR46" s="8" t="str">
        <f>IF(OR($A46="",$C46="",$D46="",$C46&gt;AR$6,$D46&lt;AR$9),"",IF($J46="里程碑","◆",""))</f>
        <v/>
      </c>
      <c r="AS46" s="8" t="str">
        <f>IF(OR($A46="",$C46="",$D46="",$C46&gt;AS$6,$D46&lt;AS$9),"",IF($J46="里程碑","◆",""))</f>
        <v/>
      </c>
      <c r="AT46" s="8" t="str">
        <f>IF(OR($A46="",$C46="",$D46="",$C46&gt;AT$6,$D46&lt;AT$9),"",IF($J46="里程碑","◆",""))</f>
        <v/>
      </c>
      <c r="AU46" s="8" t="str">
        <f>IF(OR($A46="",$C46="",$D46="",$C46&gt;AU$6,$D46&lt;AU$9),"",IF($J46="里程碑","◆",""))</f>
        <v/>
      </c>
      <c r="AV46" s="8" t="str">
        <f>IF(OR($A46="",$C46="",$D46="",$C46&gt;AV$6,$D46&lt;AV$9),"",IF($J46="里程碑","◆",""))</f>
        <v/>
      </c>
      <c r="AW46" s="8" t="str">
        <f>IF(OR($A46="",$C46="",$D46="",$C46&gt;AW$6,$D46&lt;AW$9),"",IF($J46="里程碑","◆",""))</f>
        <v/>
      </c>
      <c r="AX46" s="8" t="str">
        <f>IF(OR($A46="",$C46="",$D46="",$C46&gt;AX$6,$D46&lt;AX$9),"",IF($J46="里程碑","◆",""))</f>
        <v/>
      </c>
      <c r="AY46" s="8" t="str">
        <f>IF(OR($A46="",$C46="",$D46="",$C46&gt;AY$6,$D46&lt;AY$9),"",IF($J46="里程碑","◆",""))</f>
        <v/>
      </c>
      <c r="AZ46" s="8" t="str">
        <f>IF(OR($A46="",$C46="",$D46="",$C46&gt;AZ$6,$D46&lt;AZ$9),"",IF($J46="里程碑","◆",""))</f>
        <v/>
      </c>
      <c r="BA46" s="8" t="str">
        <f>IF(OR($A46="",$C46="",$D46="",$C46&gt;BA$6,$D46&lt;BA$9),"",IF($J46="里程碑","◆",""))</f>
        <v/>
      </c>
      <c r="BB46" s="8" t="str">
        <f>IF(OR($A46="",$C46="",$D46="",$C46&gt;BB$6,$D46&lt;BB$9),"",IF($J46="里程碑","◆",""))</f>
        <v/>
      </c>
      <c r="BC46" s="8" t="str">
        <f>IF(OR($A46="",$C46="",$D46="",$C46&gt;BC$6,$D46&lt;BC$9),"",IF($J46="里程碑","◆",""))</f>
        <v/>
      </c>
      <c r="BD46" s="8" t="str">
        <f>IF(OR($A46="",$C46="",$D46="",$C46&gt;BD$6,$D46&lt;BD$9),"",IF($J46="里程碑","◆",""))</f>
        <v/>
      </c>
      <c r="BE46" s="8" t="str">
        <f>IF(OR($A46="",$C46="",$D46="",$C46&gt;BE$6,$D46&lt;BE$9),"",IF($J46="里程碑","◆",""))</f>
        <v/>
      </c>
      <c r="BF46" s="8" t="str">
        <f>IF(OR($A46="",$C46="",$D46="",$C46&gt;BF$6,$D46&lt;BF$9),"",IF($J46="里程碑","◆",""))</f>
        <v/>
      </c>
      <c r="BG46" s="8" t="str">
        <f>IF(OR($A46="",$C46="",$D46="",$C46&gt;BG$6,$D46&lt;BG$9),"",IF($J46="里程碑","◆",""))</f>
        <v/>
      </c>
      <c r="BH46" s="8" t="str">
        <f>IF(OR($A46="",$C46="",$D46="",$C46&gt;BH$6,$D46&lt;BH$9),"",IF($J46="里程碑","◆",""))</f>
        <v/>
      </c>
      <c r="BI46" s="8" t="str">
        <f>IF(OR($A46="",$C46="",$D46="",$C46&gt;BI$6,$D46&lt;BI$9),"",IF($J46="里程碑","◆",""))</f>
        <v/>
      </c>
      <c r="BJ46" s="8" t="str">
        <f>IF(OR($A46="",$C46="",$D46="",$C46&gt;BJ$6,$D46&lt;BJ$9),"",IF($J46="里程碑","◆",""))</f>
        <v/>
      </c>
      <c r="BK46" s="8" t="str">
        <f>IF(OR($A46="",$C46="",$D46="",$C46&gt;BK$6,$D46&lt;BK$9),"",IF($J46="里程碑","◆",""))</f>
        <v/>
      </c>
      <c r="BL46" s="8" t="str">
        <f>IF(OR($A46="",$C46="",$D46="",$C46&gt;BL$6,$D46&lt;BL$9),"",IF($J46="里程碑","◆",""))</f>
        <v/>
      </c>
      <c r="BM46" s="8" t="str">
        <f>IF(OR($A46="",$C46="",$D46="",$C46&gt;BM$6,$D46&lt;BM$9),"",IF($J46="里程碑","◆",""))</f>
        <v/>
      </c>
      <c r="BN46" s="8" t="str">
        <f>IF(OR($A46="",$C46="",$D46="",$C46&gt;BN$6,$D46&lt;BN$9),"",IF($J46="里程碑","◆",""))</f>
        <v/>
      </c>
      <c r="BO46" s="8" t="str">
        <f>IF(OR($A46="",$C46="",$D46="",$C46&gt;BO$6,$D46&lt;BO$9),"",IF($J46="里程碑","◆",""))</f>
        <v/>
      </c>
      <c r="BP46" s="8" t="str">
        <f>IF(OR($A46="",$C46="",$D46="",$C46&gt;BP$6,$D46&lt;BP$9),"",IF($J46="里程碑","◆",""))</f>
        <v/>
      </c>
      <c r="BQ46" s="8" t="str">
        <f>IF(OR($A46="",$C46="",$D46="",$C46&gt;BQ$6,$D46&lt;BQ$9),"",IF($J46="里程碑","◆",""))</f>
        <v/>
      </c>
      <c r="BR46" s="8" t="str">
        <f>IF(OR($A46="",$C46="",$D46="",$C46&gt;BR$6,$D46&lt;BR$9),"",IF($J46="里程碑","◆",""))</f>
        <v/>
      </c>
      <c r="BS46" s="8" t="str">
        <f>IF(OR($A46="",$C46="",$D46="",$C46&gt;BS$6,$D46&lt;BS$9),"",IF($J46="里程碑","◆",""))</f>
        <v/>
      </c>
      <c r="BT46" s="8" t="str">
        <f>IF(OR($A46="",$C46="",$D46="",$C46&gt;BT$6,$D46&lt;BT$9),"",IF($J46="里程碑","◆",""))</f>
        <v/>
      </c>
      <c r="BU46" s="8" t="str">
        <f>IF(OR($A46="",$C46="",$D46="",$C46&gt;BU$6,$D46&lt;BU$9),"",IF($J46="里程碑","◆",""))</f>
        <v/>
      </c>
      <c r="BV46" s="8" t="str">
        <f>IF(OR($A46="",$C46="",$D46="",$C46&gt;BV$6,$D46&lt;BV$9),"",IF($J46="里程碑","◆",""))</f>
        <v/>
      </c>
      <c r="BW46" s="8" t="str">
        <f>IF(OR($A46="",$C46="",$D46="",$C46&gt;BW$6,$D46&lt;BW$9),"",IF($J46="里程碑","◆",""))</f>
        <v/>
      </c>
      <c r="BX46" s="8" t="str">
        <f>IF(OR($A46="",$C46="",$D46="",$C46&gt;BX$6,$D46&lt;BX$9),"",IF($J46="里程碑","◆",""))</f>
        <v/>
      </c>
      <c r="BY46" s="8" t="str">
        <f>IF(OR($A46="",$C46="",$D46="",$C46&gt;BY$6,$D46&lt;BY$9),"",IF($J46="里程碑","◆",""))</f>
        <v/>
      </c>
      <c r="BZ46" s="8" t="str">
        <f>IF(OR($A46="",$C46="",$D46="",$C46&gt;BZ$6,$D46&lt;BZ$9),"",IF($J46="里程碑","◆",""))</f>
        <v/>
      </c>
      <c r="CA46" s="8" t="str">
        <f>IF(OR($A46="",$C46="",$D46="",$C46&gt;CA$6,$D46&lt;CA$9),"",IF($J46="里程碑","◆",""))</f>
        <v/>
      </c>
      <c r="CB46" s="8" t="str">
        <f>IF(OR($A46="",$C46="",$D46="",$C46&gt;CB$6,$D46&lt;CB$9),"",IF($J46="里程碑","◆",""))</f>
        <v/>
      </c>
      <c r="CC46" s="8" t="str">
        <f>IF(OR($A46="",$C46="",$D46="",$C46&gt;CC$6,$D46&lt;CC$9),"",IF($J46="里程碑","◆",""))</f>
        <v/>
      </c>
      <c r="CD46" s="8" t="str">
        <f>IF(OR($A46="",$C46="",$D46="",$C46&gt;CD$6,$D46&lt;CD$9),"",IF($J46="里程碑","◆",""))</f>
        <v/>
      </c>
      <c r="CE46" s="8" t="str">
        <f>IF(OR($A46="",$C46="",$D46="",$C46&gt;CE$6,$D46&lt;CE$9),"",IF($J46="里程碑","◆",""))</f>
        <v/>
      </c>
      <c r="CF46" s="8" t="str">
        <f>IF(OR($A46="",$C46="",$D46="",$C46&gt;CF$6,$D46&lt;CF$9),"",IF($J46="里程碑","◆",""))</f>
        <v/>
      </c>
      <c r="CG46" s="8" t="str">
        <f>IF(OR($A46="",$C46="",$D46="",$C46&gt;CG$6,$D46&lt;CG$9),"",IF($J46="里程碑","◆",""))</f>
        <v/>
      </c>
      <c r="CH46" s="8" t="str">
        <f>IF(OR($A46="",$C46="",$D46="",$C46&gt;CH$6,$D46&lt;CH$9),"",IF($J46="里程碑","◆",""))</f>
        <v/>
      </c>
      <c r="CI46" s="8" t="str">
        <f>IF(OR($A46="",$C46="",$D46="",$C46&gt;CI$6,$D46&lt;CI$9),"",IF($J46="里程碑","◆",""))</f>
        <v/>
      </c>
      <c r="CJ46" s="8" t="str">
        <f>IF(OR($A46="",$C46="",$D46="",$C46&gt;CJ$6,$D46&lt;CJ$9),"",IF($J46="里程碑","◆",""))</f>
        <v/>
      </c>
      <c r="CK46" s="8" t="str">
        <f>IF(OR($A46="",$C46="",$D46="",$C46&gt;CK$6,$D46&lt;CK$9),"",IF($J46="里程碑","◆",""))</f>
        <v/>
      </c>
      <c r="CL46" s="8" t="str">
        <f>IF(OR($A46="",$C46="",$D46="",$C46&gt;CL$6,$D46&lt;CL$9),"",IF($J46="里程碑","◆",""))</f>
        <v/>
      </c>
      <c r="CM46" s="8" t="str">
        <f>IF(OR($A46="",$C46="",$D46="",$C46&gt;CM$6,$D46&lt;CM$9),"",IF($J46="里程碑","◆",""))</f>
        <v/>
      </c>
      <c r="CN46" s="8" t="str">
        <f>IF(OR($A46="",$C46="",$D46="",$C46&gt;CN$6,$D46&lt;CN$9),"",IF($J46="里程碑","◆",""))</f>
        <v/>
      </c>
      <c r="CO46" s="8" t="str">
        <f>IF(OR($A46="",$C46="",$D46="",$C46&gt;CO$6,$D46&lt;CO$9),"",IF($J46="里程碑","◆",""))</f>
        <v/>
      </c>
      <c r="CP46" s="8" t="str">
        <f>IF(OR($A46="",$C46="",$D46="",$C46&gt;CP$6,$D46&lt;CP$9),"",IF($J46="里程碑","◆",""))</f>
        <v/>
      </c>
      <c r="CQ46" s="8" t="str">
        <f>IF(OR($A46="",$C46="",$D46="",$C46&gt;CQ$6,$D46&lt;CQ$9),"",IF($J46="里程碑","◆",""))</f>
        <v/>
      </c>
      <c r="CR46" s="8" t="str">
        <f>IF(OR($A46="",$C46="",$D46="",$C46&gt;CR$6,$D46&lt;CR$9),"",IF($J46="里程碑","◆",""))</f>
        <v/>
      </c>
      <c r="CS46" s="8" t="str">
        <f>IF(OR($A46="",$C46="",$D46="",$C46&gt;CS$6,$D46&lt;CS$9),"",IF($J46="里程碑","◆",""))</f>
        <v/>
      </c>
      <c r="CT46" s="8" t="str">
        <f>IF(OR($A46="",$C46="",$D46="",$C46&gt;CT$6,$D46&lt;CT$9),"",IF($J46="里程碑","◆",""))</f>
        <v/>
      </c>
      <c r="CU46" s="8" t="str">
        <f>IF(OR($A46="",$C46="",$D46="",$C46&gt;CU$6,$D46&lt;CU$9),"",IF($J46="里程碑","◆",""))</f>
        <v/>
      </c>
      <c r="CV46" s="8" t="str">
        <f>IF(OR($A46="",$C46="",$D46="",$C46&gt;CV$6,$D46&lt;CV$9),"",IF($J46="里程碑","◆",""))</f>
        <v/>
      </c>
      <c r="CW46" s="8" t="str">
        <f>IF(OR($A46="",$C46="",$D46="",$C46&gt;CW$6,$D46&lt;CW$9),"",IF($J46="里程碑","◆",""))</f>
        <v/>
      </c>
      <c r="CX46" s="8" t="str">
        <f>IF(OR($A46="",$C46="",$D46="",$C46&gt;CX$6,$D46&lt;CX$9),"",IF($J46="里程碑","◆",""))</f>
        <v/>
      </c>
      <c r="CY46" s="8" t="str">
        <f>IF(OR($A46="",$C46="",$D46="",$C46&gt;CY$6,$D46&lt;CY$9),"",IF($J46="里程碑","◆",""))</f>
        <v/>
      </c>
      <c r="CZ46" s="8" t="str">
        <f>IF(OR($A46="",$C46="",$D46="",$C46&gt;CZ$6,$D46&lt;CZ$9),"",IF($J46="里程碑","◆",""))</f>
        <v/>
      </c>
      <c r="DA46" s="8" t="str">
        <f>IF(OR($A46="",$C46="",$D46="",$C46&gt;DA$6,$D46&lt;DA$9),"",IF($J46="里程碑","◆",""))</f>
        <v/>
      </c>
      <c r="DB46" s="8" t="str">
        <f>IF(OR($A46="",$C46="",$D46="",$C46&gt;DB$6,$D46&lt;DB$9),"",IF($J46="里程碑","◆",""))</f>
        <v/>
      </c>
      <c r="DC46" s="1" t="str">
        <f>IF(ROW()-9&gt;$DH$3,"",MATCH(ROW()-9,排期计算!$U$10:$U$109,0))</f>
        <v/>
      </c>
      <c r="DD46" s="1" t="str">
        <f>IF($DC46="","",INDEX(排期计算!$L$10:$L$109,$DC46))</f>
        <v/>
      </c>
      <c r="DE46" s="1"/>
      <c r="DF46" s="1"/>
      <c r="DG46" s="1"/>
      <c r="DH46" s="1"/>
      <c r="DI46" s="1"/>
      <c r="DJ46" s="1"/>
      <c r="DK46" s="1"/>
    </row>
    <row r="47" spans="1:115" ht="24.95" customHeight="1">
      <c r="A47" s="9" t="str">
        <f>IF($DC47="","",IF(AND(INDEX(排期计算!$A$10:$A$109,$DC47)="",NOT(ISNUMBER(INDEX(排期计算!$A$10:$A$109,$DC47)))),"",INDEX(排期计算!$A$10:$A$109,$DC47)))</f>
        <v/>
      </c>
      <c r="B47" s="1" t="str">
        <f>IF($DC47="","",REPT("　",$DD47-1)&amp;INDEX(排期计算!$B$10:$B$109,$DC47))</f>
        <v/>
      </c>
      <c r="C47" s="3" t="str">
        <f>IF($DC47="","",IF(AND(INDEX(排期计算!$M$10:$M$109,$DC47)="",NOT(ISNUMBER(INDEX(排期计算!$M$10:$M$109,$DC47)))),"",INDEX(排期计算!$M$10:$M$109,$DC47)))</f>
        <v/>
      </c>
      <c r="D47" s="3" t="str">
        <f>IF($DC47="","",IF(AND(INDEX(排期计算!$N$10:$N$109,$DC47)="",NOT(ISNUMBER(INDEX(排期计算!$N$10:$N$109,$DC47)))),"",INDEX(排期计算!$N$10:$N$109,$DC47)))</f>
        <v/>
      </c>
      <c r="E47" s="1" t="str">
        <f>IF(OR($C47="",$D47=""),"",IF($J47="里程碑",0,NETWORKDAYS($C47,$D47)))</f>
        <v/>
      </c>
      <c r="F47" s="7" t="str">
        <f>IF($DC47="","",IF(AND(INDEX(排期计算!$O$10:$O$109,$DC47)="",NOT(ISNUMBER(INDEX(排期计算!$O$10:$O$109,$DC47)))),"",INDEX(排期计算!$O$10:$O$109,$DC47)))</f>
        <v/>
      </c>
      <c r="G47" s="8" t="str">
        <f>IF($A47="","",IF(OR($C47="",$D47=""),"未排期",IF($F47&gt;=1,"已完成",IF($D47&lt;$B$4,"逾期",IF($C47&gt;$B$4,"未开始","进行中")))))</f>
        <v/>
      </c>
      <c r="H47" s="1" t="str">
        <f>IF($DC47="","",IF(AND(INDEX(排期计算!$C$10:$C$109,$DC47)="",NOT(ISNUMBER(INDEX(排期计算!$C$10:$C$109,$DC47)))),"",INDEX(排期计算!$C$10:$C$109,$DC47)))</f>
        <v/>
      </c>
      <c r="I47" s="1" t="str">
        <f>IF($DC47="","",IF(AND(INDEX(排期计算!$H$10:$H$109,$DC47)="",NOT(ISNUMBER(INDEX(排期计算!$H$10:$H$109,$DC47)))),"",INDEX(排期计算!$H$10:$H$109,$DC47)))</f>
        <v/>
      </c>
      <c r="J47" s="1" t="str">
        <f>IF($DC47="","",IF(AND(INDEX(排期计算!$K$10:$K$109,$DC47)="",NOT(ISNUMBER(INDEX(排期计算!$K$10:$K$109,$DC47)))),"",INDEX(排期计算!$K$10:$K$109,$DC47)))</f>
        <v/>
      </c>
      <c r="K47" s="8" t="str">
        <f>IF(OR($A47="",$C47="",$D47="",$C47&gt;K$6,$D47&lt;K$9),"",IF($J47="里程碑","◆",""))</f>
        <v/>
      </c>
      <c r="L47" s="8" t="str">
        <f>IF(OR($A47="",$C47="",$D47="",$C47&gt;L$6,$D47&lt;L$9),"",IF($J47="里程碑","◆",""))</f>
        <v/>
      </c>
      <c r="M47" s="8" t="str">
        <f>IF(OR($A47="",$C47="",$D47="",$C47&gt;M$6,$D47&lt;M$9),"",IF($J47="里程碑","◆",""))</f>
        <v/>
      </c>
      <c r="N47" s="8" t="str">
        <f>IF(OR($A47="",$C47="",$D47="",$C47&gt;N$6,$D47&lt;N$9),"",IF($J47="里程碑","◆",""))</f>
        <v/>
      </c>
      <c r="O47" s="8" t="str">
        <f>IF(OR($A47="",$C47="",$D47="",$C47&gt;O$6,$D47&lt;O$9),"",IF($J47="里程碑","◆",""))</f>
        <v/>
      </c>
      <c r="P47" s="8" t="str">
        <f>IF(OR($A47="",$C47="",$D47="",$C47&gt;P$6,$D47&lt;P$9),"",IF($J47="里程碑","◆",""))</f>
        <v/>
      </c>
      <c r="Q47" s="8" t="str">
        <f>IF(OR($A47="",$C47="",$D47="",$C47&gt;Q$6,$D47&lt;Q$9),"",IF($J47="里程碑","◆",""))</f>
        <v/>
      </c>
      <c r="R47" s="8" t="str">
        <f>IF(OR($A47="",$C47="",$D47="",$C47&gt;R$6,$D47&lt;R$9),"",IF($J47="里程碑","◆",""))</f>
        <v/>
      </c>
      <c r="S47" s="8" t="str">
        <f>IF(OR($A47="",$C47="",$D47="",$C47&gt;S$6,$D47&lt;S$9),"",IF($J47="里程碑","◆",""))</f>
        <v/>
      </c>
      <c r="T47" s="8" t="str">
        <f>IF(OR($A47="",$C47="",$D47="",$C47&gt;T$6,$D47&lt;T$9),"",IF($J47="里程碑","◆",""))</f>
        <v/>
      </c>
      <c r="U47" s="8" t="str">
        <f>IF(OR($A47="",$C47="",$D47="",$C47&gt;U$6,$D47&lt;U$9),"",IF($J47="里程碑","◆",""))</f>
        <v/>
      </c>
      <c r="V47" s="8" t="str">
        <f>IF(OR($A47="",$C47="",$D47="",$C47&gt;V$6,$D47&lt;V$9),"",IF($J47="里程碑","◆",""))</f>
        <v/>
      </c>
      <c r="W47" s="8" t="str">
        <f>IF(OR($A47="",$C47="",$D47="",$C47&gt;W$6,$D47&lt;W$9),"",IF($J47="里程碑","◆",""))</f>
        <v/>
      </c>
      <c r="X47" s="8" t="str">
        <f>IF(OR($A47="",$C47="",$D47="",$C47&gt;X$6,$D47&lt;X$9),"",IF($J47="里程碑","◆",""))</f>
        <v/>
      </c>
      <c r="Y47" s="8" t="str">
        <f>IF(OR($A47="",$C47="",$D47="",$C47&gt;Y$6,$D47&lt;Y$9),"",IF($J47="里程碑","◆",""))</f>
        <v/>
      </c>
      <c r="Z47" s="8" t="str">
        <f>IF(OR($A47="",$C47="",$D47="",$C47&gt;Z$6,$D47&lt;Z$9),"",IF($J47="里程碑","◆",""))</f>
        <v/>
      </c>
      <c r="AA47" s="8" t="str">
        <f>IF(OR($A47="",$C47="",$D47="",$C47&gt;AA$6,$D47&lt;AA$9),"",IF($J47="里程碑","◆",""))</f>
        <v/>
      </c>
      <c r="AB47" s="8" t="str">
        <f>IF(OR($A47="",$C47="",$D47="",$C47&gt;AB$6,$D47&lt;AB$9),"",IF($J47="里程碑","◆",""))</f>
        <v/>
      </c>
      <c r="AC47" s="8" t="str">
        <f>IF(OR($A47="",$C47="",$D47="",$C47&gt;AC$6,$D47&lt;AC$9),"",IF($J47="里程碑","◆",""))</f>
        <v/>
      </c>
      <c r="AD47" s="8" t="str">
        <f>IF(OR($A47="",$C47="",$D47="",$C47&gt;AD$6,$D47&lt;AD$9),"",IF($J47="里程碑","◆",""))</f>
        <v/>
      </c>
      <c r="AE47" s="8" t="str">
        <f>IF(OR($A47="",$C47="",$D47="",$C47&gt;AE$6,$D47&lt;AE$9),"",IF($J47="里程碑","◆",""))</f>
        <v/>
      </c>
      <c r="AF47" s="8" t="str">
        <f>IF(OR($A47="",$C47="",$D47="",$C47&gt;AF$6,$D47&lt;AF$9),"",IF($J47="里程碑","◆",""))</f>
        <v/>
      </c>
      <c r="AG47" s="8" t="str">
        <f>IF(OR($A47="",$C47="",$D47="",$C47&gt;AG$6,$D47&lt;AG$9),"",IF($J47="里程碑","◆",""))</f>
        <v/>
      </c>
      <c r="AH47" s="8" t="str">
        <f>IF(OR($A47="",$C47="",$D47="",$C47&gt;AH$6,$D47&lt;AH$9),"",IF($J47="里程碑","◆",""))</f>
        <v/>
      </c>
      <c r="AI47" s="8" t="str">
        <f>IF(OR($A47="",$C47="",$D47="",$C47&gt;AI$6,$D47&lt;AI$9),"",IF($J47="里程碑","◆",""))</f>
        <v/>
      </c>
      <c r="AJ47" s="8" t="str">
        <f>IF(OR($A47="",$C47="",$D47="",$C47&gt;AJ$6,$D47&lt;AJ$9),"",IF($J47="里程碑","◆",""))</f>
        <v/>
      </c>
      <c r="AK47" s="8" t="str">
        <f>IF(OR($A47="",$C47="",$D47="",$C47&gt;AK$6,$D47&lt;AK$9),"",IF($J47="里程碑","◆",""))</f>
        <v/>
      </c>
      <c r="AL47" s="8" t="str">
        <f>IF(OR($A47="",$C47="",$D47="",$C47&gt;AL$6,$D47&lt;AL$9),"",IF($J47="里程碑","◆",""))</f>
        <v/>
      </c>
      <c r="AM47" s="8" t="str">
        <f>IF(OR($A47="",$C47="",$D47="",$C47&gt;AM$6,$D47&lt;AM$9),"",IF($J47="里程碑","◆",""))</f>
        <v/>
      </c>
      <c r="AN47" s="8" t="str">
        <f>IF(OR($A47="",$C47="",$D47="",$C47&gt;AN$6,$D47&lt;AN$9),"",IF($J47="里程碑","◆",""))</f>
        <v/>
      </c>
      <c r="AO47" s="8" t="str">
        <f>IF(OR($A47="",$C47="",$D47="",$C47&gt;AO$6,$D47&lt;AO$9),"",IF($J47="里程碑","◆",""))</f>
        <v/>
      </c>
      <c r="AP47" s="8" t="str">
        <f>IF(OR($A47="",$C47="",$D47="",$C47&gt;AP$6,$D47&lt;AP$9),"",IF($J47="里程碑","◆",""))</f>
        <v/>
      </c>
      <c r="AQ47" s="8" t="str">
        <f>IF(OR($A47="",$C47="",$D47="",$C47&gt;AQ$6,$D47&lt;AQ$9),"",IF($J47="里程碑","◆",""))</f>
        <v/>
      </c>
      <c r="AR47" s="8" t="str">
        <f>IF(OR($A47="",$C47="",$D47="",$C47&gt;AR$6,$D47&lt;AR$9),"",IF($J47="里程碑","◆",""))</f>
        <v/>
      </c>
      <c r="AS47" s="8" t="str">
        <f>IF(OR($A47="",$C47="",$D47="",$C47&gt;AS$6,$D47&lt;AS$9),"",IF($J47="里程碑","◆",""))</f>
        <v/>
      </c>
      <c r="AT47" s="8" t="str">
        <f>IF(OR($A47="",$C47="",$D47="",$C47&gt;AT$6,$D47&lt;AT$9),"",IF($J47="里程碑","◆",""))</f>
        <v/>
      </c>
      <c r="AU47" s="8" t="str">
        <f>IF(OR($A47="",$C47="",$D47="",$C47&gt;AU$6,$D47&lt;AU$9),"",IF($J47="里程碑","◆",""))</f>
        <v/>
      </c>
      <c r="AV47" s="8" t="str">
        <f>IF(OR($A47="",$C47="",$D47="",$C47&gt;AV$6,$D47&lt;AV$9),"",IF($J47="里程碑","◆",""))</f>
        <v/>
      </c>
      <c r="AW47" s="8" t="str">
        <f>IF(OR($A47="",$C47="",$D47="",$C47&gt;AW$6,$D47&lt;AW$9),"",IF($J47="里程碑","◆",""))</f>
        <v/>
      </c>
      <c r="AX47" s="8" t="str">
        <f>IF(OR($A47="",$C47="",$D47="",$C47&gt;AX$6,$D47&lt;AX$9),"",IF($J47="里程碑","◆",""))</f>
        <v/>
      </c>
      <c r="AY47" s="8" t="str">
        <f>IF(OR($A47="",$C47="",$D47="",$C47&gt;AY$6,$D47&lt;AY$9),"",IF($J47="里程碑","◆",""))</f>
        <v/>
      </c>
      <c r="AZ47" s="8" t="str">
        <f>IF(OR($A47="",$C47="",$D47="",$C47&gt;AZ$6,$D47&lt;AZ$9),"",IF($J47="里程碑","◆",""))</f>
        <v/>
      </c>
      <c r="BA47" s="8" t="str">
        <f>IF(OR($A47="",$C47="",$D47="",$C47&gt;BA$6,$D47&lt;BA$9),"",IF($J47="里程碑","◆",""))</f>
        <v/>
      </c>
      <c r="BB47" s="8" t="str">
        <f>IF(OR($A47="",$C47="",$D47="",$C47&gt;BB$6,$D47&lt;BB$9),"",IF($J47="里程碑","◆",""))</f>
        <v/>
      </c>
      <c r="BC47" s="8" t="str">
        <f>IF(OR($A47="",$C47="",$D47="",$C47&gt;BC$6,$D47&lt;BC$9),"",IF($J47="里程碑","◆",""))</f>
        <v/>
      </c>
      <c r="BD47" s="8" t="str">
        <f>IF(OR($A47="",$C47="",$D47="",$C47&gt;BD$6,$D47&lt;BD$9),"",IF($J47="里程碑","◆",""))</f>
        <v/>
      </c>
      <c r="BE47" s="8" t="str">
        <f>IF(OR($A47="",$C47="",$D47="",$C47&gt;BE$6,$D47&lt;BE$9),"",IF($J47="里程碑","◆",""))</f>
        <v/>
      </c>
      <c r="BF47" s="8" t="str">
        <f>IF(OR($A47="",$C47="",$D47="",$C47&gt;BF$6,$D47&lt;BF$9),"",IF($J47="里程碑","◆",""))</f>
        <v/>
      </c>
      <c r="BG47" s="8" t="str">
        <f>IF(OR($A47="",$C47="",$D47="",$C47&gt;BG$6,$D47&lt;BG$9),"",IF($J47="里程碑","◆",""))</f>
        <v/>
      </c>
      <c r="BH47" s="8" t="str">
        <f>IF(OR($A47="",$C47="",$D47="",$C47&gt;BH$6,$D47&lt;BH$9),"",IF($J47="里程碑","◆",""))</f>
        <v/>
      </c>
      <c r="BI47" s="8" t="str">
        <f>IF(OR($A47="",$C47="",$D47="",$C47&gt;BI$6,$D47&lt;BI$9),"",IF($J47="里程碑","◆",""))</f>
        <v/>
      </c>
      <c r="BJ47" s="8" t="str">
        <f>IF(OR($A47="",$C47="",$D47="",$C47&gt;BJ$6,$D47&lt;BJ$9),"",IF($J47="里程碑","◆",""))</f>
        <v/>
      </c>
      <c r="BK47" s="8" t="str">
        <f>IF(OR($A47="",$C47="",$D47="",$C47&gt;BK$6,$D47&lt;BK$9),"",IF($J47="里程碑","◆",""))</f>
        <v/>
      </c>
      <c r="BL47" s="8" t="str">
        <f>IF(OR($A47="",$C47="",$D47="",$C47&gt;BL$6,$D47&lt;BL$9),"",IF($J47="里程碑","◆",""))</f>
        <v/>
      </c>
      <c r="BM47" s="8" t="str">
        <f>IF(OR($A47="",$C47="",$D47="",$C47&gt;BM$6,$D47&lt;BM$9),"",IF($J47="里程碑","◆",""))</f>
        <v/>
      </c>
      <c r="BN47" s="8" t="str">
        <f>IF(OR($A47="",$C47="",$D47="",$C47&gt;BN$6,$D47&lt;BN$9),"",IF($J47="里程碑","◆",""))</f>
        <v/>
      </c>
      <c r="BO47" s="8" t="str">
        <f>IF(OR($A47="",$C47="",$D47="",$C47&gt;BO$6,$D47&lt;BO$9),"",IF($J47="里程碑","◆",""))</f>
        <v/>
      </c>
      <c r="BP47" s="8" t="str">
        <f>IF(OR($A47="",$C47="",$D47="",$C47&gt;BP$6,$D47&lt;BP$9),"",IF($J47="里程碑","◆",""))</f>
        <v/>
      </c>
      <c r="BQ47" s="8" t="str">
        <f>IF(OR($A47="",$C47="",$D47="",$C47&gt;BQ$6,$D47&lt;BQ$9),"",IF($J47="里程碑","◆",""))</f>
        <v/>
      </c>
      <c r="BR47" s="8" t="str">
        <f>IF(OR($A47="",$C47="",$D47="",$C47&gt;BR$6,$D47&lt;BR$9),"",IF($J47="里程碑","◆",""))</f>
        <v/>
      </c>
      <c r="BS47" s="8" t="str">
        <f>IF(OR($A47="",$C47="",$D47="",$C47&gt;BS$6,$D47&lt;BS$9),"",IF($J47="里程碑","◆",""))</f>
        <v/>
      </c>
      <c r="BT47" s="8" t="str">
        <f>IF(OR($A47="",$C47="",$D47="",$C47&gt;BT$6,$D47&lt;BT$9),"",IF($J47="里程碑","◆",""))</f>
        <v/>
      </c>
      <c r="BU47" s="8" t="str">
        <f>IF(OR($A47="",$C47="",$D47="",$C47&gt;BU$6,$D47&lt;BU$9),"",IF($J47="里程碑","◆",""))</f>
        <v/>
      </c>
      <c r="BV47" s="8" t="str">
        <f>IF(OR($A47="",$C47="",$D47="",$C47&gt;BV$6,$D47&lt;BV$9),"",IF($J47="里程碑","◆",""))</f>
        <v/>
      </c>
      <c r="BW47" s="8" t="str">
        <f>IF(OR($A47="",$C47="",$D47="",$C47&gt;BW$6,$D47&lt;BW$9),"",IF($J47="里程碑","◆",""))</f>
        <v/>
      </c>
      <c r="BX47" s="8" t="str">
        <f>IF(OR($A47="",$C47="",$D47="",$C47&gt;BX$6,$D47&lt;BX$9),"",IF($J47="里程碑","◆",""))</f>
        <v/>
      </c>
      <c r="BY47" s="8" t="str">
        <f>IF(OR($A47="",$C47="",$D47="",$C47&gt;BY$6,$D47&lt;BY$9),"",IF($J47="里程碑","◆",""))</f>
        <v/>
      </c>
      <c r="BZ47" s="8" t="str">
        <f>IF(OR($A47="",$C47="",$D47="",$C47&gt;BZ$6,$D47&lt;BZ$9),"",IF($J47="里程碑","◆",""))</f>
        <v/>
      </c>
      <c r="CA47" s="8" t="str">
        <f>IF(OR($A47="",$C47="",$D47="",$C47&gt;CA$6,$D47&lt;CA$9),"",IF($J47="里程碑","◆",""))</f>
        <v/>
      </c>
      <c r="CB47" s="8" t="str">
        <f>IF(OR($A47="",$C47="",$D47="",$C47&gt;CB$6,$D47&lt;CB$9),"",IF($J47="里程碑","◆",""))</f>
        <v/>
      </c>
      <c r="CC47" s="8" t="str">
        <f>IF(OR($A47="",$C47="",$D47="",$C47&gt;CC$6,$D47&lt;CC$9),"",IF($J47="里程碑","◆",""))</f>
        <v/>
      </c>
      <c r="CD47" s="8" t="str">
        <f>IF(OR($A47="",$C47="",$D47="",$C47&gt;CD$6,$D47&lt;CD$9),"",IF($J47="里程碑","◆",""))</f>
        <v/>
      </c>
      <c r="CE47" s="8" t="str">
        <f>IF(OR($A47="",$C47="",$D47="",$C47&gt;CE$6,$D47&lt;CE$9),"",IF($J47="里程碑","◆",""))</f>
        <v/>
      </c>
      <c r="CF47" s="8" t="str">
        <f>IF(OR($A47="",$C47="",$D47="",$C47&gt;CF$6,$D47&lt;CF$9),"",IF($J47="里程碑","◆",""))</f>
        <v/>
      </c>
      <c r="CG47" s="8" t="str">
        <f>IF(OR($A47="",$C47="",$D47="",$C47&gt;CG$6,$D47&lt;CG$9),"",IF($J47="里程碑","◆",""))</f>
        <v/>
      </c>
      <c r="CH47" s="8" t="str">
        <f>IF(OR($A47="",$C47="",$D47="",$C47&gt;CH$6,$D47&lt;CH$9),"",IF($J47="里程碑","◆",""))</f>
        <v/>
      </c>
      <c r="CI47" s="8" t="str">
        <f>IF(OR($A47="",$C47="",$D47="",$C47&gt;CI$6,$D47&lt;CI$9),"",IF($J47="里程碑","◆",""))</f>
        <v/>
      </c>
      <c r="CJ47" s="8" t="str">
        <f>IF(OR($A47="",$C47="",$D47="",$C47&gt;CJ$6,$D47&lt;CJ$9),"",IF($J47="里程碑","◆",""))</f>
        <v/>
      </c>
      <c r="CK47" s="8" t="str">
        <f>IF(OR($A47="",$C47="",$D47="",$C47&gt;CK$6,$D47&lt;CK$9),"",IF($J47="里程碑","◆",""))</f>
        <v/>
      </c>
      <c r="CL47" s="8" t="str">
        <f>IF(OR($A47="",$C47="",$D47="",$C47&gt;CL$6,$D47&lt;CL$9),"",IF($J47="里程碑","◆",""))</f>
        <v/>
      </c>
      <c r="CM47" s="8" t="str">
        <f>IF(OR($A47="",$C47="",$D47="",$C47&gt;CM$6,$D47&lt;CM$9),"",IF($J47="里程碑","◆",""))</f>
        <v/>
      </c>
      <c r="CN47" s="8" t="str">
        <f>IF(OR($A47="",$C47="",$D47="",$C47&gt;CN$6,$D47&lt;CN$9),"",IF($J47="里程碑","◆",""))</f>
        <v/>
      </c>
      <c r="CO47" s="8" t="str">
        <f>IF(OR($A47="",$C47="",$D47="",$C47&gt;CO$6,$D47&lt;CO$9),"",IF($J47="里程碑","◆",""))</f>
        <v/>
      </c>
      <c r="CP47" s="8" t="str">
        <f>IF(OR($A47="",$C47="",$D47="",$C47&gt;CP$6,$D47&lt;CP$9),"",IF($J47="里程碑","◆",""))</f>
        <v/>
      </c>
      <c r="CQ47" s="8" t="str">
        <f>IF(OR($A47="",$C47="",$D47="",$C47&gt;CQ$6,$D47&lt;CQ$9),"",IF($J47="里程碑","◆",""))</f>
        <v/>
      </c>
      <c r="CR47" s="8" t="str">
        <f>IF(OR($A47="",$C47="",$D47="",$C47&gt;CR$6,$D47&lt;CR$9),"",IF($J47="里程碑","◆",""))</f>
        <v/>
      </c>
      <c r="CS47" s="8" t="str">
        <f>IF(OR($A47="",$C47="",$D47="",$C47&gt;CS$6,$D47&lt;CS$9),"",IF($J47="里程碑","◆",""))</f>
        <v/>
      </c>
      <c r="CT47" s="8" t="str">
        <f>IF(OR($A47="",$C47="",$D47="",$C47&gt;CT$6,$D47&lt;CT$9),"",IF($J47="里程碑","◆",""))</f>
        <v/>
      </c>
      <c r="CU47" s="8" t="str">
        <f>IF(OR($A47="",$C47="",$D47="",$C47&gt;CU$6,$D47&lt;CU$9),"",IF($J47="里程碑","◆",""))</f>
        <v/>
      </c>
      <c r="CV47" s="8" t="str">
        <f>IF(OR($A47="",$C47="",$D47="",$C47&gt;CV$6,$D47&lt;CV$9),"",IF($J47="里程碑","◆",""))</f>
        <v/>
      </c>
      <c r="CW47" s="8" t="str">
        <f>IF(OR($A47="",$C47="",$D47="",$C47&gt;CW$6,$D47&lt;CW$9),"",IF($J47="里程碑","◆",""))</f>
        <v/>
      </c>
      <c r="CX47" s="8" t="str">
        <f>IF(OR($A47="",$C47="",$D47="",$C47&gt;CX$6,$D47&lt;CX$9),"",IF($J47="里程碑","◆",""))</f>
        <v/>
      </c>
      <c r="CY47" s="8" t="str">
        <f>IF(OR($A47="",$C47="",$D47="",$C47&gt;CY$6,$D47&lt;CY$9),"",IF($J47="里程碑","◆",""))</f>
        <v/>
      </c>
      <c r="CZ47" s="8" t="str">
        <f>IF(OR($A47="",$C47="",$D47="",$C47&gt;CZ$6,$D47&lt;CZ$9),"",IF($J47="里程碑","◆",""))</f>
        <v/>
      </c>
      <c r="DA47" s="8" t="str">
        <f>IF(OR($A47="",$C47="",$D47="",$C47&gt;DA$6,$D47&lt;DA$9),"",IF($J47="里程碑","◆",""))</f>
        <v/>
      </c>
      <c r="DB47" s="8" t="str">
        <f>IF(OR($A47="",$C47="",$D47="",$C47&gt;DB$6,$D47&lt;DB$9),"",IF($J47="里程碑","◆",""))</f>
        <v/>
      </c>
      <c r="DC47" s="1" t="str">
        <f>IF(ROW()-9&gt;$DH$3,"",MATCH(ROW()-9,排期计算!$U$10:$U$109,0))</f>
        <v/>
      </c>
      <c r="DD47" s="1" t="str">
        <f>IF($DC47="","",INDEX(排期计算!$L$10:$L$109,$DC47))</f>
        <v/>
      </c>
      <c r="DE47" s="1"/>
      <c r="DF47" s="1"/>
      <c r="DG47" s="1"/>
      <c r="DH47" s="1"/>
      <c r="DI47" s="1"/>
      <c r="DJ47" s="1"/>
      <c r="DK47" s="1"/>
    </row>
    <row r="48" spans="1:115" ht="24.95" customHeight="1">
      <c r="A48" s="9" t="str">
        <f>IF($DC48="","",IF(AND(INDEX(排期计算!$A$10:$A$109,$DC48)="",NOT(ISNUMBER(INDEX(排期计算!$A$10:$A$109,$DC48)))),"",INDEX(排期计算!$A$10:$A$109,$DC48)))</f>
        <v/>
      </c>
      <c r="B48" s="1" t="str">
        <f>IF($DC48="","",REPT("　",$DD48-1)&amp;INDEX(排期计算!$B$10:$B$109,$DC48))</f>
        <v/>
      </c>
      <c r="C48" s="3" t="str">
        <f>IF($DC48="","",IF(AND(INDEX(排期计算!$M$10:$M$109,$DC48)="",NOT(ISNUMBER(INDEX(排期计算!$M$10:$M$109,$DC48)))),"",INDEX(排期计算!$M$10:$M$109,$DC48)))</f>
        <v/>
      </c>
      <c r="D48" s="3" t="str">
        <f>IF($DC48="","",IF(AND(INDEX(排期计算!$N$10:$N$109,$DC48)="",NOT(ISNUMBER(INDEX(排期计算!$N$10:$N$109,$DC48)))),"",INDEX(排期计算!$N$10:$N$109,$DC48)))</f>
        <v/>
      </c>
      <c r="E48" s="1" t="str">
        <f>IF(OR($C48="",$D48=""),"",IF($J48="里程碑",0,NETWORKDAYS($C48,$D48)))</f>
        <v/>
      </c>
      <c r="F48" s="7" t="str">
        <f>IF($DC48="","",IF(AND(INDEX(排期计算!$O$10:$O$109,$DC48)="",NOT(ISNUMBER(INDEX(排期计算!$O$10:$O$109,$DC48)))),"",INDEX(排期计算!$O$10:$O$109,$DC48)))</f>
        <v/>
      </c>
      <c r="G48" s="8" t="str">
        <f>IF($A48="","",IF(OR($C48="",$D48=""),"未排期",IF($F48&gt;=1,"已完成",IF($D48&lt;$B$4,"逾期",IF($C48&gt;$B$4,"未开始","进行中")))))</f>
        <v/>
      </c>
      <c r="H48" s="1" t="str">
        <f>IF($DC48="","",IF(AND(INDEX(排期计算!$C$10:$C$109,$DC48)="",NOT(ISNUMBER(INDEX(排期计算!$C$10:$C$109,$DC48)))),"",INDEX(排期计算!$C$10:$C$109,$DC48)))</f>
        <v/>
      </c>
      <c r="I48" s="1" t="str">
        <f>IF($DC48="","",IF(AND(INDEX(排期计算!$H$10:$H$109,$DC48)="",NOT(ISNUMBER(INDEX(排期计算!$H$10:$H$109,$DC48)))),"",INDEX(排期计算!$H$10:$H$109,$DC48)))</f>
        <v/>
      </c>
      <c r="J48" s="1" t="str">
        <f>IF($DC48="","",IF(AND(INDEX(排期计算!$K$10:$K$109,$DC48)="",NOT(ISNUMBER(INDEX(排期计算!$K$10:$K$109,$DC48)))),"",INDEX(排期计算!$K$10:$K$109,$DC48)))</f>
        <v/>
      </c>
      <c r="K48" s="8" t="str">
        <f>IF(OR($A48="",$C48="",$D48="",$C48&gt;K$6,$D48&lt;K$9),"",IF($J48="里程碑","◆",""))</f>
        <v/>
      </c>
      <c r="L48" s="8" t="str">
        <f>IF(OR($A48="",$C48="",$D48="",$C48&gt;L$6,$D48&lt;L$9),"",IF($J48="里程碑","◆",""))</f>
        <v/>
      </c>
      <c r="M48" s="8" t="str">
        <f>IF(OR($A48="",$C48="",$D48="",$C48&gt;M$6,$D48&lt;M$9),"",IF($J48="里程碑","◆",""))</f>
        <v/>
      </c>
      <c r="N48" s="8" t="str">
        <f>IF(OR($A48="",$C48="",$D48="",$C48&gt;N$6,$D48&lt;N$9),"",IF($J48="里程碑","◆",""))</f>
        <v/>
      </c>
      <c r="O48" s="8" t="str">
        <f>IF(OR($A48="",$C48="",$D48="",$C48&gt;O$6,$D48&lt;O$9),"",IF($J48="里程碑","◆",""))</f>
        <v/>
      </c>
      <c r="P48" s="8" t="str">
        <f>IF(OR($A48="",$C48="",$D48="",$C48&gt;P$6,$D48&lt;P$9),"",IF($J48="里程碑","◆",""))</f>
        <v/>
      </c>
      <c r="Q48" s="8" t="str">
        <f>IF(OR($A48="",$C48="",$D48="",$C48&gt;Q$6,$D48&lt;Q$9),"",IF($J48="里程碑","◆",""))</f>
        <v/>
      </c>
      <c r="R48" s="8" t="str">
        <f>IF(OR($A48="",$C48="",$D48="",$C48&gt;R$6,$D48&lt;R$9),"",IF($J48="里程碑","◆",""))</f>
        <v/>
      </c>
      <c r="S48" s="8" t="str">
        <f>IF(OR($A48="",$C48="",$D48="",$C48&gt;S$6,$D48&lt;S$9),"",IF($J48="里程碑","◆",""))</f>
        <v/>
      </c>
      <c r="T48" s="8" t="str">
        <f>IF(OR($A48="",$C48="",$D48="",$C48&gt;T$6,$D48&lt;T$9),"",IF($J48="里程碑","◆",""))</f>
        <v/>
      </c>
      <c r="U48" s="8" t="str">
        <f>IF(OR($A48="",$C48="",$D48="",$C48&gt;U$6,$D48&lt;U$9),"",IF($J48="里程碑","◆",""))</f>
        <v/>
      </c>
      <c r="V48" s="8" t="str">
        <f>IF(OR($A48="",$C48="",$D48="",$C48&gt;V$6,$D48&lt;V$9),"",IF($J48="里程碑","◆",""))</f>
        <v/>
      </c>
      <c r="W48" s="8" t="str">
        <f>IF(OR($A48="",$C48="",$D48="",$C48&gt;W$6,$D48&lt;W$9),"",IF($J48="里程碑","◆",""))</f>
        <v/>
      </c>
      <c r="X48" s="8" t="str">
        <f>IF(OR($A48="",$C48="",$D48="",$C48&gt;X$6,$D48&lt;X$9),"",IF($J48="里程碑","◆",""))</f>
        <v/>
      </c>
      <c r="Y48" s="8" t="str">
        <f>IF(OR($A48="",$C48="",$D48="",$C48&gt;Y$6,$D48&lt;Y$9),"",IF($J48="里程碑","◆",""))</f>
        <v/>
      </c>
      <c r="Z48" s="8" t="str">
        <f>IF(OR($A48="",$C48="",$D48="",$C48&gt;Z$6,$D48&lt;Z$9),"",IF($J48="里程碑","◆",""))</f>
        <v/>
      </c>
      <c r="AA48" s="8" t="str">
        <f>IF(OR($A48="",$C48="",$D48="",$C48&gt;AA$6,$D48&lt;AA$9),"",IF($J48="里程碑","◆",""))</f>
        <v/>
      </c>
      <c r="AB48" s="8" t="str">
        <f>IF(OR($A48="",$C48="",$D48="",$C48&gt;AB$6,$D48&lt;AB$9),"",IF($J48="里程碑","◆",""))</f>
        <v/>
      </c>
      <c r="AC48" s="8" t="str">
        <f>IF(OR($A48="",$C48="",$D48="",$C48&gt;AC$6,$D48&lt;AC$9),"",IF($J48="里程碑","◆",""))</f>
        <v/>
      </c>
      <c r="AD48" s="8" t="str">
        <f>IF(OR($A48="",$C48="",$D48="",$C48&gt;AD$6,$D48&lt;AD$9),"",IF($J48="里程碑","◆",""))</f>
        <v/>
      </c>
      <c r="AE48" s="8" t="str">
        <f>IF(OR($A48="",$C48="",$D48="",$C48&gt;AE$6,$D48&lt;AE$9),"",IF($J48="里程碑","◆",""))</f>
        <v/>
      </c>
      <c r="AF48" s="8" t="str">
        <f>IF(OR($A48="",$C48="",$D48="",$C48&gt;AF$6,$D48&lt;AF$9),"",IF($J48="里程碑","◆",""))</f>
        <v/>
      </c>
      <c r="AG48" s="8" t="str">
        <f>IF(OR($A48="",$C48="",$D48="",$C48&gt;AG$6,$D48&lt;AG$9),"",IF($J48="里程碑","◆",""))</f>
        <v/>
      </c>
      <c r="AH48" s="8" t="str">
        <f>IF(OR($A48="",$C48="",$D48="",$C48&gt;AH$6,$D48&lt;AH$9),"",IF($J48="里程碑","◆",""))</f>
        <v/>
      </c>
      <c r="AI48" s="8" t="str">
        <f>IF(OR($A48="",$C48="",$D48="",$C48&gt;AI$6,$D48&lt;AI$9),"",IF($J48="里程碑","◆",""))</f>
        <v/>
      </c>
      <c r="AJ48" s="8" t="str">
        <f>IF(OR($A48="",$C48="",$D48="",$C48&gt;AJ$6,$D48&lt;AJ$9),"",IF($J48="里程碑","◆",""))</f>
        <v/>
      </c>
      <c r="AK48" s="8" t="str">
        <f>IF(OR($A48="",$C48="",$D48="",$C48&gt;AK$6,$D48&lt;AK$9),"",IF($J48="里程碑","◆",""))</f>
        <v/>
      </c>
      <c r="AL48" s="8" t="str">
        <f>IF(OR($A48="",$C48="",$D48="",$C48&gt;AL$6,$D48&lt;AL$9),"",IF($J48="里程碑","◆",""))</f>
        <v/>
      </c>
      <c r="AM48" s="8" t="str">
        <f>IF(OR($A48="",$C48="",$D48="",$C48&gt;AM$6,$D48&lt;AM$9),"",IF($J48="里程碑","◆",""))</f>
        <v/>
      </c>
      <c r="AN48" s="8" t="str">
        <f>IF(OR($A48="",$C48="",$D48="",$C48&gt;AN$6,$D48&lt;AN$9),"",IF($J48="里程碑","◆",""))</f>
        <v/>
      </c>
      <c r="AO48" s="8" t="str">
        <f>IF(OR($A48="",$C48="",$D48="",$C48&gt;AO$6,$D48&lt;AO$9),"",IF($J48="里程碑","◆",""))</f>
        <v/>
      </c>
      <c r="AP48" s="8" t="str">
        <f>IF(OR($A48="",$C48="",$D48="",$C48&gt;AP$6,$D48&lt;AP$9),"",IF($J48="里程碑","◆",""))</f>
        <v/>
      </c>
      <c r="AQ48" s="8" t="str">
        <f>IF(OR($A48="",$C48="",$D48="",$C48&gt;AQ$6,$D48&lt;AQ$9),"",IF($J48="里程碑","◆",""))</f>
        <v/>
      </c>
      <c r="AR48" s="8" t="str">
        <f>IF(OR($A48="",$C48="",$D48="",$C48&gt;AR$6,$D48&lt;AR$9),"",IF($J48="里程碑","◆",""))</f>
        <v/>
      </c>
      <c r="AS48" s="8" t="str">
        <f>IF(OR($A48="",$C48="",$D48="",$C48&gt;AS$6,$D48&lt;AS$9),"",IF($J48="里程碑","◆",""))</f>
        <v/>
      </c>
      <c r="AT48" s="8" t="str">
        <f>IF(OR($A48="",$C48="",$D48="",$C48&gt;AT$6,$D48&lt;AT$9),"",IF($J48="里程碑","◆",""))</f>
        <v/>
      </c>
      <c r="AU48" s="8" t="str">
        <f>IF(OR($A48="",$C48="",$D48="",$C48&gt;AU$6,$D48&lt;AU$9),"",IF($J48="里程碑","◆",""))</f>
        <v/>
      </c>
      <c r="AV48" s="8" t="str">
        <f>IF(OR($A48="",$C48="",$D48="",$C48&gt;AV$6,$D48&lt;AV$9),"",IF($J48="里程碑","◆",""))</f>
        <v/>
      </c>
      <c r="AW48" s="8" t="str">
        <f>IF(OR($A48="",$C48="",$D48="",$C48&gt;AW$6,$D48&lt;AW$9),"",IF($J48="里程碑","◆",""))</f>
        <v/>
      </c>
      <c r="AX48" s="8" t="str">
        <f>IF(OR($A48="",$C48="",$D48="",$C48&gt;AX$6,$D48&lt;AX$9),"",IF($J48="里程碑","◆",""))</f>
        <v/>
      </c>
      <c r="AY48" s="8" t="str">
        <f>IF(OR($A48="",$C48="",$D48="",$C48&gt;AY$6,$D48&lt;AY$9),"",IF($J48="里程碑","◆",""))</f>
        <v/>
      </c>
      <c r="AZ48" s="8" t="str">
        <f>IF(OR($A48="",$C48="",$D48="",$C48&gt;AZ$6,$D48&lt;AZ$9),"",IF($J48="里程碑","◆",""))</f>
        <v/>
      </c>
      <c r="BA48" s="8" t="str">
        <f>IF(OR($A48="",$C48="",$D48="",$C48&gt;BA$6,$D48&lt;BA$9),"",IF($J48="里程碑","◆",""))</f>
        <v/>
      </c>
      <c r="BB48" s="8" t="str">
        <f>IF(OR($A48="",$C48="",$D48="",$C48&gt;BB$6,$D48&lt;BB$9),"",IF($J48="里程碑","◆",""))</f>
        <v/>
      </c>
      <c r="BC48" s="8" t="str">
        <f>IF(OR($A48="",$C48="",$D48="",$C48&gt;BC$6,$D48&lt;BC$9),"",IF($J48="里程碑","◆",""))</f>
        <v/>
      </c>
      <c r="BD48" s="8" t="str">
        <f>IF(OR($A48="",$C48="",$D48="",$C48&gt;BD$6,$D48&lt;BD$9),"",IF($J48="里程碑","◆",""))</f>
        <v/>
      </c>
      <c r="BE48" s="8" t="str">
        <f>IF(OR($A48="",$C48="",$D48="",$C48&gt;BE$6,$D48&lt;BE$9),"",IF($J48="里程碑","◆",""))</f>
        <v/>
      </c>
      <c r="BF48" s="8" t="str">
        <f>IF(OR($A48="",$C48="",$D48="",$C48&gt;BF$6,$D48&lt;BF$9),"",IF($J48="里程碑","◆",""))</f>
        <v/>
      </c>
      <c r="BG48" s="8" t="str">
        <f>IF(OR($A48="",$C48="",$D48="",$C48&gt;BG$6,$D48&lt;BG$9),"",IF($J48="里程碑","◆",""))</f>
        <v/>
      </c>
      <c r="BH48" s="8" t="str">
        <f>IF(OR($A48="",$C48="",$D48="",$C48&gt;BH$6,$D48&lt;BH$9),"",IF($J48="里程碑","◆",""))</f>
        <v/>
      </c>
      <c r="BI48" s="8" t="str">
        <f>IF(OR($A48="",$C48="",$D48="",$C48&gt;BI$6,$D48&lt;BI$9),"",IF($J48="里程碑","◆",""))</f>
        <v/>
      </c>
      <c r="BJ48" s="8" t="str">
        <f>IF(OR($A48="",$C48="",$D48="",$C48&gt;BJ$6,$D48&lt;BJ$9),"",IF($J48="里程碑","◆",""))</f>
        <v/>
      </c>
      <c r="BK48" s="8" t="str">
        <f>IF(OR($A48="",$C48="",$D48="",$C48&gt;BK$6,$D48&lt;BK$9),"",IF($J48="里程碑","◆",""))</f>
        <v/>
      </c>
      <c r="BL48" s="8" t="str">
        <f>IF(OR($A48="",$C48="",$D48="",$C48&gt;BL$6,$D48&lt;BL$9),"",IF($J48="里程碑","◆",""))</f>
        <v/>
      </c>
      <c r="BM48" s="8" t="str">
        <f>IF(OR($A48="",$C48="",$D48="",$C48&gt;BM$6,$D48&lt;BM$9),"",IF($J48="里程碑","◆",""))</f>
        <v/>
      </c>
      <c r="BN48" s="8" t="str">
        <f>IF(OR($A48="",$C48="",$D48="",$C48&gt;BN$6,$D48&lt;BN$9),"",IF($J48="里程碑","◆",""))</f>
        <v/>
      </c>
      <c r="BO48" s="8" t="str">
        <f>IF(OR($A48="",$C48="",$D48="",$C48&gt;BO$6,$D48&lt;BO$9),"",IF($J48="里程碑","◆",""))</f>
        <v/>
      </c>
      <c r="BP48" s="8" t="str">
        <f>IF(OR($A48="",$C48="",$D48="",$C48&gt;BP$6,$D48&lt;BP$9),"",IF($J48="里程碑","◆",""))</f>
        <v/>
      </c>
      <c r="BQ48" s="8" t="str">
        <f>IF(OR($A48="",$C48="",$D48="",$C48&gt;BQ$6,$D48&lt;BQ$9),"",IF($J48="里程碑","◆",""))</f>
        <v/>
      </c>
      <c r="BR48" s="8" t="str">
        <f>IF(OR($A48="",$C48="",$D48="",$C48&gt;BR$6,$D48&lt;BR$9),"",IF($J48="里程碑","◆",""))</f>
        <v/>
      </c>
      <c r="BS48" s="8" t="str">
        <f>IF(OR($A48="",$C48="",$D48="",$C48&gt;BS$6,$D48&lt;BS$9),"",IF($J48="里程碑","◆",""))</f>
        <v/>
      </c>
      <c r="BT48" s="8" t="str">
        <f>IF(OR($A48="",$C48="",$D48="",$C48&gt;BT$6,$D48&lt;BT$9),"",IF($J48="里程碑","◆",""))</f>
        <v/>
      </c>
      <c r="BU48" s="8" t="str">
        <f>IF(OR($A48="",$C48="",$D48="",$C48&gt;BU$6,$D48&lt;BU$9),"",IF($J48="里程碑","◆",""))</f>
        <v/>
      </c>
      <c r="BV48" s="8" t="str">
        <f>IF(OR($A48="",$C48="",$D48="",$C48&gt;BV$6,$D48&lt;BV$9),"",IF($J48="里程碑","◆",""))</f>
        <v/>
      </c>
      <c r="BW48" s="8" t="str">
        <f>IF(OR($A48="",$C48="",$D48="",$C48&gt;BW$6,$D48&lt;BW$9),"",IF($J48="里程碑","◆",""))</f>
        <v/>
      </c>
      <c r="BX48" s="8" t="str">
        <f>IF(OR($A48="",$C48="",$D48="",$C48&gt;BX$6,$D48&lt;BX$9),"",IF($J48="里程碑","◆",""))</f>
        <v/>
      </c>
      <c r="BY48" s="8" t="str">
        <f>IF(OR($A48="",$C48="",$D48="",$C48&gt;BY$6,$D48&lt;BY$9),"",IF($J48="里程碑","◆",""))</f>
        <v/>
      </c>
      <c r="BZ48" s="8" t="str">
        <f>IF(OR($A48="",$C48="",$D48="",$C48&gt;BZ$6,$D48&lt;BZ$9),"",IF($J48="里程碑","◆",""))</f>
        <v/>
      </c>
      <c r="CA48" s="8" t="str">
        <f>IF(OR($A48="",$C48="",$D48="",$C48&gt;CA$6,$D48&lt;CA$9),"",IF($J48="里程碑","◆",""))</f>
        <v/>
      </c>
      <c r="CB48" s="8" t="str">
        <f>IF(OR($A48="",$C48="",$D48="",$C48&gt;CB$6,$D48&lt;CB$9),"",IF($J48="里程碑","◆",""))</f>
        <v/>
      </c>
      <c r="CC48" s="8" t="str">
        <f>IF(OR($A48="",$C48="",$D48="",$C48&gt;CC$6,$D48&lt;CC$9),"",IF($J48="里程碑","◆",""))</f>
        <v/>
      </c>
      <c r="CD48" s="8" t="str">
        <f>IF(OR($A48="",$C48="",$D48="",$C48&gt;CD$6,$D48&lt;CD$9),"",IF($J48="里程碑","◆",""))</f>
        <v/>
      </c>
      <c r="CE48" s="8" t="str">
        <f>IF(OR($A48="",$C48="",$D48="",$C48&gt;CE$6,$D48&lt;CE$9),"",IF($J48="里程碑","◆",""))</f>
        <v/>
      </c>
      <c r="CF48" s="8" t="str">
        <f>IF(OR($A48="",$C48="",$D48="",$C48&gt;CF$6,$D48&lt;CF$9),"",IF($J48="里程碑","◆",""))</f>
        <v/>
      </c>
      <c r="CG48" s="8" t="str">
        <f>IF(OR($A48="",$C48="",$D48="",$C48&gt;CG$6,$D48&lt;CG$9),"",IF($J48="里程碑","◆",""))</f>
        <v/>
      </c>
      <c r="CH48" s="8" t="str">
        <f>IF(OR($A48="",$C48="",$D48="",$C48&gt;CH$6,$D48&lt;CH$9),"",IF($J48="里程碑","◆",""))</f>
        <v/>
      </c>
      <c r="CI48" s="8" t="str">
        <f>IF(OR($A48="",$C48="",$D48="",$C48&gt;CI$6,$D48&lt;CI$9),"",IF($J48="里程碑","◆",""))</f>
        <v/>
      </c>
      <c r="CJ48" s="8" t="str">
        <f>IF(OR($A48="",$C48="",$D48="",$C48&gt;CJ$6,$D48&lt;CJ$9),"",IF($J48="里程碑","◆",""))</f>
        <v/>
      </c>
      <c r="CK48" s="8" t="str">
        <f>IF(OR($A48="",$C48="",$D48="",$C48&gt;CK$6,$D48&lt;CK$9),"",IF($J48="里程碑","◆",""))</f>
        <v/>
      </c>
      <c r="CL48" s="8" t="str">
        <f>IF(OR($A48="",$C48="",$D48="",$C48&gt;CL$6,$D48&lt;CL$9),"",IF($J48="里程碑","◆",""))</f>
        <v/>
      </c>
      <c r="CM48" s="8" t="str">
        <f>IF(OR($A48="",$C48="",$D48="",$C48&gt;CM$6,$D48&lt;CM$9),"",IF($J48="里程碑","◆",""))</f>
        <v/>
      </c>
      <c r="CN48" s="8" t="str">
        <f>IF(OR($A48="",$C48="",$D48="",$C48&gt;CN$6,$D48&lt;CN$9),"",IF($J48="里程碑","◆",""))</f>
        <v/>
      </c>
      <c r="CO48" s="8" t="str">
        <f>IF(OR($A48="",$C48="",$D48="",$C48&gt;CO$6,$D48&lt;CO$9),"",IF($J48="里程碑","◆",""))</f>
        <v/>
      </c>
      <c r="CP48" s="8" t="str">
        <f>IF(OR($A48="",$C48="",$D48="",$C48&gt;CP$6,$D48&lt;CP$9),"",IF($J48="里程碑","◆",""))</f>
        <v/>
      </c>
      <c r="CQ48" s="8" t="str">
        <f>IF(OR($A48="",$C48="",$D48="",$C48&gt;CQ$6,$D48&lt;CQ$9),"",IF($J48="里程碑","◆",""))</f>
        <v/>
      </c>
      <c r="CR48" s="8" t="str">
        <f>IF(OR($A48="",$C48="",$D48="",$C48&gt;CR$6,$D48&lt;CR$9),"",IF($J48="里程碑","◆",""))</f>
        <v/>
      </c>
      <c r="CS48" s="8" t="str">
        <f>IF(OR($A48="",$C48="",$D48="",$C48&gt;CS$6,$D48&lt;CS$9),"",IF($J48="里程碑","◆",""))</f>
        <v/>
      </c>
      <c r="CT48" s="8" t="str">
        <f>IF(OR($A48="",$C48="",$D48="",$C48&gt;CT$6,$D48&lt;CT$9),"",IF($J48="里程碑","◆",""))</f>
        <v/>
      </c>
      <c r="CU48" s="8" t="str">
        <f>IF(OR($A48="",$C48="",$D48="",$C48&gt;CU$6,$D48&lt;CU$9),"",IF($J48="里程碑","◆",""))</f>
        <v/>
      </c>
      <c r="CV48" s="8" t="str">
        <f>IF(OR($A48="",$C48="",$D48="",$C48&gt;CV$6,$D48&lt;CV$9),"",IF($J48="里程碑","◆",""))</f>
        <v/>
      </c>
      <c r="CW48" s="8" t="str">
        <f>IF(OR($A48="",$C48="",$D48="",$C48&gt;CW$6,$D48&lt;CW$9),"",IF($J48="里程碑","◆",""))</f>
        <v/>
      </c>
      <c r="CX48" s="8" t="str">
        <f>IF(OR($A48="",$C48="",$D48="",$C48&gt;CX$6,$D48&lt;CX$9),"",IF($J48="里程碑","◆",""))</f>
        <v/>
      </c>
      <c r="CY48" s="8" t="str">
        <f>IF(OR($A48="",$C48="",$D48="",$C48&gt;CY$6,$D48&lt;CY$9),"",IF($J48="里程碑","◆",""))</f>
        <v/>
      </c>
      <c r="CZ48" s="8" t="str">
        <f>IF(OR($A48="",$C48="",$D48="",$C48&gt;CZ$6,$D48&lt;CZ$9),"",IF($J48="里程碑","◆",""))</f>
        <v/>
      </c>
      <c r="DA48" s="8" t="str">
        <f>IF(OR($A48="",$C48="",$D48="",$C48&gt;DA$6,$D48&lt;DA$9),"",IF($J48="里程碑","◆",""))</f>
        <v/>
      </c>
      <c r="DB48" s="8" t="str">
        <f>IF(OR($A48="",$C48="",$D48="",$C48&gt;DB$6,$D48&lt;DB$9),"",IF($J48="里程碑","◆",""))</f>
        <v/>
      </c>
      <c r="DC48" s="1" t="str">
        <f>IF(ROW()-9&gt;$DH$3,"",MATCH(ROW()-9,排期计算!$U$10:$U$109,0))</f>
        <v/>
      </c>
      <c r="DD48" s="1" t="str">
        <f>IF($DC48="","",INDEX(排期计算!$L$10:$L$109,$DC48))</f>
        <v/>
      </c>
      <c r="DE48" s="1"/>
      <c r="DF48" s="1"/>
      <c r="DG48" s="1"/>
      <c r="DH48" s="1"/>
      <c r="DI48" s="1"/>
      <c r="DJ48" s="1"/>
      <c r="DK48" s="1"/>
    </row>
    <row r="49" spans="1:115" ht="24.95" customHeight="1">
      <c r="A49" s="9" t="str">
        <f>IF($DC49="","",IF(AND(INDEX(排期计算!$A$10:$A$109,$DC49)="",NOT(ISNUMBER(INDEX(排期计算!$A$10:$A$109,$DC49)))),"",INDEX(排期计算!$A$10:$A$109,$DC49)))</f>
        <v/>
      </c>
      <c r="B49" s="1" t="str">
        <f>IF($DC49="","",REPT("　",$DD49-1)&amp;INDEX(排期计算!$B$10:$B$109,$DC49))</f>
        <v/>
      </c>
      <c r="C49" s="3" t="str">
        <f>IF($DC49="","",IF(AND(INDEX(排期计算!$M$10:$M$109,$DC49)="",NOT(ISNUMBER(INDEX(排期计算!$M$10:$M$109,$DC49)))),"",INDEX(排期计算!$M$10:$M$109,$DC49)))</f>
        <v/>
      </c>
      <c r="D49" s="3" t="str">
        <f>IF($DC49="","",IF(AND(INDEX(排期计算!$N$10:$N$109,$DC49)="",NOT(ISNUMBER(INDEX(排期计算!$N$10:$N$109,$DC49)))),"",INDEX(排期计算!$N$10:$N$109,$DC49)))</f>
        <v/>
      </c>
      <c r="E49" s="1" t="str">
        <f>IF(OR($C49="",$D49=""),"",IF($J49="里程碑",0,NETWORKDAYS($C49,$D49)))</f>
        <v/>
      </c>
      <c r="F49" s="7" t="str">
        <f>IF($DC49="","",IF(AND(INDEX(排期计算!$O$10:$O$109,$DC49)="",NOT(ISNUMBER(INDEX(排期计算!$O$10:$O$109,$DC49)))),"",INDEX(排期计算!$O$10:$O$109,$DC49)))</f>
        <v/>
      </c>
      <c r="G49" s="8" t="str">
        <f>IF($A49="","",IF(OR($C49="",$D49=""),"未排期",IF($F49&gt;=1,"已完成",IF($D49&lt;$B$4,"逾期",IF($C49&gt;$B$4,"未开始","进行中")))))</f>
        <v/>
      </c>
      <c r="H49" s="1" t="str">
        <f>IF($DC49="","",IF(AND(INDEX(排期计算!$C$10:$C$109,$DC49)="",NOT(ISNUMBER(INDEX(排期计算!$C$10:$C$109,$DC49)))),"",INDEX(排期计算!$C$10:$C$109,$DC49)))</f>
        <v/>
      </c>
      <c r="I49" s="1" t="str">
        <f>IF($DC49="","",IF(AND(INDEX(排期计算!$H$10:$H$109,$DC49)="",NOT(ISNUMBER(INDEX(排期计算!$H$10:$H$109,$DC49)))),"",INDEX(排期计算!$H$10:$H$109,$DC49)))</f>
        <v/>
      </c>
      <c r="J49" s="1" t="str">
        <f>IF($DC49="","",IF(AND(INDEX(排期计算!$K$10:$K$109,$DC49)="",NOT(ISNUMBER(INDEX(排期计算!$K$10:$K$109,$DC49)))),"",INDEX(排期计算!$K$10:$K$109,$DC49)))</f>
        <v/>
      </c>
      <c r="K49" s="8" t="str">
        <f>IF(OR($A49="",$C49="",$D49="",$C49&gt;K$6,$D49&lt;K$9),"",IF($J49="里程碑","◆",""))</f>
        <v/>
      </c>
      <c r="L49" s="8" t="str">
        <f>IF(OR($A49="",$C49="",$D49="",$C49&gt;L$6,$D49&lt;L$9),"",IF($J49="里程碑","◆",""))</f>
        <v/>
      </c>
      <c r="M49" s="8" t="str">
        <f>IF(OR($A49="",$C49="",$D49="",$C49&gt;M$6,$D49&lt;M$9),"",IF($J49="里程碑","◆",""))</f>
        <v/>
      </c>
      <c r="N49" s="8" t="str">
        <f>IF(OR($A49="",$C49="",$D49="",$C49&gt;N$6,$D49&lt;N$9),"",IF($J49="里程碑","◆",""))</f>
        <v/>
      </c>
      <c r="O49" s="8" t="str">
        <f>IF(OR($A49="",$C49="",$D49="",$C49&gt;O$6,$D49&lt;O$9),"",IF($J49="里程碑","◆",""))</f>
        <v/>
      </c>
      <c r="P49" s="8" t="str">
        <f>IF(OR($A49="",$C49="",$D49="",$C49&gt;P$6,$D49&lt;P$9),"",IF($J49="里程碑","◆",""))</f>
        <v/>
      </c>
      <c r="Q49" s="8" t="str">
        <f>IF(OR($A49="",$C49="",$D49="",$C49&gt;Q$6,$D49&lt;Q$9),"",IF($J49="里程碑","◆",""))</f>
        <v/>
      </c>
      <c r="R49" s="8" t="str">
        <f>IF(OR($A49="",$C49="",$D49="",$C49&gt;R$6,$D49&lt;R$9),"",IF($J49="里程碑","◆",""))</f>
        <v/>
      </c>
      <c r="S49" s="8" t="str">
        <f>IF(OR($A49="",$C49="",$D49="",$C49&gt;S$6,$D49&lt;S$9),"",IF($J49="里程碑","◆",""))</f>
        <v/>
      </c>
      <c r="T49" s="8" t="str">
        <f>IF(OR($A49="",$C49="",$D49="",$C49&gt;T$6,$D49&lt;T$9),"",IF($J49="里程碑","◆",""))</f>
        <v/>
      </c>
      <c r="U49" s="8" t="str">
        <f>IF(OR($A49="",$C49="",$D49="",$C49&gt;U$6,$D49&lt;U$9),"",IF($J49="里程碑","◆",""))</f>
        <v/>
      </c>
      <c r="V49" s="8" t="str">
        <f>IF(OR($A49="",$C49="",$D49="",$C49&gt;V$6,$D49&lt;V$9),"",IF($J49="里程碑","◆",""))</f>
        <v/>
      </c>
      <c r="W49" s="8" t="str">
        <f>IF(OR($A49="",$C49="",$D49="",$C49&gt;W$6,$D49&lt;W$9),"",IF($J49="里程碑","◆",""))</f>
        <v/>
      </c>
      <c r="X49" s="8" t="str">
        <f>IF(OR($A49="",$C49="",$D49="",$C49&gt;X$6,$D49&lt;X$9),"",IF($J49="里程碑","◆",""))</f>
        <v/>
      </c>
      <c r="Y49" s="8" t="str">
        <f>IF(OR($A49="",$C49="",$D49="",$C49&gt;Y$6,$D49&lt;Y$9),"",IF($J49="里程碑","◆",""))</f>
        <v/>
      </c>
      <c r="Z49" s="8" t="str">
        <f>IF(OR($A49="",$C49="",$D49="",$C49&gt;Z$6,$D49&lt;Z$9),"",IF($J49="里程碑","◆",""))</f>
        <v/>
      </c>
      <c r="AA49" s="8" t="str">
        <f>IF(OR($A49="",$C49="",$D49="",$C49&gt;AA$6,$D49&lt;AA$9),"",IF($J49="里程碑","◆",""))</f>
        <v/>
      </c>
      <c r="AB49" s="8" t="str">
        <f>IF(OR($A49="",$C49="",$D49="",$C49&gt;AB$6,$D49&lt;AB$9),"",IF($J49="里程碑","◆",""))</f>
        <v/>
      </c>
      <c r="AC49" s="8" t="str">
        <f>IF(OR($A49="",$C49="",$D49="",$C49&gt;AC$6,$D49&lt;AC$9),"",IF($J49="里程碑","◆",""))</f>
        <v/>
      </c>
      <c r="AD49" s="8" t="str">
        <f>IF(OR($A49="",$C49="",$D49="",$C49&gt;AD$6,$D49&lt;AD$9),"",IF($J49="里程碑","◆",""))</f>
        <v/>
      </c>
      <c r="AE49" s="8" t="str">
        <f>IF(OR($A49="",$C49="",$D49="",$C49&gt;AE$6,$D49&lt;AE$9),"",IF($J49="里程碑","◆",""))</f>
        <v/>
      </c>
      <c r="AF49" s="8" t="str">
        <f>IF(OR($A49="",$C49="",$D49="",$C49&gt;AF$6,$D49&lt;AF$9),"",IF($J49="里程碑","◆",""))</f>
        <v/>
      </c>
      <c r="AG49" s="8" t="str">
        <f>IF(OR($A49="",$C49="",$D49="",$C49&gt;AG$6,$D49&lt;AG$9),"",IF($J49="里程碑","◆",""))</f>
        <v/>
      </c>
      <c r="AH49" s="8" t="str">
        <f>IF(OR($A49="",$C49="",$D49="",$C49&gt;AH$6,$D49&lt;AH$9),"",IF($J49="里程碑","◆",""))</f>
        <v/>
      </c>
      <c r="AI49" s="8" t="str">
        <f>IF(OR($A49="",$C49="",$D49="",$C49&gt;AI$6,$D49&lt;AI$9),"",IF($J49="里程碑","◆",""))</f>
        <v/>
      </c>
      <c r="AJ49" s="8" t="str">
        <f>IF(OR($A49="",$C49="",$D49="",$C49&gt;AJ$6,$D49&lt;AJ$9),"",IF($J49="里程碑","◆",""))</f>
        <v/>
      </c>
      <c r="AK49" s="8" t="str">
        <f>IF(OR($A49="",$C49="",$D49="",$C49&gt;AK$6,$D49&lt;AK$9),"",IF($J49="里程碑","◆",""))</f>
        <v/>
      </c>
      <c r="AL49" s="8" t="str">
        <f>IF(OR($A49="",$C49="",$D49="",$C49&gt;AL$6,$D49&lt;AL$9),"",IF($J49="里程碑","◆",""))</f>
        <v/>
      </c>
      <c r="AM49" s="8" t="str">
        <f>IF(OR($A49="",$C49="",$D49="",$C49&gt;AM$6,$D49&lt;AM$9),"",IF($J49="里程碑","◆",""))</f>
        <v/>
      </c>
      <c r="AN49" s="8" t="str">
        <f>IF(OR($A49="",$C49="",$D49="",$C49&gt;AN$6,$D49&lt;AN$9),"",IF($J49="里程碑","◆",""))</f>
        <v/>
      </c>
      <c r="AO49" s="8" t="str">
        <f>IF(OR($A49="",$C49="",$D49="",$C49&gt;AO$6,$D49&lt;AO$9),"",IF($J49="里程碑","◆",""))</f>
        <v/>
      </c>
      <c r="AP49" s="8" t="str">
        <f>IF(OR($A49="",$C49="",$D49="",$C49&gt;AP$6,$D49&lt;AP$9),"",IF($J49="里程碑","◆",""))</f>
        <v/>
      </c>
      <c r="AQ49" s="8" t="str">
        <f>IF(OR($A49="",$C49="",$D49="",$C49&gt;AQ$6,$D49&lt;AQ$9),"",IF($J49="里程碑","◆",""))</f>
        <v/>
      </c>
      <c r="AR49" s="8" t="str">
        <f>IF(OR($A49="",$C49="",$D49="",$C49&gt;AR$6,$D49&lt;AR$9),"",IF($J49="里程碑","◆",""))</f>
        <v/>
      </c>
      <c r="AS49" s="8" t="str">
        <f>IF(OR($A49="",$C49="",$D49="",$C49&gt;AS$6,$D49&lt;AS$9),"",IF($J49="里程碑","◆",""))</f>
        <v/>
      </c>
      <c r="AT49" s="8" t="str">
        <f>IF(OR($A49="",$C49="",$D49="",$C49&gt;AT$6,$D49&lt;AT$9),"",IF($J49="里程碑","◆",""))</f>
        <v/>
      </c>
      <c r="AU49" s="8" t="str">
        <f>IF(OR($A49="",$C49="",$D49="",$C49&gt;AU$6,$D49&lt;AU$9),"",IF($J49="里程碑","◆",""))</f>
        <v/>
      </c>
      <c r="AV49" s="8" t="str">
        <f>IF(OR($A49="",$C49="",$D49="",$C49&gt;AV$6,$D49&lt;AV$9),"",IF($J49="里程碑","◆",""))</f>
        <v/>
      </c>
      <c r="AW49" s="8" t="str">
        <f>IF(OR($A49="",$C49="",$D49="",$C49&gt;AW$6,$D49&lt;AW$9),"",IF($J49="里程碑","◆",""))</f>
        <v/>
      </c>
      <c r="AX49" s="8" t="str">
        <f>IF(OR($A49="",$C49="",$D49="",$C49&gt;AX$6,$D49&lt;AX$9),"",IF($J49="里程碑","◆",""))</f>
        <v/>
      </c>
      <c r="AY49" s="8" t="str">
        <f>IF(OR($A49="",$C49="",$D49="",$C49&gt;AY$6,$D49&lt;AY$9),"",IF($J49="里程碑","◆",""))</f>
        <v/>
      </c>
      <c r="AZ49" s="8" t="str">
        <f>IF(OR($A49="",$C49="",$D49="",$C49&gt;AZ$6,$D49&lt;AZ$9),"",IF($J49="里程碑","◆",""))</f>
        <v/>
      </c>
      <c r="BA49" s="8" t="str">
        <f>IF(OR($A49="",$C49="",$D49="",$C49&gt;BA$6,$D49&lt;BA$9),"",IF($J49="里程碑","◆",""))</f>
        <v/>
      </c>
      <c r="BB49" s="8" t="str">
        <f>IF(OR($A49="",$C49="",$D49="",$C49&gt;BB$6,$D49&lt;BB$9),"",IF($J49="里程碑","◆",""))</f>
        <v/>
      </c>
      <c r="BC49" s="8" t="str">
        <f>IF(OR($A49="",$C49="",$D49="",$C49&gt;BC$6,$D49&lt;BC$9),"",IF($J49="里程碑","◆",""))</f>
        <v/>
      </c>
      <c r="BD49" s="8" t="str">
        <f>IF(OR($A49="",$C49="",$D49="",$C49&gt;BD$6,$D49&lt;BD$9),"",IF($J49="里程碑","◆",""))</f>
        <v/>
      </c>
      <c r="BE49" s="8" t="str">
        <f>IF(OR($A49="",$C49="",$D49="",$C49&gt;BE$6,$D49&lt;BE$9),"",IF($J49="里程碑","◆",""))</f>
        <v/>
      </c>
      <c r="BF49" s="8" t="str">
        <f>IF(OR($A49="",$C49="",$D49="",$C49&gt;BF$6,$D49&lt;BF$9),"",IF($J49="里程碑","◆",""))</f>
        <v/>
      </c>
      <c r="BG49" s="8" t="str">
        <f>IF(OR($A49="",$C49="",$D49="",$C49&gt;BG$6,$D49&lt;BG$9),"",IF($J49="里程碑","◆",""))</f>
        <v/>
      </c>
      <c r="BH49" s="8" t="str">
        <f>IF(OR($A49="",$C49="",$D49="",$C49&gt;BH$6,$D49&lt;BH$9),"",IF($J49="里程碑","◆",""))</f>
        <v/>
      </c>
      <c r="BI49" s="8" t="str">
        <f>IF(OR($A49="",$C49="",$D49="",$C49&gt;BI$6,$D49&lt;BI$9),"",IF($J49="里程碑","◆",""))</f>
        <v/>
      </c>
      <c r="BJ49" s="8" t="str">
        <f>IF(OR($A49="",$C49="",$D49="",$C49&gt;BJ$6,$D49&lt;BJ$9),"",IF($J49="里程碑","◆",""))</f>
        <v/>
      </c>
      <c r="BK49" s="8" t="str">
        <f>IF(OR($A49="",$C49="",$D49="",$C49&gt;BK$6,$D49&lt;BK$9),"",IF($J49="里程碑","◆",""))</f>
        <v/>
      </c>
      <c r="BL49" s="8" t="str">
        <f>IF(OR($A49="",$C49="",$D49="",$C49&gt;BL$6,$D49&lt;BL$9),"",IF($J49="里程碑","◆",""))</f>
        <v/>
      </c>
      <c r="BM49" s="8" t="str">
        <f>IF(OR($A49="",$C49="",$D49="",$C49&gt;BM$6,$D49&lt;BM$9),"",IF($J49="里程碑","◆",""))</f>
        <v/>
      </c>
      <c r="BN49" s="8" t="str">
        <f>IF(OR($A49="",$C49="",$D49="",$C49&gt;BN$6,$D49&lt;BN$9),"",IF($J49="里程碑","◆",""))</f>
        <v/>
      </c>
      <c r="BO49" s="8" t="str">
        <f>IF(OR($A49="",$C49="",$D49="",$C49&gt;BO$6,$D49&lt;BO$9),"",IF($J49="里程碑","◆",""))</f>
        <v/>
      </c>
      <c r="BP49" s="8" t="str">
        <f>IF(OR($A49="",$C49="",$D49="",$C49&gt;BP$6,$D49&lt;BP$9),"",IF($J49="里程碑","◆",""))</f>
        <v/>
      </c>
      <c r="BQ49" s="8" t="str">
        <f>IF(OR($A49="",$C49="",$D49="",$C49&gt;BQ$6,$D49&lt;BQ$9),"",IF($J49="里程碑","◆",""))</f>
        <v/>
      </c>
      <c r="BR49" s="8" t="str">
        <f>IF(OR($A49="",$C49="",$D49="",$C49&gt;BR$6,$D49&lt;BR$9),"",IF($J49="里程碑","◆",""))</f>
        <v/>
      </c>
      <c r="BS49" s="8" t="str">
        <f>IF(OR($A49="",$C49="",$D49="",$C49&gt;BS$6,$D49&lt;BS$9),"",IF($J49="里程碑","◆",""))</f>
        <v/>
      </c>
      <c r="BT49" s="8" t="str">
        <f>IF(OR($A49="",$C49="",$D49="",$C49&gt;BT$6,$D49&lt;BT$9),"",IF($J49="里程碑","◆",""))</f>
        <v/>
      </c>
      <c r="BU49" s="8" t="str">
        <f>IF(OR($A49="",$C49="",$D49="",$C49&gt;BU$6,$D49&lt;BU$9),"",IF($J49="里程碑","◆",""))</f>
        <v/>
      </c>
      <c r="BV49" s="8" t="str">
        <f>IF(OR($A49="",$C49="",$D49="",$C49&gt;BV$6,$D49&lt;BV$9),"",IF($J49="里程碑","◆",""))</f>
        <v/>
      </c>
      <c r="BW49" s="8" t="str">
        <f>IF(OR($A49="",$C49="",$D49="",$C49&gt;BW$6,$D49&lt;BW$9),"",IF($J49="里程碑","◆",""))</f>
        <v/>
      </c>
      <c r="BX49" s="8" t="str">
        <f>IF(OR($A49="",$C49="",$D49="",$C49&gt;BX$6,$D49&lt;BX$9),"",IF($J49="里程碑","◆",""))</f>
        <v/>
      </c>
      <c r="BY49" s="8" t="str">
        <f>IF(OR($A49="",$C49="",$D49="",$C49&gt;BY$6,$D49&lt;BY$9),"",IF($J49="里程碑","◆",""))</f>
        <v/>
      </c>
      <c r="BZ49" s="8" t="str">
        <f>IF(OR($A49="",$C49="",$D49="",$C49&gt;BZ$6,$D49&lt;BZ$9),"",IF($J49="里程碑","◆",""))</f>
        <v/>
      </c>
      <c r="CA49" s="8" t="str">
        <f>IF(OR($A49="",$C49="",$D49="",$C49&gt;CA$6,$D49&lt;CA$9),"",IF($J49="里程碑","◆",""))</f>
        <v/>
      </c>
      <c r="CB49" s="8" t="str">
        <f>IF(OR($A49="",$C49="",$D49="",$C49&gt;CB$6,$D49&lt;CB$9),"",IF($J49="里程碑","◆",""))</f>
        <v/>
      </c>
      <c r="CC49" s="8" t="str">
        <f>IF(OR($A49="",$C49="",$D49="",$C49&gt;CC$6,$D49&lt;CC$9),"",IF($J49="里程碑","◆",""))</f>
        <v/>
      </c>
      <c r="CD49" s="8" t="str">
        <f>IF(OR($A49="",$C49="",$D49="",$C49&gt;CD$6,$D49&lt;CD$9),"",IF($J49="里程碑","◆",""))</f>
        <v/>
      </c>
      <c r="CE49" s="8" t="str">
        <f>IF(OR($A49="",$C49="",$D49="",$C49&gt;CE$6,$D49&lt;CE$9),"",IF($J49="里程碑","◆",""))</f>
        <v/>
      </c>
      <c r="CF49" s="8" t="str">
        <f>IF(OR($A49="",$C49="",$D49="",$C49&gt;CF$6,$D49&lt;CF$9),"",IF($J49="里程碑","◆",""))</f>
        <v/>
      </c>
      <c r="CG49" s="8" t="str">
        <f>IF(OR($A49="",$C49="",$D49="",$C49&gt;CG$6,$D49&lt;CG$9),"",IF($J49="里程碑","◆",""))</f>
        <v/>
      </c>
      <c r="CH49" s="8" t="str">
        <f>IF(OR($A49="",$C49="",$D49="",$C49&gt;CH$6,$D49&lt;CH$9),"",IF($J49="里程碑","◆",""))</f>
        <v/>
      </c>
      <c r="CI49" s="8" t="str">
        <f>IF(OR($A49="",$C49="",$D49="",$C49&gt;CI$6,$D49&lt;CI$9),"",IF($J49="里程碑","◆",""))</f>
        <v/>
      </c>
      <c r="CJ49" s="8" t="str">
        <f>IF(OR($A49="",$C49="",$D49="",$C49&gt;CJ$6,$D49&lt;CJ$9),"",IF($J49="里程碑","◆",""))</f>
        <v/>
      </c>
      <c r="CK49" s="8" t="str">
        <f>IF(OR($A49="",$C49="",$D49="",$C49&gt;CK$6,$D49&lt;CK$9),"",IF($J49="里程碑","◆",""))</f>
        <v/>
      </c>
      <c r="CL49" s="8" t="str">
        <f>IF(OR($A49="",$C49="",$D49="",$C49&gt;CL$6,$D49&lt;CL$9),"",IF($J49="里程碑","◆",""))</f>
        <v/>
      </c>
      <c r="CM49" s="8" t="str">
        <f>IF(OR($A49="",$C49="",$D49="",$C49&gt;CM$6,$D49&lt;CM$9),"",IF($J49="里程碑","◆",""))</f>
        <v/>
      </c>
      <c r="CN49" s="8" t="str">
        <f>IF(OR($A49="",$C49="",$D49="",$C49&gt;CN$6,$D49&lt;CN$9),"",IF($J49="里程碑","◆",""))</f>
        <v/>
      </c>
      <c r="CO49" s="8" t="str">
        <f>IF(OR($A49="",$C49="",$D49="",$C49&gt;CO$6,$D49&lt;CO$9),"",IF($J49="里程碑","◆",""))</f>
        <v/>
      </c>
      <c r="CP49" s="8" t="str">
        <f>IF(OR($A49="",$C49="",$D49="",$C49&gt;CP$6,$D49&lt;CP$9),"",IF($J49="里程碑","◆",""))</f>
        <v/>
      </c>
      <c r="CQ49" s="8" t="str">
        <f>IF(OR($A49="",$C49="",$D49="",$C49&gt;CQ$6,$D49&lt;CQ$9),"",IF($J49="里程碑","◆",""))</f>
        <v/>
      </c>
      <c r="CR49" s="8" t="str">
        <f>IF(OR($A49="",$C49="",$D49="",$C49&gt;CR$6,$D49&lt;CR$9),"",IF($J49="里程碑","◆",""))</f>
        <v/>
      </c>
      <c r="CS49" s="8" t="str">
        <f>IF(OR($A49="",$C49="",$D49="",$C49&gt;CS$6,$D49&lt;CS$9),"",IF($J49="里程碑","◆",""))</f>
        <v/>
      </c>
      <c r="CT49" s="8" t="str">
        <f>IF(OR($A49="",$C49="",$D49="",$C49&gt;CT$6,$D49&lt;CT$9),"",IF($J49="里程碑","◆",""))</f>
        <v/>
      </c>
      <c r="CU49" s="8" t="str">
        <f>IF(OR($A49="",$C49="",$D49="",$C49&gt;CU$6,$D49&lt;CU$9),"",IF($J49="里程碑","◆",""))</f>
        <v/>
      </c>
      <c r="CV49" s="8" t="str">
        <f>IF(OR($A49="",$C49="",$D49="",$C49&gt;CV$6,$D49&lt;CV$9),"",IF($J49="里程碑","◆",""))</f>
        <v/>
      </c>
      <c r="CW49" s="8" t="str">
        <f>IF(OR($A49="",$C49="",$D49="",$C49&gt;CW$6,$D49&lt;CW$9),"",IF($J49="里程碑","◆",""))</f>
        <v/>
      </c>
      <c r="CX49" s="8" t="str">
        <f>IF(OR($A49="",$C49="",$D49="",$C49&gt;CX$6,$D49&lt;CX$9),"",IF($J49="里程碑","◆",""))</f>
        <v/>
      </c>
      <c r="CY49" s="8" t="str">
        <f>IF(OR($A49="",$C49="",$D49="",$C49&gt;CY$6,$D49&lt;CY$9),"",IF($J49="里程碑","◆",""))</f>
        <v/>
      </c>
      <c r="CZ49" s="8" t="str">
        <f>IF(OR($A49="",$C49="",$D49="",$C49&gt;CZ$6,$D49&lt;CZ$9),"",IF($J49="里程碑","◆",""))</f>
        <v/>
      </c>
      <c r="DA49" s="8" t="str">
        <f>IF(OR($A49="",$C49="",$D49="",$C49&gt;DA$6,$D49&lt;DA$9),"",IF($J49="里程碑","◆",""))</f>
        <v/>
      </c>
      <c r="DB49" s="8" t="str">
        <f>IF(OR($A49="",$C49="",$D49="",$C49&gt;DB$6,$D49&lt;DB$9),"",IF($J49="里程碑","◆",""))</f>
        <v/>
      </c>
      <c r="DC49" s="1" t="str">
        <f>IF(ROW()-9&gt;$DH$3,"",MATCH(ROW()-9,排期计算!$U$10:$U$109,0))</f>
        <v/>
      </c>
      <c r="DD49" s="1" t="str">
        <f>IF($DC49="","",INDEX(排期计算!$L$10:$L$109,$DC49))</f>
        <v/>
      </c>
      <c r="DE49" s="1"/>
      <c r="DF49" s="1"/>
      <c r="DG49" s="1"/>
      <c r="DH49" s="1"/>
      <c r="DI49" s="1"/>
      <c r="DJ49" s="1"/>
      <c r="DK49" s="1"/>
    </row>
    <row r="50" spans="1:115" ht="24.95" customHeight="1">
      <c r="A50" s="9" t="str">
        <f>IF($DC50="","",IF(AND(INDEX(排期计算!$A$10:$A$109,$DC50)="",NOT(ISNUMBER(INDEX(排期计算!$A$10:$A$109,$DC50)))),"",INDEX(排期计算!$A$10:$A$109,$DC50)))</f>
        <v/>
      </c>
      <c r="B50" s="1" t="str">
        <f>IF($DC50="","",REPT("　",$DD50-1)&amp;INDEX(排期计算!$B$10:$B$109,$DC50))</f>
        <v/>
      </c>
      <c r="C50" s="3" t="str">
        <f>IF($DC50="","",IF(AND(INDEX(排期计算!$M$10:$M$109,$DC50)="",NOT(ISNUMBER(INDEX(排期计算!$M$10:$M$109,$DC50)))),"",INDEX(排期计算!$M$10:$M$109,$DC50)))</f>
        <v/>
      </c>
      <c r="D50" s="3" t="str">
        <f>IF($DC50="","",IF(AND(INDEX(排期计算!$N$10:$N$109,$DC50)="",NOT(ISNUMBER(INDEX(排期计算!$N$10:$N$109,$DC50)))),"",INDEX(排期计算!$N$10:$N$109,$DC50)))</f>
        <v/>
      </c>
      <c r="E50" s="1" t="str">
        <f>IF(OR($C50="",$D50=""),"",IF($J50="里程碑",0,NETWORKDAYS($C50,$D50)))</f>
        <v/>
      </c>
      <c r="F50" s="7" t="str">
        <f>IF($DC50="","",IF(AND(INDEX(排期计算!$O$10:$O$109,$DC50)="",NOT(ISNUMBER(INDEX(排期计算!$O$10:$O$109,$DC50)))),"",INDEX(排期计算!$O$10:$O$109,$DC50)))</f>
        <v/>
      </c>
      <c r="G50" s="8" t="str">
        <f>IF($A50="","",IF(OR($C50="",$D50=""),"未排期",IF($F50&gt;=1,"已完成",IF($D50&lt;$B$4,"逾期",IF($C50&gt;$B$4,"未开始","进行中")))))</f>
        <v/>
      </c>
      <c r="H50" s="1" t="str">
        <f>IF($DC50="","",IF(AND(INDEX(排期计算!$C$10:$C$109,$DC50)="",NOT(ISNUMBER(INDEX(排期计算!$C$10:$C$109,$DC50)))),"",INDEX(排期计算!$C$10:$C$109,$DC50)))</f>
        <v/>
      </c>
      <c r="I50" s="1" t="str">
        <f>IF($DC50="","",IF(AND(INDEX(排期计算!$H$10:$H$109,$DC50)="",NOT(ISNUMBER(INDEX(排期计算!$H$10:$H$109,$DC50)))),"",INDEX(排期计算!$H$10:$H$109,$DC50)))</f>
        <v/>
      </c>
      <c r="J50" s="1" t="str">
        <f>IF($DC50="","",IF(AND(INDEX(排期计算!$K$10:$K$109,$DC50)="",NOT(ISNUMBER(INDEX(排期计算!$K$10:$K$109,$DC50)))),"",INDEX(排期计算!$K$10:$K$109,$DC50)))</f>
        <v/>
      </c>
      <c r="K50" s="8" t="str">
        <f>IF(OR($A50="",$C50="",$D50="",$C50&gt;K$6,$D50&lt;K$9),"",IF($J50="里程碑","◆",""))</f>
        <v/>
      </c>
      <c r="L50" s="8" t="str">
        <f>IF(OR($A50="",$C50="",$D50="",$C50&gt;L$6,$D50&lt;L$9),"",IF($J50="里程碑","◆",""))</f>
        <v/>
      </c>
      <c r="M50" s="8" t="str">
        <f>IF(OR($A50="",$C50="",$D50="",$C50&gt;M$6,$D50&lt;M$9),"",IF($J50="里程碑","◆",""))</f>
        <v/>
      </c>
      <c r="N50" s="8" t="str">
        <f>IF(OR($A50="",$C50="",$D50="",$C50&gt;N$6,$D50&lt;N$9),"",IF($J50="里程碑","◆",""))</f>
        <v/>
      </c>
      <c r="O50" s="8" t="str">
        <f>IF(OR($A50="",$C50="",$D50="",$C50&gt;O$6,$D50&lt;O$9),"",IF($J50="里程碑","◆",""))</f>
        <v/>
      </c>
      <c r="P50" s="8" t="str">
        <f>IF(OR($A50="",$C50="",$D50="",$C50&gt;P$6,$D50&lt;P$9),"",IF($J50="里程碑","◆",""))</f>
        <v/>
      </c>
      <c r="Q50" s="8" t="str">
        <f>IF(OR($A50="",$C50="",$D50="",$C50&gt;Q$6,$D50&lt;Q$9),"",IF($J50="里程碑","◆",""))</f>
        <v/>
      </c>
      <c r="R50" s="8" t="str">
        <f>IF(OR($A50="",$C50="",$D50="",$C50&gt;R$6,$D50&lt;R$9),"",IF($J50="里程碑","◆",""))</f>
        <v/>
      </c>
      <c r="S50" s="8" t="str">
        <f>IF(OR($A50="",$C50="",$D50="",$C50&gt;S$6,$D50&lt;S$9),"",IF($J50="里程碑","◆",""))</f>
        <v/>
      </c>
      <c r="T50" s="8" t="str">
        <f>IF(OR($A50="",$C50="",$D50="",$C50&gt;T$6,$D50&lt;T$9),"",IF($J50="里程碑","◆",""))</f>
        <v/>
      </c>
      <c r="U50" s="8" t="str">
        <f>IF(OR($A50="",$C50="",$D50="",$C50&gt;U$6,$D50&lt;U$9),"",IF($J50="里程碑","◆",""))</f>
        <v/>
      </c>
      <c r="V50" s="8" t="str">
        <f>IF(OR($A50="",$C50="",$D50="",$C50&gt;V$6,$D50&lt;V$9),"",IF($J50="里程碑","◆",""))</f>
        <v/>
      </c>
      <c r="W50" s="8" t="str">
        <f>IF(OR($A50="",$C50="",$D50="",$C50&gt;W$6,$D50&lt;W$9),"",IF($J50="里程碑","◆",""))</f>
        <v/>
      </c>
      <c r="X50" s="8" t="str">
        <f>IF(OR($A50="",$C50="",$D50="",$C50&gt;X$6,$D50&lt;X$9),"",IF($J50="里程碑","◆",""))</f>
        <v/>
      </c>
      <c r="Y50" s="8" t="str">
        <f>IF(OR($A50="",$C50="",$D50="",$C50&gt;Y$6,$D50&lt;Y$9),"",IF($J50="里程碑","◆",""))</f>
        <v/>
      </c>
      <c r="Z50" s="8" t="str">
        <f>IF(OR($A50="",$C50="",$D50="",$C50&gt;Z$6,$D50&lt;Z$9),"",IF($J50="里程碑","◆",""))</f>
        <v/>
      </c>
      <c r="AA50" s="8" t="str">
        <f>IF(OR($A50="",$C50="",$D50="",$C50&gt;AA$6,$D50&lt;AA$9),"",IF($J50="里程碑","◆",""))</f>
        <v/>
      </c>
      <c r="AB50" s="8" t="str">
        <f>IF(OR($A50="",$C50="",$D50="",$C50&gt;AB$6,$D50&lt;AB$9),"",IF($J50="里程碑","◆",""))</f>
        <v/>
      </c>
      <c r="AC50" s="8" t="str">
        <f>IF(OR($A50="",$C50="",$D50="",$C50&gt;AC$6,$D50&lt;AC$9),"",IF($J50="里程碑","◆",""))</f>
        <v/>
      </c>
      <c r="AD50" s="8" t="str">
        <f>IF(OR($A50="",$C50="",$D50="",$C50&gt;AD$6,$D50&lt;AD$9),"",IF($J50="里程碑","◆",""))</f>
        <v/>
      </c>
      <c r="AE50" s="8" t="str">
        <f>IF(OR($A50="",$C50="",$D50="",$C50&gt;AE$6,$D50&lt;AE$9),"",IF($J50="里程碑","◆",""))</f>
        <v/>
      </c>
      <c r="AF50" s="8" t="str">
        <f>IF(OR($A50="",$C50="",$D50="",$C50&gt;AF$6,$D50&lt;AF$9),"",IF($J50="里程碑","◆",""))</f>
        <v/>
      </c>
      <c r="AG50" s="8" t="str">
        <f>IF(OR($A50="",$C50="",$D50="",$C50&gt;AG$6,$D50&lt;AG$9),"",IF($J50="里程碑","◆",""))</f>
        <v/>
      </c>
      <c r="AH50" s="8" t="str">
        <f>IF(OR($A50="",$C50="",$D50="",$C50&gt;AH$6,$D50&lt;AH$9),"",IF($J50="里程碑","◆",""))</f>
        <v/>
      </c>
      <c r="AI50" s="8" t="str">
        <f>IF(OR($A50="",$C50="",$D50="",$C50&gt;AI$6,$D50&lt;AI$9),"",IF($J50="里程碑","◆",""))</f>
        <v/>
      </c>
      <c r="AJ50" s="8" t="str">
        <f>IF(OR($A50="",$C50="",$D50="",$C50&gt;AJ$6,$D50&lt;AJ$9),"",IF($J50="里程碑","◆",""))</f>
        <v/>
      </c>
      <c r="AK50" s="8" t="str">
        <f>IF(OR($A50="",$C50="",$D50="",$C50&gt;AK$6,$D50&lt;AK$9),"",IF($J50="里程碑","◆",""))</f>
        <v/>
      </c>
      <c r="AL50" s="8" t="str">
        <f>IF(OR($A50="",$C50="",$D50="",$C50&gt;AL$6,$D50&lt;AL$9),"",IF($J50="里程碑","◆",""))</f>
        <v/>
      </c>
      <c r="AM50" s="8" t="str">
        <f>IF(OR($A50="",$C50="",$D50="",$C50&gt;AM$6,$D50&lt;AM$9),"",IF($J50="里程碑","◆",""))</f>
        <v/>
      </c>
      <c r="AN50" s="8" t="str">
        <f>IF(OR($A50="",$C50="",$D50="",$C50&gt;AN$6,$D50&lt;AN$9),"",IF($J50="里程碑","◆",""))</f>
        <v/>
      </c>
      <c r="AO50" s="8" t="str">
        <f>IF(OR($A50="",$C50="",$D50="",$C50&gt;AO$6,$D50&lt;AO$9),"",IF($J50="里程碑","◆",""))</f>
        <v/>
      </c>
      <c r="AP50" s="8" t="str">
        <f>IF(OR($A50="",$C50="",$D50="",$C50&gt;AP$6,$D50&lt;AP$9),"",IF($J50="里程碑","◆",""))</f>
        <v/>
      </c>
      <c r="AQ50" s="8" t="str">
        <f>IF(OR($A50="",$C50="",$D50="",$C50&gt;AQ$6,$D50&lt;AQ$9),"",IF($J50="里程碑","◆",""))</f>
        <v/>
      </c>
      <c r="AR50" s="8" t="str">
        <f>IF(OR($A50="",$C50="",$D50="",$C50&gt;AR$6,$D50&lt;AR$9),"",IF($J50="里程碑","◆",""))</f>
        <v/>
      </c>
      <c r="AS50" s="8" t="str">
        <f>IF(OR($A50="",$C50="",$D50="",$C50&gt;AS$6,$D50&lt;AS$9),"",IF($J50="里程碑","◆",""))</f>
        <v/>
      </c>
      <c r="AT50" s="8" t="str">
        <f>IF(OR($A50="",$C50="",$D50="",$C50&gt;AT$6,$D50&lt;AT$9),"",IF($J50="里程碑","◆",""))</f>
        <v/>
      </c>
      <c r="AU50" s="8" t="str">
        <f>IF(OR($A50="",$C50="",$D50="",$C50&gt;AU$6,$D50&lt;AU$9),"",IF($J50="里程碑","◆",""))</f>
        <v/>
      </c>
      <c r="AV50" s="8" t="str">
        <f>IF(OR($A50="",$C50="",$D50="",$C50&gt;AV$6,$D50&lt;AV$9),"",IF($J50="里程碑","◆",""))</f>
        <v/>
      </c>
      <c r="AW50" s="8" t="str">
        <f>IF(OR($A50="",$C50="",$D50="",$C50&gt;AW$6,$D50&lt;AW$9),"",IF($J50="里程碑","◆",""))</f>
        <v/>
      </c>
      <c r="AX50" s="8" t="str">
        <f>IF(OR($A50="",$C50="",$D50="",$C50&gt;AX$6,$D50&lt;AX$9),"",IF($J50="里程碑","◆",""))</f>
        <v/>
      </c>
      <c r="AY50" s="8" t="str">
        <f>IF(OR($A50="",$C50="",$D50="",$C50&gt;AY$6,$D50&lt;AY$9),"",IF($J50="里程碑","◆",""))</f>
        <v/>
      </c>
      <c r="AZ50" s="8" t="str">
        <f>IF(OR($A50="",$C50="",$D50="",$C50&gt;AZ$6,$D50&lt;AZ$9),"",IF($J50="里程碑","◆",""))</f>
        <v/>
      </c>
      <c r="BA50" s="8" t="str">
        <f>IF(OR($A50="",$C50="",$D50="",$C50&gt;BA$6,$D50&lt;BA$9),"",IF($J50="里程碑","◆",""))</f>
        <v/>
      </c>
      <c r="BB50" s="8" t="str">
        <f>IF(OR($A50="",$C50="",$D50="",$C50&gt;BB$6,$D50&lt;BB$9),"",IF($J50="里程碑","◆",""))</f>
        <v/>
      </c>
      <c r="BC50" s="8" t="str">
        <f>IF(OR($A50="",$C50="",$D50="",$C50&gt;BC$6,$D50&lt;BC$9),"",IF($J50="里程碑","◆",""))</f>
        <v/>
      </c>
      <c r="BD50" s="8" t="str">
        <f>IF(OR($A50="",$C50="",$D50="",$C50&gt;BD$6,$D50&lt;BD$9),"",IF($J50="里程碑","◆",""))</f>
        <v/>
      </c>
      <c r="BE50" s="8" t="str">
        <f>IF(OR($A50="",$C50="",$D50="",$C50&gt;BE$6,$D50&lt;BE$9),"",IF($J50="里程碑","◆",""))</f>
        <v/>
      </c>
      <c r="BF50" s="8" t="str">
        <f>IF(OR($A50="",$C50="",$D50="",$C50&gt;BF$6,$D50&lt;BF$9),"",IF($J50="里程碑","◆",""))</f>
        <v/>
      </c>
      <c r="BG50" s="8" t="str">
        <f>IF(OR($A50="",$C50="",$D50="",$C50&gt;BG$6,$D50&lt;BG$9),"",IF($J50="里程碑","◆",""))</f>
        <v/>
      </c>
      <c r="BH50" s="8" t="str">
        <f>IF(OR($A50="",$C50="",$D50="",$C50&gt;BH$6,$D50&lt;BH$9),"",IF($J50="里程碑","◆",""))</f>
        <v/>
      </c>
      <c r="BI50" s="8" t="str">
        <f>IF(OR($A50="",$C50="",$D50="",$C50&gt;BI$6,$D50&lt;BI$9),"",IF($J50="里程碑","◆",""))</f>
        <v/>
      </c>
      <c r="BJ50" s="8" t="str">
        <f>IF(OR($A50="",$C50="",$D50="",$C50&gt;BJ$6,$D50&lt;BJ$9),"",IF($J50="里程碑","◆",""))</f>
        <v/>
      </c>
      <c r="BK50" s="8" t="str">
        <f>IF(OR($A50="",$C50="",$D50="",$C50&gt;BK$6,$D50&lt;BK$9),"",IF($J50="里程碑","◆",""))</f>
        <v/>
      </c>
      <c r="BL50" s="8" t="str">
        <f>IF(OR($A50="",$C50="",$D50="",$C50&gt;BL$6,$D50&lt;BL$9),"",IF($J50="里程碑","◆",""))</f>
        <v/>
      </c>
      <c r="BM50" s="8" t="str">
        <f>IF(OR($A50="",$C50="",$D50="",$C50&gt;BM$6,$D50&lt;BM$9),"",IF($J50="里程碑","◆",""))</f>
        <v/>
      </c>
      <c r="BN50" s="8" t="str">
        <f>IF(OR($A50="",$C50="",$D50="",$C50&gt;BN$6,$D50&lt;BN$9),"",IF($J50="里程碑","◆",""))</f>
        <v/>
      </c>
      <c r="BO50" s="8" t="str">
        <f>IF(OR($A50="",$C50="",$D50="",$C50&gt;BO$6,$D50&lt;BO$9),"",IF($J50="里程碑","◆",""))</f>
        <v/>
      </c>
      <c r="BP50" s="8" t="str">
        <f>IF(OR($A50="",$C50="",$D50="",$C50&gt;BP$6,$D50&lt;BP$9),"",IF($J50="里程碑","◆",""))</f>
        <v/>
      </c>
      <c r="BQ50" s="8" t="str">
        <f>IF(OR($A50="",$C50="",$D50="",$C50&gt;BQ$6,$D50&lt;BQ$9),"",IF($J50="里程碑","◆",""))</f>
        <v/>
      </c>
      <c r="BR50" s="8" t="str">
        <f>IF(OR($A50="",$C50="",$D50="",$C50&gt;BR$6,$D50&lt;BR$9),"",IF($J50="里程碑","◆",""))</f>
        <v/>
      </c>
      <c r="BS50" s="8" t="str">
        <f>IF(OR($A50="",$C50="",$D50="",$C50&gt;BS$6,$D50&lt;BS$9),"",IF($J50="里程碑","◆",""))</f>
        <v/>
      </c>
      <c r="BT50" s="8" t="str">
        <f>IF(OR($A50="",$C50="",$D50="",$C50&gt;BT$6,$D50&lt;BT$9),"",IF($J50="里程碑","◆",""))</f>
        <v/>
      </c>
      <c r="BU50" s="8" t="str">
        <f>IF(OR($A50="",$C50="",$D50="",$C50&gt;BU$6,$D50&lt;BU$9),"",IF($J50="里程碑","◆",""))</f>
        <v/>
      </c>
      <c r="BV50" s="8" t="str">
        <f>IF(OR($A50="",$C50="",$D50="",$C50&gt;BV$6,$D50&lt;BV$9),"",IF($J50="里程碑","◆",""))</f>
        <v/>
      </c>
      <c r="BW50" s="8" t="str">
        <f>IF(OR($A50="",$C50="",$D50="",$C50&gt;BW$6,$D50&lt;BW$9),"",IF($J50="里程碑","◆",""))</f>
        <v/>
      </c>
      <c r="BX50" s="8" t="str">
        <f>IF(OR($A50="",$C50="",$D50="",$C50&gt;BX$6,$D50&lt;BX$9),"",IF($J50="里程碑","◆",""))</f>
        <v/>
      </c>
      <c r="BY50" s="8" t="str">
        <f>IF(OR($A50="",$C50="",$D50="",$C50&gt;BY$6,$D50&lt;BY$9),"",IF($J50="里程碑","◆",""))</f>
        <v/>
      </c>
      <c r="BZ50" s="8" t="str">
        <f>IF(OR($A50="",$C50="",$D50="",$C50&gt;BZ$6,$D50&lt;BZ$9),"",IF($J50="里程碑","◆",""))</f>
        <v/>
      </c>
      <c r="CA50" s="8" t="str">
        <f>IF(OR($A50="",$C50="",$D50="",$C50&gt;CA$6,$D50&lt;CA$9),"",IF($J50="里程碑","◆",""))</f>
        <v/>
      </c>
      <c r="CB50" s="8" t="str">
        <f>IF(OR($A50="",$C50="",$D50="",$C50&gt;CB$6,$D50&lt;CB$9),"",IF($J50="里程碑","◆",""))</f>
        <v/>
      </c>
      <c r="CC50" s="8" t="str">
        <f>IF(OR($A50="",$C50="",$D50="",$C50&gt;CC$6,$D50&lt;CC$9),"",IF($J50="里程碑","◆",""))</f>
        <v/>
      </c>
      <c r="CD50" s="8" t="str">
        <f>IF(OR($A50="",$C50="",$D50="",$C50&gt;CD$6,$D50&lt;CD$9),"",IF($J50="里程碑","◆",""))</f>
        <v/>
      </c>
      <c r="CE50" s="8" t="str">
        <f>IF(OR($A50="",$C50="",$D50="",$C50&gt;CE$6,$D50&lt;CE$9),"",IF($J50="里程碑","◆",""))</f>
        <v/>
      </c>
      <c r="CF50" s="8" t="str">
        <f>IF(OR($A50="",$C50="",$D50="",$C50&gt;CF$6,$D50&lt;CF$9),"",IF($J50="里程碑","◆",""))</f>
        <v/>
      </c>
      <c r="CG50" s="8" t="str">
        <f>IF(OR($A50="",$C50="",$D50="",$C50&gt;CG$6,$D50&lt;CG$9),"",IF($J50="里程碑","◆",""))</f>
        <v/>
      </c>
      <c r="CH50" s="8" t="str">
        <f>IF(OR($A50="",$C50="",$D50="",$C50&gt;CH$6,$D50&lt;CH$9),"",IF($J50="里程碑","◆",""))</f>
        <v/>
      </c>
      <c r="CI50" s="8" t="str">
        <f>IF(OR($A50="",$C50="",$D50="",$C50&gt;CI$6,$D50&lt;CI$9),"",IF($J50="里程碑","◆",""))</f>
        <v/>
      </c>
      <c r="CJ50" s="8" t="str">
        <f>IF(OR($A50="",$C50="",$D50="",$C50&gt;CJ$6,$D50&lt;CJ$9),"",IF($J50="里程碑","◆",""))</f>
        <v/>
      </c>
      <c r="CK50" s="8" t="str">
        <f>IF(OR($A50="",$C50="",$D50="",$C50&gt;CK$6,$D50&lt;CK$9),"",IF($J50="里程碑","◆",""))</f>
        <v/>
      </c>
      <c r="CL50" s="8" t="str">
        <f>IF(OR($A50="",$C50="",$D50="",$C50&gt;CL$6,$D50&lt;CL$9),"",IF($J50="里程碑","◆",""))</f>
        <v/>
      </c>
      <c r="CM50" s="8" t="str">
        <f>IF(OR($A50="",$C50="",$D50="",$C50&gt;CM$6,$D50&lt;CM$9),"",IF($J50="里程碑","◆",""))</f>
        <v/>
      </c>
      <c r="CN50" s="8" t="str">
        <f>IF(OR($A50="",$C50="",$D50="",$C50&gt;CN$6,$D50&lt;CN$9),"",IF($J50="里程碑","◆",""))</f>
        <v/>
      </c>
      <c r="CO50" s="8" t="str">
        <f>IF(OR($A50="",$C50="",$D50="",$C50&gt;CO$6,$D50&lt;CO$9),"",IF($J50="里程碑","◆",""))</f>
        <v/>
      </c>
      <c r="CP50" s="8" t="str">
        <f>IF(OR($A50="",$C50="",$D50="",$C50&gt;CP$6,$D50&lt;CP$9),"",IF($J50="里程碑","◆",""))</f>
        <v/>
      </c>
      <c r="CQ50" s="8" t="str">
        <f>IF(OR($A50="",$C50="",$D50="",$C50&gt;CQ$6,$D50&lt;CQ$9),"",IF($J50="里程碑","◆",""))</f>
        <v/>
      </c>
      <c r="CR50" s="8" t="str">
        <f>IF(OR($A50="",$C50="",$D50="",$C50&gt;CR$6,$D50&lt;CR$9),"",IF($J50="里程碑","◆",""))</f>
        <v/>
      </c>
      <c r="CS50" s="8" t="str">
        <f>IF(OR($A50="",$C50="",$D50="",$C50&gt;CS$6,$D50&lt;CS$9),"",IF($J50="里程碑","◆",""))</f>
        <v/>
      </c>
      <c r="CT50" s="8" t="str">
        <f>IF(OR($A50="",$C50="",$D50="",$C50&gt;CT$6,$D50&lt;CT$9),"",IF($J50="里程碑","◆",""))</f>
        <v/>
      </c>
      <c r="CU50" s="8" t="str">
        <f>IF(OR($A50="",$C50="",$D50="",$C50&gt;CU$6,$D50&lt;CU$9),"",IF($J50="里程碑","◆",""))</f>
        <v/>
      </c>
      <c r="CV50" s="8" t="str">
        <f>IF(OR($A50="",$C50="",$D50="",$C50&gt;CV$6,$D50&lt;CV$9),"",IF($J50="里程碑","◆",""))</f>
        <v/>
      </c>
      <c r="CW50" s="8" t="str">
        <f>IF(OR($A50="",$C50="",$D50="",$C50&gt;CW$6,$D50&lt;CW$9),"",IF($J50="里程碑","◆",""))</f>
        <v/>
      </c>
      <c r="CX50" s="8" t="str">
        <f>IF(OR($A50="",$C50="",$D50="",$C50&gt;CX$6,$D50&lt;CX$9),"",IF($J50="里程碑","◆",""))</f>
        <v/>
      </c>
      <c r="CY50" s="8" t="str">
        <f>IF(OR($A50="",$C50="",$D50="",$C50&gt;CY$6,$D50&lt;CY$9),"",IF($J50="里程碑","◆",""))</f>
        <v/>
      </c>
      <c r="CZ50" s="8" t="str">
        <f>IF(OR($A50="",$C50="",$D50="",$C50&gt;CZ$6,$D50&lt;CZ$9),"",IF($J50="里程碑","◆",""))</f>
        <v/>
      </c>
      <c r="DA50" s="8" t="str">
        <f>IF(OR($A50="",$C50="",$D50="",$C50&gt;DA$6,$D50&lt;DA$9),"",IF($J50="里程碑","◆",""))</f>
        <v/>
      </c>
      <c r="DB50" s="8" t="str">
        <f>IF(OR($A50="",$C50="",$D50="",$C50&gt;DB$6,$D50&lt;DB$9),"",IF($J50="里程碑","◆",""))</f>
        <v/>
      </c>
      <c r="DC50" s="1" t="str">
        <f>IF(ROW()-9&gt;$DH$3,"",MATCH(ROW()-9,排期计算!$U$10:$U$109,0))</f>
        <v/>
      </c>
      <c r="DD50" s="1" t="str">
        <f>IF($DC50="","",INDEX(排期计算!$L$10:$L$109,$DC50))</f>
        <v/>
      </c>
      <c r="DE50" s="1"/>
      <c r="DF50" s="1"/>
      <c r="DG50" s="1"/>
      <c r="DH50" s="1"/>
      <c r="DI50" s="1"/>
      <c r="DJ50" s="1"/>
      <c r="DK50" s="1"/>
    </row>
    <row r="51" spans="1:115" ht="24.95" customHeight="1">
      <c r="A51" s="9" t="str">
        <f>IF($DC51="","",IF(AND(INDEX(排期计算!$A$10:$A$109,$DC51)="",NOT(ISNUMBER(INDEX(排期计算!$A$10:$A$109,$DC51)))),"",INDEX(排期计算!$A$10:$A$109,$DC51)))</f>
        <v/>
      </c>
      <c r="B51" s="1" t="str">
        <f>IF($DC51="","",REPT("　",$DD51-1)&amp;INDEX(排期计算!$B$10:$B$109,$DC51))</f>
        <v/>
      </c>
      <c r="C51" s="3" t="str">
        <f>IF($DC51="","",IF(AND(INDEX(排期计算!$M$10:$M$109,$DC51)="",NOT(ISNUMBER(INDEX(排期计算!$M$10:$M$109,$DC51)))),"",INDEX(排期计算!$M$10:$M$109,$DC51)))</f>
        <v/>
      </c>
      <c r="D51" s="3" t="str">
        <f>IF($DC51="","",IF(AND(INDEX(排期计算!$N$10:$N$109,$DC51)="",NOT(ISNUMBER(INDEX(排期计算!$N$10:$N$109,$DC51)))),"",INDEX(排期计算!$N$10:$N$109,$DC51)))</f>
        <v/>
      </c>
      <c r="E51" s="1" t="str">
        <f>IF(OR($C51="",$D51=""),"",IF($J51="里程碑",0,NETWORKDAYS($C51,$D51)))</f>
        <v/>
      </c>
      <c r="F51" s="7" t="str">
        <f>IF($DC51="","",IF(AND(INDEX(排期计算!$O$10:$O$109,$DC51)="",NOT(ISNUMBER(INDEX(排期计算!$O$10:$O$109,$DC51)))),"",INDEX(排期计算!$O$10:$O$109,$DC51)))</f>
        <v/>
      </c>
      <c r="G51" s="8" t="str">
        <f>IF($A51="","",IF(OR($C51="",$D51=""),"未排期",IF($F51&gt;=1,"已完成",IF($D51&lt;$B$4,"逾期",IF($C51&gt;$B$4,"未开始","进行中")))))</f>
        <v/>
      </c>
      <c r="H51" s="1" t="str">
        <f>IF($DC51="","",IF(AND(INDEX(排期计算!$C$10:$C$109,$DC51)="",NOT(ISNUMBER(INDEX(排期计算!$C$10:$C$109,$DC51)))),"",INDEX(排期计算!$C$10:$C$109,$DC51)))</f>
        <v/>
      </c>
      <c r="I51" s="1" t="str">
        <f>IF($DC51="","",IF(AND(INDEX(排期计算!$H$10:$H$109,$DC51)="",NOT(ISNUMBER(INDEX(排期计算!$H$10:$H$109,$DC51)))),"",INDEX(排期计算!$H$10:$H$109,$DC51)))</f>
        <v/>
      </c>
      <c r="J51" s="1" t="str">
        <f>IF($DC51="","",IF(AND(INDEX(排期计算!$K$10:$K$109,$DC51)="",NOT(ISNUMBER(INDEX(排期计算!$K$10:$K$109,$DC51)))),"",INDEX(排期计算!$K$10:$K$109,$DC51)))</f>
        <v/>
      </c>
      <c r="K51" s="8" t="str">
        <f>IF(OR($A51="",$C51="",$D51="",$C51&gt;K$6,$D51&lt;K$9),"",IF($J51="里程碑","◆",""))</f>
        <v/>
      </c>
      <c r="L51" s="8" t="str">
        <f>IF(OR($A51="",$C51="",$D51="",$C51&gt;L$6,$D51&lt;L$9),"",IF($J51="里程碑","◆",""))</f>
        <v/>
      </c>
      <c r="M51" s="8" t="str">
        <f>IF(OR($A51="",$C51="",$D51="",$C51&gt;M$6,$D51&lt;M$9),"",IF($J51="里程碑","◆",""))</f>
        <v/>
      </c>
      <c r="N51" s="8" t="str">
        <f>IF(OR($A51="",$C51="",$D51="",$C51&gt;N$6,$D51&lt;N$9),"",IF($J51="里程碑","◆",""))</f>
        <v/>
      </c>
      <c r="O51" s="8" t="str">
        <f>IF(OR($A51="",$C51="",$D51="",$C51&gt;O$6,$D51&lt;O$9),"",IF($J51="里程碑","◆",""))</f>
        <v/>
      </c>
      <c r="P51" s="8" t="str">
        <f>IF(OR($A51="",$C51="",$D51="",$C51&gt;P$6,$D51&lt;P$9),"",IF($J51="里程碑","◆",""))</f>
        <v/>
      </c>
      <c r="Q51" s="8" t="str">
        <f>IF(OR($A51="",$C51="",$D51="",$C51&gt;Q$6,$D51&lt;Q$9),"",IF($J51="里程碑","◆",""))</f>
        <v/>
      </c>
      <c r="R51" s="8" t="str">
        <f>IF(OR($A51="",$C51="",$D51="",$C51&gt;R$6,$D51&lt;R$9),"",IF($J51="里程碑","◆",""))</f>
        <v/>
      </c>
      <c r="S51" s="8" t="str">
        <f>IF(OR($A51="",$C51="",$D51="",$C51&gt;S$6,$D51&lt;S$9),"",IF($J51="里程碑","◆",""))</f>
        <v/>
      </c>
      <c r="T51" s="8" t="str">
        <f>IF(OR($A51="",$C51="",$D51="",$C51&gt;T$6,$D51&lt;T$9),"",IF($J51="里程碑","◆",""))</f>
        <v/>
      </c>
      <c r="U51" s="8" t="str">
        <f>IF(OR($A51="",$C51="",$D51="",$C51&gt;U$6,$D51&lt;U$9),"",IF($J51="里程碑","◆",""))</f>
        <v/>
      </c>
      <c r="V51" s="8" t="str">
        <f>IF(OR($A51="",$C51="",$D51="",$C51&gt;V$6,$D51&lt;V$9),"",IF($J51="里程碑","◆",""))</f>
        <v/>
      </c>
      <c r="W51" s="8" t="str">
        <f>IF(OR($A51="",$C51="",$D51="",$C51&gt;W$6,$D51&lt;W$9),"",IF($J51="里程碑","◆",""))</f>
        <v/>
      </c>
      <c r="X51" s="8" t="str">
        <f>IF(OR($A51="",$C51="",$D51="",$C51&gt;X$6,$D51&lt;X$9),"",IF($J51="里程碑","◆",""))</f>
        <v/>
      </c>
      <c r="Y51" s="8" t="str">
        <f>IF(OR($A51="",$C51="",$D51="",$C51&gt;Y$6,$D51&lt;Y$9),"",IF($J51="里程碑","◆",""))</f>
        <v/>
      </c>
      <c r="Z51" s="8" t="str">
        <f>IF(OR($A51="",$C51="",$D51="",$C51&gt;Z$6,$D51&lt;Z$9),"",IF($J51="里程碑","◆",""))</f>
        <v/>
      </c>
      <c r="AA51" s="8" t="str">
        <f>IF(OR($A51="",$C51="",$D51="",$C51&gt;AA$6,$D51&lt;AA$9),"",IF($J51="里程碑","◆",""))</f>
        <v/>
      </c>
      <c r="AB51" s="8" t="str">
        <f>IF(OR($A51="",$C51="",$D51="",$C51&gt;AB$6,$D51&lt;AB$9),"",IF($J51="里程碑","◆",""))</f>
        <v/>
      </c>
      <c r="AC51" s="8" t="str">
        <f>IF(OR($A51="",$C51="",$D51="",$C51&gt;AC$6,$D51&lt;AC$9),"",IF($J51="里程碑","◆",""))</f>
        <v/>
      </c>
      <c r="AD51" s="8" t="str">
        <f>IF(OR($A51="",$C51="",$D51="",$C51&gt;AD$6,$D51&lt;AD$9),"",IF($J51="里程碑","◆",""))</f>
        <v/>
      </c>
      <c r="AE51" s="8" t="str">
        <f>IF(OR($A51="",$C51="",$D51="",$C51&gt;AE$6,$D51&lt;AE$9),"",IF($J51="里程碑","◆",""))</f>
        <v/>
      </c>
      <c r="AF51" s="8" t="str">
        <f>IF(OR($A51="",$C51="",$D51="",$C51&gt;AF$6,$D51&lt;AF$9),"",IF($J51="里程碑","◆",""))</f>
        <v/>
      </c>
      <c r="AG51" s="8" t="str">
        <f>IF(OR($A51="",$C51="",$D51="",$C51&gt;AG$6,$D51&lt;AG$9),"",IF($J51="里程碑","◆",""))</f>
        <v/>
      </c>
      <c r="AH51" s="8" t="str">
        <f>IF(OR($A51="",$C51="",$D51="",$C51&gt;AH$6,$D51&lt;AH$9),"",IF($J51="里程碑","◆",""))</f>
        <v/>
      </c>
      <c r="AI51" s="8" t="str">
        <f>IF(OR($A51="",$C51="",$D51="",$C51&gt;AI$6,$D51&lt;AI$9),"",IF($J51="里程碑","◆",""))</f>
        <v/>
      </c>
      <c r="AJ51" s="8" t="str">
        <f>IF(OR($A51="",$C51="",$D51="",$C51&gt;AJ$6,$D51&lt;AJ$9),"",IF($J51="里程碑","◆",""))</f>
        <v/>
      </c>
      <c r="AK51" s="8" t="str">
        <f>IF(OR($A51="",$C51="",$D51="",$C51&gt;AK$6,$D51&lt;AK$9),"",IF($J51="里程碑","◆",""))</f>
        <v/>
      </c>
      <c r="AL51" s="8" t="str">
        <f>IF(OR($A51="",$C51="",$D51="",$C51&gt;AL$6,$D51&lt;AL$9),"",IF($J51="里程碑","◆",""))</f>
        <v/>
      </c>
      <c r="AM51" s="8" t="str">
        <f>IF(OR($A51="",$C51="",$D51="",$C51&gt;AM$6,$D51&lt;AM$9),"",IF($J51="里程碑","◆",""))</f>
        <v/>
      </c>
      <c r="AN51" s="8" t="str">
        <f>IF(OR($A51="",$C51="",$D51="",$C51&gt;AN$6,$D51&lt;AN$9),"",IF($J51="里程碑","◆",""))</f>
        <v/>
      </c>
      <c r="AO51" s="8" t="str">
        <f>IF(OR($A51="",$C51="",$D51="",$C51&gt;AO$6,$D51&lt;AO$9),"",IF($J51="里程碑","◆",""))</f>
        <v/>
      </c>
      <c r="AP51" s="8" t="str">
        <f>IF(OR($A51="",$C51="",$D51="",$C51&gt;AP$6,$D51&lt;AP$9),"",IF($J51="里程碑","◆",""))</f>
        <v/>
      </c>
      <c r="AQ51" s="8" t="str">
        <f>IF(OR($A51="",$C51="",$D51="",$C51&gt;AQ$6,$D51&lt;AQ$9),"",IF($J51="里程碑","◆",""))</f>
        <v/>
      </c>
      <c r="AR51" s="8" t="str">
        <f>IF(OR($A51="",$C51="",$D51="",$C51&gt;AR$6,$D51&lt;AR$9),"",IF($J51="里程碑","◆",""))</f>
        <v/>
      </c>
      <c r="AS51" s="8" t="str">
        <f>IF(OR($A51="",$C51="",$D51="",$C51&gt;AS$6,$D51&lt;AS$9),"",IF($J51="里程碑","◆",""))</f>
        <v/>
      </c>
      <c r="AT51" s="8" t="str">
        <f>IF(OR($A51="",$C51="",$D51="",$C51&gt;AT$6,$D51&lt;AT$9),"",IF($J51="里程碑","◆",""))</f>
        <v/>
      </c>
      <c r="AU51" s="8" t="str">
        <f>IF(OR($A51="",$C51="",$D51="",$C51&gt;AU$6,$D51&lt;AU$9),"",IF($J51="里程碑","◆",""))</f>
        <v/>
      </c>
      <c r="AV51" s="8" t="str">
        <f>IF(OR($A51="",$C51="",$D51="",$C51&gt;AV$6,$D51&lt;AV$9),"",IF($J51="里程碑","◆",""))</f>
        <v/>
      </c>
      <c r="AW51" s="8" t="str">
        <f>IF(OR($A51="",$C51="",$D51="",$C51&gt;AW$6,$D51&lt;AW$9),"",IF($J51="里程碑","◆",""))</f>
        <v/>
      </c>
      <c r="AX51" s="8" t="str">
        <f>IF(OR($A51="",$C51="",$D51="",$C51&gt;AX$6,$D51&lt;AX$9),"",IF($J51="里程碑","◆",""))</f>
        <v/>
      </c>
      <c r="AY51" s="8" t="str">
        <f>IF(OR($A51="",$C51="",$D51="",$C51&gt;AY$6,$D51&lt;AY$9),"",IF($J51="里程碑","◆",""))</f>
        <v/>
      </c>
      <c r="AZ51" s="8" t="str">
        <f>IF(OR($A51="",$C51="",$D51="",$C51&gt;AZ$6,$D51&lt;AZ$9),"",IF($J51="里程碑","◆",""))</f>
        <v/>
      </c>
      <c r="BA51" s="8" t="str">
        <f>IF(OR($A51="",$C51="",$D51="",$C51&gt;BA$6,$D51&lt;BA$9),"",IF($J51="里程碑","◆",""))</f>
        <v/>
      </c>
      <c r="BB51" s="8" t="str">
        <f>IF(OR($A51="",$C51="",$D51="",$C51&gt;BB$6,$D51&lt;BB$9),"",IF($J51="里程碑","◆",""))</f>
        <v/>
      </c>
      <c r="BC51" s="8" t="str">
        <f>IF(OR($A51="",$C51="",$D51="",$C51&gt;BC$6,$D51&lt;BC$9),"",IF($J51="里程碑","◆",""))</f>
        <v/>
      </c>
      <c r="BD51" s="8" t="str">
        <f>IF(OR($A51="",$C51="",$D51="",$C51&gt;BD$6,$D51&lt;BD$9),"",IF($J51="里程碑","◆",""))</f>
        <v/>
      </c>
      <c r="BE51" s="8" t="str">
        <f>IF(OR($A51="",$C51="",$D51="",$C51&gt;BE$6,$D51&lt;BE$9),"",IF($J51="里程碑","◆",""))</f>
        <v/>
      </c>
      <c r="BF51" s="8" t="str">
        <f>IF(OR($A51="",$C51="",$D51="",$C51&gt;BF$6,$D51&lt;BF$9),"",IF($J51="里程碑","◆",""))</f>
        <v/>
      </c>
      <c r="BG51" s="8" t="str">
        <f>IF(OR($A51="",$C51="",$D51="",$C51&gt;BG$6,$D51&lt;BG$9),"",IF($J51="里程碑","◆",""))</f>
        <v/>
      </c>
      <c r="BH51" s="8" t="str">
        <f>IF(OR($A51="",$C51="",$D51="",$C51&gt;BH$6,$D51&lt;BH$9),"",IF($J51="里程碑","◆",""))</f>
        <v/>
      </c>
      <c r="BI51" s="8" t="str">
        <f>IF(OR($A51="",$C51="",$D51="",$C51&gt;BI$6,$D51&lt;BI$9),"",IF($J51="里程碑","◆",""))</f>
        <v/>
      </c>
      <c r="BJ51" s="8" t="str">
        <f>IF(OR($A51="",$C51="",$D51="",$C51&gt;BJ$6,$D51&lt;BJ$9),"",IF($J51="里程碑","◆",""))</f>
        <v/>
      </c>
      <c r="BK51" s="8" t="str">
        <f>IF(OR($A51="",$C51="",$D51="",$C51&gt;BK$6,$D51&lt;BK$9),"",IF($J51="里程碑","◆",""))</f>
        <v/>
      </c>
      <c r="BL51" s="8" t="str">
        <f>IF(OR($A51="",$C51="",$D51="",$C51&gt;BL$6,$D51&lt;BL$9),"",IF($J51="里程碑","◆",""))</f>
        <v/>
      </c>
      <c r="BM51" s="8" t="str">
        <f>IF(OR($A51="",$C51="",$D51="",$C51&gt;BM$6,$D51&lt;BM$9),"",IF($J51="里程碑","◆",""))</f>
        <v/>
      </c>
      <c r="BN51" s="8" t="str">
        <f>IF(OR($A51="",$C51="",$D51="",$C51&gt;BN$6,$D51&lt;BN$9),"",IF($J51="里程碑","◆",""))</f>
        <v/>
      </c>
      <c r="BO51" s="8" t="str">
        <f>IF(OR($A51="",$C51="",$D51="",$C51&gt;BO$6,$D51&lt;BO$9),"",IF($J51="里程碑","◆",""))</f>
        <v/>
      </c>
      <c r="BP51" s="8" t="str">
        <f>IF(OR($A51="",$C51="",$D51="",$C51&gt;BP$6,$D51&lt;BP$9),"",IF($J51="里程碑","◆",""))</f>
        <v/>
      </c>
      <c r="BQ51" s="8" t="str">
        <f>IF(OR($A51="",$C51="",$D51="",$C51&gt;BQ$6,$D51&lt;BQ$9),"",IF($J51="里程碑","◆",""))</f>
        <v/>
      </c>
      <c r="BR51" s="8" t="str">
        <f>IF(OR($A51="",$C51="",$D51="",$C51&gt;BR$6,$D51&lt;BR$9),"",IF($J51="里程碑","◆",""))</f>
        <v/>
      </c>
      <c r="BS51" s="8" t="str">
        <f>IF(OR($A51="",$C51="",$D51="",$C51&gt;BS$6,$D51&lt;BS$9),"",IF($J51="里程碑","◆",""))</f>
        <v/>
      </c>
      <c r="BT51" s="8" t="str">
        <f>IF(OR($A51="",$C51="",$D51="",$C51&gt;BT$6,$D51&lt;BT$9),"",IF($J51="里程碑","◆",""))</f>
        <v/>
      </c>
      <c r="BU51" s="8" t="str">
        <f>IF(OR($A51="",$C51="",$D51="",$C51&gt;BU$6,$D51&lt;BU$9),"",IF($J51="里程碑","◆",""))</f>
        <v/>
      </c>
      <c r="BV51" s="8" t="str">
        <f>IF(OR($A51="",$C51="",$D51="",$C51&gt;BV$6,$D51&lt;BV$9),"",IF($J51="里程碑","◆",""))</f>
        <v/>
      </c>
      <c r="BW51" s="8" t="str">
        <f>IF(OR($A51="",$C51="",$D51="",$C51&gt;BW$6,$D51&lt;BW$9),"",IF($J51="里程碑","◆",""))</f>
        <v/>
      </c>
      <c r="BX51" s="8" t="str">
        <f>IF(OR($A51="",$C51="",$D51="",$C51&gt;BX$6,$D51&lt;BX$9),"",IF($J51="里程碑","◆",""))</f>
        <v/>
      </c>
      <c r="BY51" s="8" t="str">
        <f>IF(OR($A51="",$C51="",$D51="",$C51&gt;BY$6,$D51&lt;BY$9),"",IF($J51="里程碑","◆",""))</f>
        <v/>
      </c>
      <c r="BZ51" s="8" t="str">
        <f>IF(OR($A51="",$C51="",$D51="",$C51&gt;BZ$6,$D51&lt;BZ$9),"",IF($J51="里程碑","◆",""))</f>
        <v/>
      </c>
      <c r="CA51" s="8" t="str">
        <f>IF(OR($A51="",$C51="",$D51="",$C51&gt;CA$6,$D51&lt;CA$9),"",IF($J51="里程碑","◆",""))</f>
        <v/>
      </c>
      <c r="CB51" s="8" t="str">
        <f>IF(OR($A51="",$C51="",$D51="",$C51&gt;CB$6,$D51&lt;CB$9),"",IF($J51="里程碑","◆",""))</f>
        <v/>
      </c>
      <c r="CC51" s="8" t="str">
        <f>IF(OR($A51="",$C51="",$D51="",$C51&gt;CC$6,$D51&lt;CC$9),"",IF($J51="里程碑","◆",""))</f>
        <v/>
      </c>
      <c r="CD51" s="8" t="str">
        <f>IF(OR($A51="",$C51="",$D51="",$C51&gt;CD$6,$D51&lt;CD$9),"",IF($J51="里程碑","◆",""))</f>
        <v/>
      </c>
      <c r="CE51" s="8" t="str">
        <f>IF(OR($A51="",$C51="",$D51="",$C51&gt;CE$6,$D51&lt;CE$9),"",IF($J51="里程碑","◆",""))</f>
        <v/>
      </c>
      <c r="CF51" s="8" t="str">
        <f>IF(OR($A51="",$C51="",$D51="",$C51&gt;CF$6,$D51&lt;CF$9),"",IF($J51="里程碑","◆",""))</f>
        <v/>
      </c>
      <c r="CG51" s="8" t="str">
        <f>IF(OR($A51="",$C51="",$D51="",$C51&gt;CG$6,$D51&lt;CG$9),"",IF($J51="里程碑","◆",""))</f>
        <v/>
      </c>
      <c r="CH51" s="8" t="str">
        <f>IF(OR($A51="",$C51="",$D51="",$C51&gt;CH$6,$D51&lt;CH$9),"",IF($J51="里程碑","◆",""))</f>
        <v/>
      </c>
      <c r="CI51" s="8" t="str">
        <f>IF(OR($A51="",$C51="",$D51="",$C51&gt;CI$6,$D51&lt;CI$9),"",IF($J51="里程碑","◆",""))</f>
        <v/>
      </c>
      <c r="CJ51" s="8" t="str">
        <f>IF(OR($A51="",$C51="",$D51="",$C51&gt;CJ$6,$D51&lt;CJ$9),"",IF($J51="里程碑","◆",""))</f>
        <v/>
      </c>
      <c r="CK51" s="8" t="str">
        <f>IF(OR($A51="",$C51="",$D51="",$C51&gt;CK$6,$D51&lt;CK$9),"",IF($J51="里程碑","◆",""))</f>
        <v/>
      </c>
      <c r="CL51" s="8" t="str">
        <f>IF(OR($A51="",$C51="",$D51="",$C51&gt;CL$6,$D51&lt;CL$9),"",IF($J51="里程碑","◆",""))</f>
        <v/>
      </c>
      <c r="CM51" s="8" t="str">
        <f>IF(OR($A51="",$C51="",$D51="",$C51&gt;CM$6,$D51&lt;CM$9),"",IF($J51="里程碑","◆",""))</f>
        <v/>
      </c>
      <c r="CN51" s="8" t="str">
        <f>IF(OR($A51="",$C51="",$D51="",$C51&gt;CN$6,$D51&lt;CN$9),"",IF($J51="里程碑","◆",""))</f>
        <v/>
      </c>
      <c r="CO51" s="8" t="str">
        <f>IF(OR($A51="",$C51="",$D51="",$C51&gt;CO$6,$D51&lt;CO$9),"",IF($J51="里程碑","◆",""))</f>
        <v/>
      </c>
      <c r="CP51" s="8" t="str">
        <f>IF(OR($A51="",$C51="",$D51="",$C51&gt;CP$6,$D51&lt;CP$9),"",IF($J51="里程碑","◆",""))</f>
        <v/>
      </c>
      <c r="CQ51" s="8" t="str">
        <f>IF(OR($A51="",$C51="",$D51="",$C51&gt;CQ$6,$D51&lt;CQ$9),"",IF($J51="里程碑","◆",""))</f>
        <v/>
      </c>
      <c r="CR51" s="8" t="str">
        <f>IF(OR($A51="",$C51="",$D51="",$C51&gt;CR$6,$D51&lt;CR$9),"",IF($J51="里程碑","◆",""))</f>
        <v/>
      </c>
      <c r="CS51" s="8" t="str">
        <f>IF(OR($A51="",$C51="",$D51="",$C51&gt;CS$6,$D51&lt;CS$9),"",IF($J51="里程碑","◆",""))</f>
        <v/>
      </c>
      <c r="CT51" s="8" t="str">
        <f>IF(OR($A51="",$C51="",$D51="",$C51&gt;CT$6,$D51&lt;CT$9),"",IF($J51="里程碑","◆",""))</f>
        <v/>
      </c>
      <c r="CU51" s="8" t="str">
        <f>IF(OR($A51="",$C51="",$D51="",$C51&gt;CU$6,$D51&lt;CU$9),"",IF($J51="里程碑","◆",""))</f>
        <v/>
      </c>
      <c r="CV51" s="8" t="str">
        <f>IF(OR($A51="",$C51="",$D51="",$C51&gt;CV$6,$D51&lt;CV$9),"",IF($J51="里程碑","◆",""))</f>
        <v/>
      </c>
      <c r="CW51" s="8" t="str">
        <f>IF(OR($A51="",$C51="",$D51="",$C51&gt;CW$6,$D51&lt;CW$9),"",IF($J51="里程碑","◆",""))</f>
        <v/>
      </c>
      <c r="CX51" s="8" t="str">
        <f>IF(OR($A51="",$C51="",$D51="",$C51&gt;CX$6,$D51&lt;CX$9),"",IF($J51="里程碑","◆",""))</f>
        <v/>
      </c>
      <c r="CY51" s="8" t="str">
        <f>IF(OR($A51="",$C51="",$D51="",$C51&gt;CY$6,$D51&lt;CY$9),"",IF($J51="里程碑","◆",""))</f>
        <v/>
      </c>
      <c r="CZ51" s="8" t="str">
        <f>IF(OR($A51="",$C51="",$D51="",$C51&gt;CZ$6,$D51&lt;CZ$9),"",IF($J51="里程碑","◆",""))</f>
        <v/>
      </c>
      <c r="DA51" s="8" t="str">
        <f>IF(OR($A51="",$C51="",$D51="",$C51&gt;DA$6,$D51&lt;DA$9),"",IF($J51="里程碑","◆",""))</f>
        <v/>
      </c>
      <c r="DB51" s="8" t="str">
        <f>IF(OR($A51="",$C51="",$D51="",$C51&gt;DB$6,$D51&lt;DB$9),"",IF($J51="里程碑","◆",""))</f>
        <v/>
      </c>
      <c r="DC51" s="1" t="str">
        <f>IF(ROW()-9&gt;$DH$3,"",MATCH(ROW()-9,排期计算!$U$10:$U$109,0))</f>
        <v/>
      </c>
      <c r="DD51" s="1" t="str">
        <f>IF($DC51="","",INDEX(排期计算!$L$10:$L$109,$DC51))</f>
        <v/>
      </c>
      <c r="DE51" s="1"/>
      <c r="DF51" s="1"/>
      <c r="DG51" s="1"/>
      <c r="DH51" s="1"/>
      <c r="DI51" s="1"/>
      <c r="DJ51" s="1"/>
      <c r="DK51" s="1"/>
    </row>
    <row r="52" spans="1:115" ht="24.95" customHeight="1">
      <c r="A52" s="9" t="str">
        <f>IF($DC52="","",IF(AND(INDEX(排期计算!$A$10:$A$109,$DC52)="",NOT(ISNUMBER(INDEX(排期计算!$A$10:$A$109,$DC52)))),"",INDEX(排期计算!$A$10:$A$109,$DC52)))</f>
        <v/>
      </c>
      <c r="B52" s="1" t="str">
        <f>IF($DC52="","",REPT("　",$DD52-1)&amp;INDEX(排期计算!$B$10:$B$109,$DC52))</f>
        <v/>
      </c>
      <c r="C52" s="3" t="str">
        <f>IF($DC52="","",IF(AND(INDEX(排期计算!$M$10:$M$109,$DC52)="",NOT(ISNUMBER(INDEX(排期计算!$M$10:$M$109,$DC52)))),"",INDEX(排期计算!$M$10:$M$109,$DC52)))</f>
        <v/>
      </c>
      <c r="D52" s="3" t="str">
        <f>IF($DC52="","",IF(AND(INDEX(排期计算!$N$10:$N$109,$DC52)="",NOT(ISNUMBER(INDEX(排期计算!$N$10:$N$109,$DC52)))),"",INDEX(排期计算!$N$10:$N$109,$DC52)))</f>
        <v/>
      </c>
      <c r="E52" s="1" t="str">
        <f>IF(OR($C52="",$D52=""),"",IF($J52="里程碑",0,NETWORKDAYS($C52,$D52)))</f>
        <v/>
      </c>
      <c r="F52" s="7" t="str">
        <f>IF($DC52="","",IF(AND(INDEX(排期计算!$O$10:$O$109,$DC52)="",NOT(ISNUMBER(INDEX(排期计算!$O$10:$O$109,$DC52)))),"",INDEX(排期计算!$O$10:$O$109,$DC52)))</f>
        <v/>
      </c>
      <c r="G52" s="8" t="str">
        <f>IF($A52="","",IF(OR($C52="",$D52=""),"未排期",IF($F52&gt;=1,"已完成",IF($D52&lt;$B$4,"逾期",IF($C52&gt;$B$4,"未开始","进行中")))))</f>
        <v/>
      </c>
      <c r="H52" s="1" t="str">
        <f>IF($DC52="","",IF(AND(INDEX(排期计算!$C$10:$C$109,$DC52)="",NOT(ISNUMBER(INDEX(排期计算!$C$10:$C$109,$DC52)))),"",INDEX(排期计算!$C$10:$C$109,$DC52)))</f>
        <v/>
      </c>
      <c r="I52" s="1" t="str">
        <f>IF($DC52="","",IF(AND(INDEX(排期计算!$H$10:$H$109,$DC52)="",NOT(ISNUMBER(INDEX(排期计算!$H$10:$H$109,$DC52)))),"",INDEX(排期计算!$H$10:$H$109,$DC52)))</f>
        <v/>
      </c>
      <c r="J52" s="1" t="str">
        <f>IF($DC52="","",IF(AND(INDEX(排期计算!$K$10:$K$109,$DC52)="",NOT(ISNUMBER(INDEX(排期计算!$K$10:$K$109,$DC52)))),"",INDEX(排期计算!$K$10:$K$109,$DC52)))</f>
        <v/>
      </c>
      <c r="K52" s="8" t="str">
        <f>IF(OR($A52="",$C52="",$D52="",$C52&gt;K$6,$D52&lt;K$9),"",IF($J52="里程碑","◆",""))</f>
        <v/>
      </c>
      <c r="L52" s="8" t="str">
        <f>IF(OR($A52="",$C52="",$D52="",$C52&gt;L$6,$D52&lt;L$9),"",IF($J52="里程碑","◆",""))</f>
        <v/>
      </c>
      <c r="M52" s="8" t="str">
        <f>IF(OR($A52="",$C52="",$D52="",$C52&gt;M$6,$D52&lt;M$9),"",IF($J52="里程碑","◆",""))</f>
        <v/>
      </c>
      <c r="N52" s="8" t="str">
        <f>IF(OR($A52="",$C52="",$D52="",$C52&gt;N$6,$D52&lt;N$9),"",IF($J52="里程碑","◆",""))</f>
        <v/>
      </c>
      <c r="O52" s="8" t="str">
        <f>IF(OR($A52="",$C52="",$D52="",$C52&gt;O$6,$D52&lt;O$9),"",IF($J52="里程碑","◆",""))</f>
        <v/>
      </c>
      <c r="P52" s="8" t="str">
        <f>IF(OR($A52="",$C52="",$D52="",$C52&gt;P$6,$D52&lt;P$9),"",IF($J52="里程碑","◆",""))</f>
        <v/>
      </c>
      <c r="Q52" s="8" t="str">
        <f>IF(OR($A52="",$C52="",$D52="",$C52&gt;Q$6,$D52&lt;Q$9),"",IF($J52="里程碑","◆",""))</f>
        <v/>
      </c>
      <c r="R52" s="8" t="str">
        <f>IF(OR($A52="",$C52="",$D52="",$C52&gt;R$6,$D52&lt;R$9),"",IF($J52="里程碑","◆",""))</f>
        <v/>
      </c>
      <c r="S52" s="8" t="str">
        <f>IF(OR($A52="",$C52="",$D52="",$C52&gt;S$6,$D52&lt;S$9),"",IF($J52="里程碑","◆",""))</f>
        <v/>
      </c>
      <c r="T52" s="8" t="str">
        <f>IF(OR($A52="",$C52="",$D52="",$C52&gt;T$6,$D52&lt;T$9),"",IF($J52="里程碑","◆",""))</f>
        <v/>
      </c>
      <c r="U52" s="8" t="str">
        <f>IF(OR($A52="",$C52="",$D52="",$C52&gt;U$6,$D52&lt;U$9),"",IF($J52="里程碑","◆",""))</f>
        <v/>
      </c>
      <c r="V52" s="8" t="str">
        <f>IF(OR($A52="",$C52="",$D52="",$C52&gt;V$6,$D52&lt;V$9),"",IF($J52="里程碑","◆",""))</f>
        <v/>
      </c>
      <c r="W52" s="8" t="str">
        <f>IF(OR($A52="",$C52="",$D52="",$C52&gt;W$6,$D52&lt;W$9),"",IF($J52="里程碑","◆",""))</f>
        <v/>
      </c>
      <c r="X52" s="8" t="str">
        <f>IF(OR($A52="",$C52="",$D52="",$C52&gt;X$6,$D52&lt;X$9),"",IF($J52="里程碑","◆",""))</f>
        <v/>
      </c>
      <c r="Y52" s="8" t="str">
        <f>IF(OR($A52="",$C52="",$D52="",$C52&gt;Y$6,$D52&lt;Y$9),"",IF($J52="里程碑","◆",""))</f>
        <v/>
      </c>
      <c r="Z52" s="8" t="str">
        <f>IF(OR($A52="",$C52="",$D52="",$C52&gt;Z$6,$D52&lt;Z$9),"",IF($J52="里程碑","◆",""))</f>
        <v/>
      </c>
      <c r="AA52" s="8" t="str">
        <f>IF(OR($A52="",$C52="",$D52="",$C52&gt;AA$6,$D52&lt;AA$9),"",IF($J52="里程碑","◆",""))</f>
        <v/>
      </c>
      <c r="AB52" s="8" t="str">
        <f>IF(OR($A52="",$C52="",$D52="",$C52&gt;AB$6,$D52&lt;AB$9),"",IF($J52="里程碑","◆",""))</f>
        <v/>
      </c>
      <c r="AC52" s="8" t="str">
        <f>IF(OR($A52="",$C52="",$D52="",$C52&gt;AC$6,$D52&lt;AC$9),"",IF($J52="里程碑","◆",""))</f>
        <v/>
      </c>
      <c r="AD52" s="8" t="str">
        <f>IF(OR($A52="",$C52="",$D52="",$C52&gt;AD$6,$D52&lt;AD$9),"",IF($J52="里程碑","◆",""))</f>
        <v/>
      </c>
      <c r="AE52" s="8" t="str">
        <f>IF(OR($A52="",$C52="",$D52="",$C52&gt;AE$6,$D52&lt;AE$9),"",IF($J52="里程碑","◆",""))</f>
        <v/>
      </c>
      <c r="AF52" s="8" t="str">
        <f>IF(OR($A52="",$C52="",$D52="",$C52&gt;AF$6,$D52&lt;AF$9),"",IF($J52="里程碑","◆",""))</f>
        <v/>
      </c>
      <c r="AG52" s="8" t="str">
        <f>IF(OR($A52="",$C52="",$D52="",$C52&gt;AG$6,$D52&lt;AG$9),"",IF($J52="里程碑","◆",""))</f>
        <v/>
      </c>
      <c r="AH52" s="8" t="str">
        <f>IF(OR($A52="",$C52="",$D52="",$C52&gt;AH$6,$D52&lt;AH$9),"",IF($J52="里程碑","◆",""))</f>
        <v/>
      </c>
      <c r="AI52" s="8" t="str">
        <f>IF(OR($A52="",$C52="",$D52="",$C52&gt;AI$6,$D52&lt;AI$9),"",IF($J52="里程碑","◆",""))</f>
        <v/>
      </c>
      <c r="AJ52" s="8" t="str">
        <f>IF(OR($A52="",$C52="",$D52="",$C52&gt;AJ$6,$D52&lt;AJ$9),"",IF($J52="里程碑","◆",""))</f>
        <v/>
      </c>
      <c r="AK52" s="8" t="str">
        <f>IF(OR($A52="",$C52="",$D52="",$C52&gt;AK$6,$D52&lt;AK$9),"",IF($J52="里程碑","◆",""))</f>
        <v/>
      </c>
      <c r="AL52" s="8" t="str">
        <f>IF(OR($A52="",$C52="",$D52="",$C52&gt;AL$6,$D52&lt;AL$9),"",IF($J52="里程碑","◆",""))</f>
        <v/>
      </c>
      <c r="AM52" s="8" t="str">
        <f>IF(OR($A52="",$C52="",$D52="",$C52&gt;AM$6,$D52&lt;AM$9),"",IF($J52="里程碑","◆",""))</f>
        <v/>
      </c>
      <c r="AN52" s="8" t="str">
        <f>IF(OR($A52="",$C52="",$D52="",$C52&gt;AN$6,$D52&lt;AN$9),"",IF($J52="里程碑","◆",""))</f>
        <v/>
      </c>
      <c r="AO52" s="8" t="str">
        <f>IF(OR($A52="",$C52="",$D52="",$C52&gt;AO$6,$D52&lt;AO$9),"",IF($J52="里程碑","◆",""))</f>
        <v/>
      </c>
      <c r="AP52" s="8" t="str">
        <f>IF(OR($A52="",$C52="",$D52="",$C52&gt;AP$6,$D52&lt;AP$9),"",IF($J52="里程碑","◆",""))</f>
        <v/>
      </c>
      <c r="AQ52" s="8" t="str">
        <f>IF(OR($A52="",$C52="",$D52="",$C52&gt;AQ$6,$D52&lt;AQ$9),"",IF($J52="里程碑","◆",""))</f>
        <v/>
      </c>
      <c r="AR52" s="8" t="str">
        <f>IF(OR($A52="",$C52="",$D52="",$C52&gt;AR$6,$D52&lt;AR$9),"",IF($J52="里程碑","◆",""))</f>
        <v/>
      </c>
      <c r="AS52" s="8" t="str">
        <f>IF(OR($A52="",$C52="",$D52="",$C52&gt;AS$6,$D52&lt;AS$9),"",IF($J52="里程碑","◆",""))</f>
        <v/>
      </c>
      <c r="AT52" s="8" t="str">
        <f>IF(OR($A52="",$C52="",$D52="",$C52&gt;AT$6,$D52&lt;AT$9),"",IF($J52="里程碑","◆",""))</f>
        <v/>
      </c>
      <c r="AU52" s="8" t="str">
        <f>IF(OR($A52="",$C52="",$D52="",$C52&gt;AU$6,$D52&lt;AU$9),"",IF($J52="里程碑","◆",""))</f>
        <v/>
      </c>
      <c r="AV52" s="8" t="str">
        <f>IF(OR($A52="",$C52="",$D52="",$C52&gt;AV$6,$D52&lt;AV$9),"",IF($J52="里程碑","◆",""))</f>
        <v/>
      </c>
      <c r="AW52" s="8" t="str">
        <f>IF(OR($A52="",$C52="",$D52="",$C52&gt;AW$6,$D52&lt;AW$9),"",IF($J52="里程碑","◆",""))</f>
        <v/>
      </c>
      <c r="AX52" s="8" t="str">
        <f>IF(OR($A52="",$C52="",$D52="",$C52&gt;AX$6,$D52&lt;AX$9),"",IF($J52="里程碑","◆",""))</f>
        <v/>
      </c>
      <c r="AY52" s="8" t="str">
        <f>IF(OR($A52="",$C52="",$D52="",$C52&gt;AY$6,$D52&lt;AY$9),"",IF($J52="里程碑","◆",""))</f>
        <v/>
      </c>
      <c r="AZ52" s="8" t="str">
        <f>IF(OR($A52="",$C52="",$D52="",$C52&gt;AZ$6,$D52&lt;AZ$9),"",IF($J52="里程碑","◆",""))</f>
        <v/>
      </c>
      <c r="BA52" s="8" t="str">
        <f>IF(OR($A52="",$C52="",$D52="",$C52&gt;BA$6,$D52&lt;BA$9),"",IF($J52="里程碑","◆",""))</f>
        <v/>
      </c>
      <c r="BB52" s="8" t="str">
        <f>IF(OR($A52="",$C52="",$D52="",$C52&gt;BB$6,$D52&lt;BB$9),"",IF($J52="里程碑","◆",""))</f>
        <v/>
      </c>
      <c r="BC52" s="8" t="str">
        <f>IF(OR($A52="",$C52="",$D52="",$C52&gt;BC$6,$D52&lt;BC$9),"",IF($J52="里程碑","◆",""))</f>
        <v/>
      </c>
      <c r="BD52" s="8" t="str">
        <f>IF(OR($A52="",$C52="",$D52="",$C52&gt;BD$6,$D52&lt;BD$9),"",IF($J52="里程碑","◆",""))</f>
        <v/>
      </c>
      <c r="BE52" s="8" t="str">
        <f>IF(OR($A52="",$C52="",$D52="",$C52&gt;BE$6,$D52&lt;BE$9),"",IF($J52="里程碑","◆",""))</f>
        <v/>
      </c>
      <c r="BF52" s="8" t="str">
        <f>IF(OR($A52="",$C52="",$D52="",$C52&gt;BF$6,$D52&lt;BF$9),"",IF($J52="里程碑","◆",""))</f>
        <v/>
      </c>
      <c r="BG52" s="8" t="str">
        <f>IF(OR($A52="",$C52="",$D52="",$C52&gt;BG$6,$D52&lt;BG$9),"",IF($J52="里程碑","◆",""))</f>
        <v/>
      </c>
      <c r="BH52" s="8" t="str">
        <f>IF(OR($A52="",$C52="",$D52="",$C52&gt;BH$6,$D52&lt;BH$9),"",IF($J52="里程碑","◆",""))</f>
        <v/>
      </c>
      <c r="BI52" s="8" t="str">
        <f>IF(OR($A52="",$C52="",$D52="",$C52&gt;BI$6,$D52&lt;BI$9),"",IF($J52="里程碑","◆",""))</f>
        <v/>
      </c>
      <c r="BJ52" s="8" t="str">
        <f>IF(OR($A52="",$C52="",$D52="",$C52&gt;BJ$6,$D52&lt;BJ$9),"",IF($J52="里程碑","◆",""))</f>
        <v/>
      </c>
      <c r="BK52" s="8" t="str">
        <f>IF(OR($A52="",$C52="",$D52="",$C52&gt;BK$6,$D52&lt;BK$9),"",IF($J52="里程碑","◆",""))</f>
        <v/>
      </c>
      <c r="BL52" s="8" t="str">
        <f>IF(OR($A52="",$C52="",$D52="",$C52&gt;BL$6,$D52&lt;BL$9),"",IF($J52="里程碑","◆",""))</f>
        <v/>
      </c>
      <c r="BM52" s="8" t="str">
        <f>IF(OR($A52="",$C52="",$D52="",$C52&gt;BM$6,$D52&lt;BM$9),"",IF($J52="里程碑","◆",""))</f>
        <v/>
      </c>
      <c r="BN52" s="8" t="str">
        <f>IF(OR($A52="",$C52="",$D52="",$C52&gt;BN$6,$D52&lt;BN$9),"",IF($J52="里程碑","◆",""))</f>
        <v/>
      </c>
      <c r="BO52" s="8" t="str">
        <f>IF(OR($A52="",$C52="",$D52="",$C52&gt;BO$6,$D52&lt;BO$9),"",IF($J52="里程碑","◆",""))</f>
        <v/>
      </c>
      <c r="BP52" s="8" t="str">
        <f>IF(OR($A52="",$C52="",$D52="",$C52&gt;BP$6,$D52&lt;BP$9),"",IF($J52="里程碑","◆",""))</f>
        <v/>
      </c>
      <c r="BQ52" s="8" t="str">
        <f>IF(OR($A52="",$C52="",$D52="",$C52&gt;BQ$6,$D52&lt;BQ$9),"",IF($J52="里程碑","◆",""))</f>
        <v/>
      </c>
      <c r="BR52" s="8" t="str">
        <f>IF(OR($A52="",$C52="",$D52="",$C52&gt;BR$6,$D52&lt;BR$9),"",IF($J52="里程碑","◆",""))</f>
        <v/>
      </c>
      <c r="BS52" s="8" t="str">
        <f>IF(OR($A52="",$C52="",$D52="",$C52&gt;BS$6,$D52&lt;BS$9),"",IF($J52="里程碑","◆",""))</f>
        <v/>
      </c>
      <c r="BT52" s="8" t="str">
        <f>IF(OR($A52="",$C52="",$D52="",$C52&gt;BT$6,$D52&lt;BT$9),"",IF($J52="里程碑","◆",""))</f>
        <v/>
      </c>
      <c r="BU52" s="8" t="str">
        <f>IF(OR($A52="",$C52="",$D52="",$C52&gt;BU$6,$D52&lt;BU$9),"",IF($J52="里程碑","◆",""))</f>
        <v/>
      </c>
      <c r="BV52" s="8" t="str">
        <f>IF(OR($A52="",$C52="",$D52="",$C52&gt;BV$6,$D52&lt;BV$9),"",IF($J52="里程碑","◆",""))</f>
        <v/>
      </c>
      <c r="BW52" s="8" t="str">
        <f>IF(OR($A52="",$C52="",$D52="",$C52&gt;BW$6,$D52&lt;BW$9),"",IF($J52="里程碑","◆",""))</f>
        <v/>
      </c>
      <c r="BX52" s="8" t="str">
        <f>IF(OR($A52="",$C52="",$D52="",$C52&gt;BX$6,$D52&lt;BX$9),"",IF($J52="里程碑","◆",""))</f>
        <v/>
      </c>
      <c r="BY52" s="8" t="str">
        <f>IF(OR($A52="",$C52="",$D52="",$C52&gt;BY$6,$D52&lt;BY$9),"",IF($J52="里程碑","◆",""))</f>
        <v/>
      </c>
      <c r="BZ52" s="8" t="str">
        <f>IF(OR($A52="",$C52="",$D52="",$C52&gt;BZ$6,$D52&lt;BZ$9),"",IF($J52="里程碑","◆",""))</f>
        <v/>
      </c>
      <c r="CA52" s="8" t="str">
        <f>IF(OR($A52="",$C52="",$D52="",$C52&gt;CA$6,$D52&lt;CA$9),"",IF($J52="里程碑","◆",""))</f>
        <v/>
      </c>
      <c r="CB52" s="8" t="str">
        <f>IF(OR($A52="",$C52="",$D52="",$C52&gt;CB$6,$D52&lt;CB$9),"",IF($J52="里程碑","◆",""))</f>
        <v/>
      </c>
      <c r="CC52" s="8" t="str">
        <f>IF(OR($A52="",$C52="",$D52="",$C52&gt;CC$6,$D52&lt;CC$9),"",IF($J52="里程碑","◆",""))</f>
        <v/>
      </c>
      <c r="CD52" s="8" t="str">
        <f>IF(OR($A52="",$C52="",$D52="",$C52&gt;CD$6,$D52&lt;CD$9),"",IF($J52="里程碑","◆",""))</f>
        <v/>
      </c>
      <c r="CE52" s="8" t="str">
        <f>IF(OR($A52="",$C52="",$D52="",$C52&gt;CE$6,$D52&lt;CE$9),"",IF($J52="里程碑","◆",""))</f>
        <v/>
      </c>
      <c r="CF52" s="8" t="str">
        <f>IF(OR($A52="",$C52="",$D52="",$C52&gt;CF$6,$D52&lt;CF$9),"",IF($J52="里程碑","◆",""))</f>
        <v/>
      </c>
      <c r="CG52" s="8" t="str">
        <f>IF(OR($A52="",$C52="",$D52="",$C52&gt;CG$6,$D52&lt;CG$9),"",IF($J52="里程碑","◆",""))</f>
        <v/>
      </c>
      <c r="CH52" s="8" t="str">
        <f>IF(OR($A52="",$C52="",$D52="",$C52&gt;CH$6,$D52&lt;CH$9),"",IF($J52="里程碑","◆",""))</f>
        <v/>
      </c>
      <c r="CI52" s="8" t="str">
        <f>IF(OR($A52="",$C52="",$D52="",$C52&gt;CI$6,$D52&lt;CI$9),"",IF($J52="里程碑","◆",""))</f>
        <v/>
      </c>
      <c r="CJ52" s="8" t="str">
        <f>IF(OR($A52="",$C52="",$D52="",$C52&gt;CJ$6,$D52&lt;CJ$9),"",IF($J52="里程碑","◆",""))</f>
        <v/>
      </c>
      <c r="CK52" s="8" t="str">
        <f>IF(OR($A52="",$C52="",$D52="",$C52&gt;CK$6,$D52&lt;CK$9),"",IF($J52="里程碑","◆",""))</f>
        <v/>
      </c>
      <c r="CL52" s="8" t="str">
        <f>IF(OR($A52="",$C52="",$D52="",$C52&gt;CL$6,$D52&lt;CL$9),"",IF($J52="里程碑","◆",""))</f>
        <v/>
      </c>
      <c r="CM52" s="8" t="str">
        <f>IF(OR($A52="",$C52="",$D52="",$C52&gt;CM$6,$D52&lt;CM$9),"",IF($J52="里程碑","◆",""))</f>
        <v/>
      </c>
      <c r="CN52" s="8" t="str">
        <f>IF(OR($A52="",$C52="",$D52="",$C52&gt;CN$6,$D52&lt;CN$9),"",IF($J52="里程碑","◆",""))</f>
        <v/>
      </c>
      <c r="CO52" s="8" t="str">
        <f>IF(OR($A52="",$C52="",$D52="",$C52&gt;CO$6,$D52&lt;CO$9),"",IF($J52="里程碑","◆",""))</f>
        <v/>
      </c>
      <c r="CP52" s="8" t="str">
        <f>IF(OR($A52="",$C52="",$D52="",$C52&gt;CP$6,$D52&lt;CP$9),"",IF($J52="里程碑","◆",""))</f>
        <v/>
      </c>
      <c r="CQ52" s="8" t="str">
        <f>IF(OR($A52="",$C52="",$D52="",$C52&gt;CQ$6,$D52&lt;CQ$9),"",IF($J52="里程碑","◆",""))</f>
        <v/>
      </c>
      <c r="CR52" s="8" t="str">
        <f>IF(OR($A52="",$C52="",$D52="",$C52&gt;CR$6,$D52&lt;CR$9),"",IF($J52="里程碑","◆",""))</f>
        <v/>
      </c>
      <c r="CS52" s="8" t="str">
        <f>IF(OR($A52="",$C52="",$D52="",$C52&gt;CS$6,$D52&lt;CS$9),"",IF($J52="里程碑","◆",""))</f>
        <v/>
      </c>
      <c r="CT52" s="8" t="str">
        <f>IF(OR($A52="",$C52="",$D52="",$C52&gt;CT$6,$D52&lt;CT$9),"",IF($J52="里程碑","◆",""))</f>
        <v/>
      </c>
      <c r="CU52" s="8" t="str">
        <f>IF(OR($A52="",$C52="",$D52="",$C52&gt;CU$6,$D52&lt;CU$9),"",IF($J52="里程碑","◆",""))</f>
        <v/>
      </c>
      <c r="CV52" s="8" t="str">
        <f>IF(OR($A52="",$C52="",$D52="",$C52&gt;CV$6,$D52&lt;CV$9),"",IF($J52="里程碑","◆",""))</f>
        <v/>
      </c>
      <c r="CW52" s="8" t="str">
        <f>IF(OR($A52="",$C52="",$D52="",$C52&gt;CW$6,$D52&lt;CW$9),"",IF($J52="里程碑","◆",""))</f>
        <v/>
      </c>
      <c r="CX52" s="8" t="str">
        <f>IF(OR($A52="",$C52="",$D52="",$C52&gt;CX$6,$D52&lt;CX$9),"",IF($J52="里程碑","◆",""))</f>
        <v/>
      </c>
      <c r="CY52" s="8" t="str">
        <f>IF(OR($A52="",$C52="",$D52="",$C52&gt;CY$6,$D52&lt;CY$9),"",IF($J52="里程碑","◆",""))</f>
        <v/>
      </c>
      <c r="CZ52" s="8" t="str">
        <f>IF(OR($A52="",$C52="",$D52="",$C52&gt;CZ$6,$D52&lt;CZ$9),"",IF($J52="里程碑","◆",""))</f>
        <v/>
      </c>
      <c r="DA52" s="8" t="str">
        <f>IF(OR($A52="",$C52="",$D52="",$C52&gt;DA$6,$D52&lt;DA$9),"",IF($J52="里程碑","◆",""))</f>
        <v/>
      </c>
      <c r="DB52" s="8" t="str">
        <f>IF(OR($A52="",$C52="",$D52="",$C52&gt;DB$6,$D52&lt;DB$9),"",IF($J52="里程碑","◆",""))</f>
        <v/>
      </c>
      <c r="DC52" s="1" t="str">
        <f>IF(ROW()-9&gt;$DH$3,"",MATCH(ROW()-9,排期计算!$U$10:$U$109,0))</f>
        <v/>
      </c>
      <c r="DD52" s="1" t="str">
        <f>IF($DC52="","",INDEX(排期计算!$L$10:$L$109,$DC52))</f>
        <v/>
      </c>
      <c r="DE52" s="1"/>
      <c r="DF52" s="1"/>
      <c r="DG52" s="1"/>
      <c r="DH52" s="1"/>
      <c r="DI52" s="1"/>
      <c r="DJ52" s="1"/>
      <c r="DK52" s="1"/>
    </row>
    <row r="53" spans="1:115" ht="24.95" customHeight="1">
      <c r="A53" s="9" t="str">
        <f>IF($DC53="","",IF(AND(INDEX(排期计算!$A$10:$A$109,$DC53)="",NOT(ISNUMBER(INDEX(排期计算!$A$10:$A$109,$DC53)))),"",INDEX(排期计算!$A$10:$A$109,$DC53)))</f>
        <v/>
      </c>
      <c r="B53" s="1" t="str">
        <f>IF($DC53="","",REPT("　",$DD53-1)&amp;INDEX(排期计算!$B$10:$B$109,$DC53))</f>
        <v/>
      </c>
      <c r="C53" s="3" t="str">
        <f>IF($DC53="","",IF(AND(INDEX(排期计算!$M$10:$M$109,$DC53)="",NOT(ISNUMBER(INDEX(排期计算!$M$10:$M$109,$DC53)))),"",INDEX(排期计算!$M$10:$M$109,$DC53)))</f>
        <v/>
      </c>
      <c r="D53" s="3" t="str">
        <f>IF($DC53="","",IF(AND(INDEX(排期计算!$N$10:$N$109,$DC53)="",NOT(ISNUMBER(INDEX(排期计算!$N$10:$N$109,$DC53)))),"",INDEX(排期计算!$N$10:$N$109,$DC53)))</f>
        <v/>
      </c>
      <c r="E53" s="1" t="str">
        <f>IF(OR($C53="",$D53=""),"",IF($J53="里程碑",0,NETWORKDAYS($C53,$D53)))</f>
        <v/>
      </c>
      <c r="F53" s="7" t="str">
        <f>IF($DC53="","",IF(AND(INDEX(排期计算!$O$10:$O$109,$DC53)="",NOT(ISNUMBER(INDEX(排期计算!$O$10:$O$109,$DC53)))),"",INDEX(排期计算!$O$10:$O$109,$DC53)))</f>
        <v/>
      </c>
      <c r="G53" s="8" t="str">
        <f>IF($A53="","",IF(OR($C53="",$D53=""),"未排期",IF($F53&gt;=1,"已完成",IF($D53&lt;$B$4,"逾期",IF($C53&gt;$B$4,"未开始","进行中")))))</f>
        <v/>
      </c>
      <c r="H53" s="1" t="str">
        <f>IF($DC53="","",IF(AND(INDEX(排期计算!$C$10:$C$109,$DC53)="",NOT(ISNUMBER(INDEX(排期计算!$C$10:$C$109,$DC53)))),"",INDEX(排期计算!$C$10:$C$109,$DC53)))</f>
        <v/>
      </c>
      <c r="I53" s="1" t="str">
        <f>IF($DC53="","",IF(AND(INDEX(排期计算!$H$10:$H$109,$DC53)="",NOT(ISNUMBER(INDEX(排期计算!$H$10:$H$109,$DC53)))),"",INDEX(排期计算!$H$10:$H$109,$DC53)))</f>
        <v/>
      </c>
      <c r="J53" s="1" t="str">
        <f>IF($DC53="","",IF(AND(INDEX(排期计算!$K$10:$K$109,$DC53)="",NOT(ISNUMBER(INDEX(排期计算!$K$10:$K$109,$DC53)))),"",INDEX(排期计算!$K$10:$K$109,$DC53)))</f>
        <v/>
      </c>
      <c r="K53" s="8" t="str">
        <f>IF(OR($A53="",$C53="",$D53="",$C53&gt;K$6,$D53&lt;K$9),"",IF($J53="里程碑","◆",""))</f>
        <v/>
      </c>
      <c r="L53" s="8" t="str">
        <f>IF(OR($A53="",$C53="",$D53="",$C53&gt;L$6,$D53&lt;L$9),"",IF($J53="里程碑","◆",""))</f>
        <v/>
      </c>
      <c r="M53" s="8" t="str">
        <f>IF(OR($A53="",$C53="",$D53="",$C53&gt;M$6,$D53&lt;M$9),"",IF($J53="里程碑","◆",""))</f>
        <v/>
      </c>
      <c r="N53" s="8" t="str">
        <f>IF(OR($A53="",$C53="",$D53="",$C53&gt;N$6,$D53&lt;N$9),"",IF($J53="里程碑","◆",""))</f>
        <v/>
      </c>
      <c r="O53" s="8" t="str">
        <f>IF(OR($A53="",$C53="",$D53="",$C53&gt;O$6,$D53&lt;O$9),"",IF($J53="里程碑","◆",""))</f>
        <v/>
      </c>
      <c r="P53" s="8" t="str">
        <f>IF(OR($A53="",$C53="",$D53="",$C53&gt;P$6,$D53&lt;P$9),"",IF($J53="里程碑","◆",""))</f>
        <v/>
      </c>
      <c r="Q53" s="8" t="str">
        <f>IF(OR($A53="",$C53="",$D53="",$C53&gt;Q$6,$D53&lt;Q$9),"",IF($J53="里程碑","◆",""))</f>
        <v/>
      </c>
      <c r="R53" s="8" t="str">
        <f>IF(OR($A53="",$C53="",$D53="",$C53&gt;R$6,$D53&lt;R$9),"",IF($J53="里程碑","◆",""))</f>
        <v/>
      </c>
      <c r="S53" s="8" t="str">
        <f>IF(OR($A53="",$C53="",$D53="",$C53&gt;S$6,$D53&lt;S$9),"",IF($J53="里程碑","◆",""))</f>
        <v/>
      </c>
      <c r="T53" s="8" t="str">
        <f>IF(OR($A53="",$C53="",$D53="",$C53&gt;T$6,$D53&lt;T$9),"",IF($J53="里程碑","◆",""))</f>
        <v/>
      </c>
      <c r="U53" s="8" t="str">
        <f>IF(OR($A53="",$C53="",$D53="",$C53&gt;U$6,$D53&lt;U$9),"",IF($J53="里程碑","◆",""))</f>
        <v/>
      </c>
      <c r="V53" s="8" t="str">
        <f>IF(OR($A53="",$C53="",$D53="",$C53&gt;V$6,$D53&lt;V$9),"",IF($J53="里程碑","◆",""))</f>
        <v/>
      </c>
      <c r="W53" s="8" t="str">
        <f>IF(OR($A53="",$C53="",$D53="",$C53&gt;W$6,$D53&lt;W$9),"",IF($J53="里程碑","◆",""))</f>
        <v/>
      </c>
      <c r="X53" s="8" t="str">
        <f>IF(OR($A53="",$C53="",$D53="",$C53&gt;X$6,$D53&lt;X$9),"",IF($J53="里程碑","◆",""))</f>
        <v/>
      </c>
      <c r="Y53" s="8" t="str">
        <f>IF(OR($A53="",$C53="",$D53="",$C53&gt;Y$6,$D53&lt;Y$9),"",IF($J53="里程碑","◆",""))</f>
        <v/>
      </c>
      <c r="Z53" s="8" t="str">
        <f>IF(OR($A53="",$C53="",$D53="",$C53&gt;Z$6,$D53&lt;Z$9),"",IF($J53="里程碑","◆",""))</f>
        <v/>
      </c>
      <c r="AA53" s="8" t="str">
        <f>IF(OR($A53="",$C53="",$D53="",$C53&gt;AA$6,$D53&lt;AA$9),"",IF($J53="里程碑","◆",""))</f>
        <v/>
      </c>
      <c r="AB53" s="8" t="str">
        <f>IF(OR($A53="",$C53="",$D53="",$C53&gt;AB$6,$D53&lt;AB$9),"",IF($J53="里程碑","◆",""))</f>
        <v/>
      </c>
      <c r="AC53" s="8" t="str">
        <f>IF(OR($A53="",$C53="",$D53="",$C53&gt;AC$6,$D53&lt;AC$9),"",IF($J53="里程碑","◆",""))</f>
        <v/>
      </c>
      <c r="AD53" s="8" t="str">
        <f>IF(OR($A53="",$C53="",$D53="",$C53&gt;AD$6,$D53&lt;AD$9),"",IF($J53="里程碑","◆",""))</f>
        <v/>
      </c>
      <c r="AE53" s="8" t="str">
        <f>IF(OR($A53="",$C53="",$D53="",$C53&gt;AE$6,$D53&lt;AE$9),"",IF($J53="里程碑","◆",""))</f>
        <v/>
      </c>
      <c r="AF53" s="8" t="str">
        <f>IF(OR($A53="",$C53="",$D53="",$C53&gt;AF$6,$D53&lt;AF$9),"",IF($J53="里程碑","◆",""))</f>
        <v/>
      </c>
      <c r="AG53" s="8" t="str">
        <f>IF(OR($A53="",$C53="",$D53="",$C53&gt;AG$6,$D53&lt;AG$9),"",IF($J53="里程碑","◆",""))</f>
        <v/>
      </c>
      <c r="AH53" s="8" t="str">
        <f>IF(OR($A53="",$C53="",$D53="",$C53&gt;AH$6,$D53&lt;AH$9),"",IF($J53="里程碑","◆",""))</f>
        <v/>
      </c>
      <c r="AI53" s="8" t="str">
        <f>IF(OR($A53="",$C53="",$D53="",$C53&gt;AI$6,$D53&lt;AI$9),"",IF($J53="里程碑","◆",""))</f>
        <v/>
      </c>
      <c r="AJ53" s="8" t="str">
        <f>IF(OR($A53="",$C53="",$D53="",$C53&gt;AJ$6,$D53&lt;AJ$9),"",IF($J53="里程碑","◆",""))</f>
        <v/>
      </c>
      <c r="AK53" s="8" t="str">
        <f>IF(OR($A53="",$C53="",$D53="",$C53&gt;AK$6,$D53&lt;AK$9),"",IF($J53="里程碑","◆",""))</f>
        <v/>
      </c>
      <c r="AL53" s="8" t="str">
        <f>IF(OR($A53="",$C53="",$D53="",$C53&gt;AL$6,$D53&lt;AL$9),"",IF($J53="里程碑","◆",""))</f>
        <v/>
      </c>
      <c r="AM53" s="8" t="str">
        <f>IF(OR($A53="",$C53="",$D53="",$C53&gt;AM$6,$D53&lt;AM$9),"",IF($J53="里程碑","◆",""))</f>
        <v/>
      </c>
      <c r="AN53" s="8" t="str">
        <f>IF(OR($A53="",$C53="",$D53="",$C53&gt;AN$6,$D53&lt;AN$9),"",IF($J53="里程碑","◆",""))</f>
        <v/>
      </c>
      <c r="AO53" s="8" t="str">
        <f>IF(OR($A53="",$C53="",$D53="",$C53&gt;AO$6,$D53&lt;AO$9),"",IF($J53="里程碑","◆",""))</f>
        <v/>
      </c>
      <c r="AP53" s="8" t="str">
        <f>IF(OR($A53="",$C53="",$D53="",$C53&gt;AP$6,$D53&lt;AP$9),"",IF($J53="里程碑","◆",""))</f>
        <v/>
      </c>
      <c r="AQ53" s="8" t="str">
        <f>IF(OR($A53="",$C53="",$D53="",$C53&gt;AQ$6,$D53&lt;AQ$9),"",IF($J53="里程碑","◆",""))</f>
        <v/>
      </c>
      <c r="AR53" s="8" t="str">
        <f>IF(OR($A53="",$C53="",$D53="",$C53&gt;AR$6,$D53&lt;AR$9),"",IF($J53="里程碑","◆",""))</f>
        <v/>
      </c>
      <c r="AS53" s="8" t="str">
        <f>IF(OR($A53="",$C53="",$D53="",$C53&gt;AS$6,$D53&lt;AS$9),"",IF($J53="里程碑","◆",""))</f>
        <v/>
      </c>
      <c r="AT53" s="8" t="str">
        <f>IF(OR($A53="",$C53="",$D53="",$C53&gt;AT$6,$D53&lt;AT$9),"",IF($J53="里程碑","◆",""))</f>
        <v/>
      </c>
      <c r="AU53" s="8" t="str">
        <f>IF(OR($A53="",$C53="",$D53="",$C53&gt;AU$6,$D53&lt;AU$9),"",IF($J53="里程碑","◆",""))</f>
        <v/>
      </c>
      <c r="AV53" s="8" t="str">
        <f>IF(OR($A53="",$C53="",$D53="",$C53&gt;AV$6,$D53&lt;AV$9),"",IF($J53="里程碑","◆",""))</f>
        <v/>
      </c>
      <c r="AW53" s="8" t="str">
        <f>IF(OR($A53="",$C53="",$D53="",$C53&gt;AW$6,$D53&lt;AW$9),"",IF($J53="里程碑","◆",""))</f>
        <v/>
      </c>
      <c r="AX53" s="8" t="str">
        <f>IF(OR($A53="",$C53="",$D53="",$C53&gt;AX$6,$D53&lt;AX$9),"",IF($J53="里程碑","◆",""))</f>
        <v/>
      </c>
      <c r="AY53" s="8" t="str">
        <f>IF(OR($A53="",$C53="",$D53="",$C53&gt;AY$6,$D53&lt;AY$9),"",IF($J53="里程碑","◆",""))</f>
        <v/>
      </c>
      <c r="AZ53" s="8" t="str">
        <f>IF(OR($A53="",$C53="",$D53="",$C53&gt;AZ$6,$D53&lt;AZ$9),"",IF($J53="里程碑","◆",""))</f>
        <v/>
      </c>
      <c r="BA53" s="8" t="str">
        <f>IF(OR($A53="",$C53="",$D53="",$C53&gt;BA$6,$D53&lt;BA$9),"",IF($J53="里程碑","◆",""))</f>
        <v/>
      </c>
      <c r="BB53" s="8" t="str">
        <f>IF(OR($A53="",$C53="",$D53="",$C53&gt;BB$6,$D53&lt;BB$9),"",IF($J53="里程碑","◆",""))</f>
        <v/>
      </c>
      <c r="BC53" s="8" t="str">
        <f>IF(OR($A53="",$C53="",$D53="",$C53&gt;BC$6,$D53&lt;BC$9),"",IF($J53="里程碑","◆",""))</f>
        <v/>
      </c>
      <c r="BD53" s="8" t="str">
        <f>IF(OR($A53="",$C53="",$D53="",$C53&gt;BD$6,$D53&lt;BD$9),"",IF($J53="里程碑","◆",""))</f>
        <v/>
      </c>
      <c r="BE53" s="8" t="str">
        <f>IF(OR($A53="",$C53="",$D53="",$C53&gt;BE$6,$D53&lt;BE$9),"",IF($J53="里程碑","◆",""))</f>
        <v/>
      </c>
      <c r="BF53" s="8" t="str">
        <f>IF(OR($A53="",$C53="",$D53="",$C53&gt;BF$6,$D53&lt;BF$9),"",IF($J53="里程碑","◆",""))</f>
        <v/>
      </c>
      <c r="BG53" s="8" t="str">
        <f>IF(OR($A53="",$C53="",$D53="",$C53&gt;BG$6,$D53&lt;BG$9),"",IF($J53="里程碑","◆",""))</f>
        <v/>
      </c>
      <c r="BH53" s="8" t="str">
        <f>IF(OR($A53="",$C53="",$D53="",$C53&gt;BH$6,$D53&lt;BH$9),"",IF($J53="里程碑","◆",""))</f>
        <v/>
      </c>
      <c r="BI53" s="8" t="str">
        <f>IF(OR($A53="",$C53="",$D53="",$C53&gt;BI$6,$D53&lt;BI$9),"",IF($J53="里程碑","◆",""))</f>
        <v/>
      </c>
      <c r="BJ53" s="8" t="str">
        <f>IF(OR($A53="",$C53="",$D53="",$C53&gt;BJ$6,$D53&lt;BJ$9),"",IF($J53="里程碑","◆",""))</f>
        <v/>
      </c>
      <c r="BK53" s="8" t="str">
        <f>IF(OR($A53="",$C53="",$D53="",$C53&gt;BK$6,$D53&lt;BK$9),"",IF($J53="里程碑","◆",""))</f>
        <v/>
      </c>
      <c r="BL53" s="8" t="str">
        <f>IF(OR($A53="",$C53="",$D53="",$C53&gt;BL$6,$D53&lt;BL$9),"",IF($J53="里程碑","◆",""))</f>
        <v/>
      </c>
      <c r="BM53" s="8" t="str">
        <f>IF(OR($A53="",$C53="",$D53="",$C53&gt;BM$6,$D53&lt;BM$9),"",IF($J53="里程碑","◆",""))</f>
        <v/>
      </c>
      <c r="BN53" s="8" t="str">
        <f>IF(OR($A53="",$C53="",$D53="",$C53&gt;BN$6,$D53&lt;BN$9),"",IF($J53="里程碑","◆",""))</f>
        <v/>
      </c>
      <c r="BO53" s="8" t="str">
        <f>IF(OR($A53="",$C53="",$D53="",$C53&gt;BO$6,$D53&lt;BO$9),"",IF($J53="里程碑","◆",""))</f>
        <v/>
      </c>
      <c r="BP53" s="8" t="str">
        <f>IF(OR($A53="",$C53="",$D53="",$C53&gt;BP$6,$D53&lt;BP$9),"",IF($J53="里程碑","◆",""))</f>
        <v/>
      </c>
      <c r="BQ53" s="8" t="str">
        <f>IF(OR($A53="",$C53="",$D53="",$C53&gt;BQ$6,$D53&lt;BQ$9),"",IF($J53="里程碑","◆",""))</f>
        <v/>
      </c>
      <c r="BR53" s="8" t="str">
        <f>IF(OR($A53="",$C53="",$D53="",$C53&gt;BR$6,$D53&lt;BR$9),"",IF($J53="里程碑","◆",""))</f>
        <v/>
      </c>
      <c r="BS53" s="8" t="str">
        <f>IF(OR($A53="",$C53="",$D53="",$C53&gt;BS$6,$D53&lt;BS$9),"",IF($J53="里程碑","◆",""))</f>
        <v/>
      </c>
      <c r="BT53" s="8" t="str">
        <f>IF(OR($A53="",$C53="",$D53="",$C53&gt;BT$6,$D53&lt;BT$9),"",IF($J53="里程碑","◆",""))</f>
        <v/>
      </c>
      <c r="BU53" s="8" t="str">
        <f>IF(OR($A53="",$C53="",$D53="",$C53&gt;BU$6,$D53&lt;BU$9),"",IF($J53="里程碑","◆",""))</f>
        <v/>
      </c>
      <c r="BV53" s="8" t="str">
        <f>IF(OR($A53="",$C53="",$D53="",$C53&gt;BV$6,$D53&lt;BV$9),"",IF($J53="里程碑","◆",""))</f>
        <v/>
      </c>
      <c r="BW53" s="8" t="str">
        <f>IF(OR($A53="",$C53="",$D53="",$C53&gt;BW$6,$D53&lt;BW$9),"",IF($J53="里程碑","◆",""))</f>
        <v/>
      </c>
      <c r="BX53" s="8" t="str">
        <f>IF(OR($A53="",$C53="",$D53="",$C53&gt;BX$6,$D53&lt;BX$9),"",IF($J53="里程碑","◆",""))</f>
        <v/>
      </c>
      <c r="BY53" s="8" t="str">
        <f>IF(OR($A53="",$C53="",$D53="",$C53&gt;BY$6,$D53&lt;BY$9),"",IF($J53="里程碑","◆",""))</f>
        <v/>
      </c>
      <c r="BZ53" s="8" t="str">
        <f>IF(OR($A53="",$C53="",$D53="",$C53&gt;BZ$6,$D53&lt;BZ$9),"",IF($J53="里程碑","◆",""))</f>
        <v/>
      </c>
      <c r="CA53" s="8" t="str">
        <f>IF(OR($A53="",$C53="",$D53="",$C53&gt;CA$6,$D53&lt;CA$9),"",IF($J53="里程碑","◆",""))</f>
        <v/>
      </c>
      <c r="CB53" s="8" t="str">
        <f>IF(OR($A53="",$C53="",$D53="",$C53&gt;CB$6,$D53&lt;CB$9),"",IF($J53="里程碑","◆",""))</f>
        <v/>
      </c>
      <c r="CC53" s="8" t="str">
        <f>IF(OR($A53="",$C53="",$D53="",$C53&gt;CC$6,$D53&lt;CC$9),"",IF($J53="里程碑","◆",""))</f>
        <v/>
      </c>
      <c r="CD53" s="8" t="str">
        <f>IF(OR($A53="",$C53="",$D53="",$C53&gt;CD$6,$D53&lt;CD$9),"",IF($J53="里程碑","◆",""))</f>
        <v/>
      </c>
      <c r="CE53" s="8" t="str">
        <f>IF(OR($A53="",$C53="",$D53="",$C53&gt;CE$6,$D53&lt;CE$9),"",IF($J53="里程碑","◆",""))</f>
        <v/>
      </c>
      <c r="CF53" s="8" t="str">
        <f>IF(OR($A53="",$C53="",$D53="",$C53&gt;CF$6,$D53&lt;CF$9),"",IF($J53="里程碑","◆",""))</f>
        <v/>
      </c>
      <c r="CG53" s="8" t="str">
        <f>IF(OR($A53="",$C53="",$D53="",$C53&gt;CG$6,$D53&lt;CG$9),"",IF($J53="里程碑","◆",""))</f>
        <v/>
      </c>
      <c r="CH53" s="8" t="str">
        <f>IF(OR($A53="",$C53="",$D53="",$C53&gt;CH$6,$D53&lt;CH$9),"",IF($J53="里程碑","◆",""))</f>
        <v/>
      </c>
      <c r="CI53" s="8" t="str">
        <f>IF(OR($A53="",$C53="",$D53="",$C53&gt;CI$6,$D53&lt;CI$9),"",IF($J53="里程碑","◆",""))</f>
        <v/>
      </c>
      <c r="CJ53" s="8" t="str">
        <f>IF(OR($A53="",$C53="",$D53="",$C53&gt;CJ$6,$D53&lt;CJ$9),"",IF($J53="里程碑","◆",""))</f>
        <v/>
      </c>
      <c r="CK53" s="8" t="str">
        <f>IF(OR($A53="",$C53="",$D53="",$C53&gt;CK$6,$D53&lt;CK$9),"",IF($J53="里程碑","◆",""))</f>
        <v/>
      </c>
      <c r="CL53" s="8" t="str">
        <f>IF(OR($A53="",$C53="",$D53="",$C53&gt;CL$6,$D53&lt;CL$9),"",IF($J53="里程碑","◆",""))</f>
        <v/>
      </c>
      <c r="CM53" s="8" t="str">
        <f>IF(OR($A53="",$C53="",$D53="",$C53&gt;CM$6,$D53&lt;CM$9),"",IF($J53="里程碑","◆",""))</f>
        <v/>
      </c>
      <c r="CN53" s="8" t="str">
        <f>IF(OR($A53="",$C53="",$D53="",$C53&gt;CN$6,$D53&lt;CN$9),"",IF($J53="里程碑","◆",""))</f>
        <v/>
      </c>
      <c r="CO53" s="8" t="str">
        <f>IF(OR($A53="",$C53="",$D53="",$C53&gt;CO$6,$D53&lt;CO$9),"",IF($J53="里程碑","◆",""))</f>
        <v/>
      </c>
      <c r="CP53" s="8" t="str">
        <f>IF(OR($A53="",$C53="",$D53="",$C53&gt;CP$6,$D53&lt;CP$9),"",IF($J53="里程碑","◆",""))</f>
        <v/>
      </c>
      <c r="CQ53" s="8" t="str">
        <f>IF(OR($A53="",$C53="",$D53="",$C53&gt;CQ$6,$D53&lt;CQ$9),"",IF($J53="里程碑","◆",""))</f>
        <v/>
      </c>
      <c r="CR53" s="8" t="str">
        <f>IF(OR($A53="",$C53="",$D53="",$C53&gt;CR$6,$D53&lt;CR$9),"",IF($J53="里程碑","◆",""))</f>
        <v/>
      </c>
      <c r="CS53" s="8" t="str">
        <f>IF(OR($A53="",$C53="",$D53="",$C53&gt;CS$6,$D53&lt;CS$9),"",IF($J53="里程碑","◆",""))</f>
        <v/>
      </c>
      <c r="CT53" s="8" t="str">
        <f>IF(OR($A53="",$C53="",$D53="",$C53&gt;CT$6,$D53&lt;CT$9),"",IF($J53="里程碑","◆",""))</f>
        <v/>
      </c>
      <c r="CU53" s="8" t="str">
        <f>IF(OR($A53="",$C53="",$D53="",$C53&gt;CU$6,$D53&lt;CU$9),"",IF($J53="里程碑","◆",""))</f>
        <v/>
      </c>
      <c r="CV53" s="8" t="str">
        <f>IF(OR($A53="",$C53="",$D53="",$C53&gt;CV$6,$D53&lt;CV$9),"",IF($J53="里程碑","◆",""))</f>
        <v/>
      </c>
      <c r="CW53" s="8" t="str">
        <f>IF(OR($A53="",$C53="",$D53="",$C53&gt;CW$6,$D53&lt;CW$9),"",IF($J53="里程碑","◆",""))</f>
        <v/>
      </c>
      <c r="CX53" s="8" t="str">
        <f>IF(OR($A53="",$C53="",$D53="",$C53&gt;CX$6,$D53&lt;CX$9),"",IF($J53="里程碑","◆",""))</f>
        <v/>
      </c>
      <c r="CY53" s="8" t="str">
        <f>IF(OR($A53="",$C53="",$D53="",$C53&gt;CY$6,$D53&lt;CY$9),"",IF($J53="里程碑","◆",""))</f>
        <v/>
      </c>
      <c r="CZ53" s="8" t="str">
        <f>IF(OR($A53="",$C53="",$D53="",$C53&gt;CZ$6,$D53&lt;CZ$9),"",IF($J53="里程碑","◆",""))</f>
        <v/>
      </c>
      <c r="DA53" s="8" t="str">
        <f>IF(OR($A53="",$C53="",$D53="",$C53&gt;DA$6,$D53&lt;DA$9),"",IF($J53="里程碑","◆",""))</f>
        <v/>
      </c>
      <c r="DB53" s="8" t="str">
        <f>IF(OR($A53="",$C53="",$D53="",$C53&gt;DB$6,$D53&lt;DB$9),"",IF($J53="里程碑","◆",""))</f>
        <v/>
      </c>
      <c r="DC53" s="1" t="str">
        <f>IF(ROW()-9&gt;$DH$3,"",MATCH(ROW()-9,排期计算!$U$10:$U$109,0))</f>
        <v/>
      </c>
      <c r="DD53" s="1" t="str">
        <f>IF($DC53="","",INDEX(排期计算!$L$10:$L$109,$DC53))</f>
        <v/>
      </c>
      <c r="DE53" s="1"/>
      <c r="DF53" s="1"/>
      <c r="DG53" s="1"/>
      <c r="DH53" s="1"/>
      <c r="DI53" s="1"/>
      <c r="DJ53" s="1"/>
      <c r="DK53" s="1"/>
    </row>
    <row r="54" spans="1:115" ht="24.95" customHeight="1">
      <c r="A54" s="9" t="str">
        <f>IF($DC54="","",IF(AND(INDEX(排期计算!$A$10:$A$109,$DC54)="",NOT(ISNUMBER(INDEX(排期计算!$A$10:$A$109,$DC54)))),"",INDEX(排期计算!$A$10:$A$109,$DC54)))</f>
        <v/>
      </c>
      <c r="B54" s="1" t="str">
        <f>IF($DC54="","",REPT("　",$DD54-1)&amp;INDEX(排期计算!$B$10:$B$109,$DC54))</f>
        <v/>
      </c>
      <c r="C54" s="3" t="str">
        <f>IF($DC54="","",IF(AND(INDEX(排期计算!$M$10:$M$109,$DC54)="",NOT(ISNUMBER(INDEX(排期计算!$M$10:$M$109,$DC54)))),"",INDEX(排期计算!$M$10:$M$109,$DC54)))</f>
        <v/>
      </c>
      <c r="D54" s="3" t="str">
        <f>IF($DC54="","",IF(AND(INDEX(排期计算!$N$10:$N$109,$DC54)="",NOT(ISNUMBER(INDEX(排期计算!$N$10:$N$109,$DC54)))),"",INDEX(排期计算!$N$10:$N$109,$DC54)))</f>
        <v/>
      </c>
      <c r="E54" s="1" t="str">
        <f>IF(OR($C54="",$D54=""),"",IF($J54="里程碑",0,NETWORKDAYS($C54,$D54)))</f>
        <v/>
      </c>
      <c r="F54" s="7" t="str">
        <f>IF($DC54="","",IF(AND(INDEX(排期计算!$O$10:$O$109,$DC54)="",NOT(ISNUMBER(INDEX(排期计算!$O$10:$O$109,$DC54)))),"",INDEX(排期计算!$O$10:$O$109,$DC54)))</f>
        <v/>
      </c>
      <c r="G54" s="8" t="str">
        <f>IF($A54="","",IF(OR($C54="",$D54=""),"未排期",IF($F54&gt;=1,"已完成",IF($D54&lt;$B$4,"逾期",IF($C54&gt;$B$4,"未开始","进行中")))))</f>
        <v/>
      </c>
      <c r="H54" s="1" t="str">
        <f>IF($DC54="","",IF(AND(INDEX(排期计算!$C$10:$C$109,$DC54)="",NOT(ISNUMBER(INDEX(排期计算!$C$10:$C$109,$DC54)))),"",INDEX(排期计算!$C$10:$C$109,$DC54)))</f>
        <v/>
      </c>
      <c r="I54" s="1" t="str">
        <f>IF($DC54="","",IF(AND(INDEX(排期计算!$H$10:$H$109,$DC54)="",NOT(ISNUMBER(INDEX(排期计算!$H$10:$H$109,$DC54)))),"",INDEX(排期计算!$H$10:$H$109,$DC54)))</f>
        <v/>
      </c>
      <c r="J54" s="1" t="str">
        <f>IF($DC54="","",IF(AND(INDEX(排期计算!$K$10:$K$109,$DC54)="",NOT(ISNUMBER(INDEX(排期计算!$K$10:$K$109,$DC54)))),"",INDEX(排期计算!$K$10:$K$109,$DC54)))</f>
        <v/>
      </c>
      <c r="K54" s="8" t="str">
        <f>IF(OR($A54="",$C54="",$D54="",$C54&gt;K$6,$D54&lt;K$9),"",IF($J54="里程碑","◆",""))</f>
        <v/>
      </c>
      <c r="L54" s="8" t="str">
        <f>IF(OR($A54="",$C54="",$D54="",$C54&gt;L$6,$D54&lt;L$9),"",IF($J54="里程碑","◆",""))</f>
        <v/>
      </c>
      <c r="M54" s="8" t="str">
        <f>IF(OR($A54="",$C54="",$D54="",$C54&gt;M$6,$D54&lt;M$9),"",IF($J54="里程碑","◆",""))</f>
        <v/>
      </c>
      <c r="N54" s="8" t="str">
        <f>IF(OR($A54="",$C54="",$D54="",$C54&gt;N$6,$D54&lt;N$9),"",IF($J54="里程碑","◆",""))</f>
        <v/>
      </c>
      <c r="O54" s="8" t="str">
        <f>IF(OR($A54="",$C54="",$D54="",$C54&gt;O$6,$D54&lt;O$9),"",IF($J54="里程碑","◆",""))</f>
        <v/>
      </c>
      <c r="P54" s="8" t="str">
        <f>IF(OR($A54="",$C54="",$D54="",$C54&gt;P$6,$D54&lt;P$9),"",IF($J54="里程碑","◆",""))</f>
        <v/>
      </c>
      <c r="Q54" s="8" t="str">
        <f>IF(OR($A54="",$C54="",$D54="",$C54&gt;Q$6,$D54&lt;Q$9),"",IF($J54="里程碑","◆",""))</f>
        <v/>
      </c>
      <c r="R54" s="8" t="str">
        <f>IF(OR($A54="",$C54="",$D54="",$C54&gt;R$6,$D54&lt;R$9),"",IF($J54="里程碑","◆",""))</f>
        <v/>
      </c>
      <c r="S54" s="8" t="str">
        <f>IF(OR($A54="",$C54="",$D54="",$C54&gt;S$6,$D54&lt;S$9),"",IF($J54="里程碑","◆",""))</f>
        <v/>
      </c>
      <c r="T54" s="8" t="str">
        <f>IF(OR($A54="",$C54="",$D54="",$C54&gt;T$6,$D54&lt;T$9),"",IF($J54="里程碑","◆",""))</f>
        <v/>
      </c>
      <c r="U54" s="8" t="str">
        <f>IF(OR($A54="",$C54="",$D54="",$C54&gt;U$6,$D54&lt;U$9),"",IF($J54="里程碑","◆",""))</f>
        <v/>
      </c>
      <c r="V54" s="8" t="str">
        <f>IF(OR($A54="",$C54="",$D54="",$C54&gt;V$6,$D54&lt;V$9),"",IF($J54="里程碑","◆",""))</f>
        <v/>
      </c>
      <c r="W54" s="8" t="str">
        <f>IF(OR($A54="",$C54="",$D54="",$C54&gt;W$6,$D54&lt;W$9),"",IF($J54="里程碑","◆",""))</f>
        <v/>
      </c>
      <c r="X54" s="8" t="str">
        <f>IF(OR($A54="",$C54="",$D54="",$C54&gt;X$6,$D54&lt;X$9),"",IF($J54="里程碑","◆",""))</f>
        <v/>
      </c>
      <c r="Y54" s="8" t="str">
        <f>IF(OR($A54="",$C54="",$D54="",$C54&gt;Y$6,$D54&lt;Y$9),"",IF($J54="里程碑","◆",""))</f>
        <v/>
      </c>
      <c r="Z54" s="8" t="str">
        <f>IF(OR($A54="",$C54="",$D54="",$C54&gt;Z$6,$D54&lt;Z$9),"",IF($J54="里程碑","◆",""))</f>
        <v/>
      </c>
      <c r="AA54" s="8" t="str">
        <f>IF(OR($A54="",$C54="",$D54="",$C54&gt;AA$6,$D54&lt;AA$9),"",IF($J54="里程碑","◆",""))</f>
        <v/>
      </c>
      <c r="AB54" s="8" t="str">
        <f>IF(OR($A54="",$C54="",$D54="",$C54&gt;AB$6,$D54&lt;AB$9),"",IF($J54="里程碑","◆",""))</f>
        <v/>
      </c>
      <c r="AC54" s="8" t="str">
        <f>IF(OR($A54="",$C54="",$D54="",$C54&gt;AC$6,$D54&lt;AC$9),"",IF($J54="里程碑","◆",""))</f>
        <v/>
      </c>
      <c r="AD54" s="8" t="str">
        <f>IF(OR($A54="",$C54="",$D54="",$C54&gt;AD$6,$D54&lt;AD$9),"",IF($J54="里程碑","◆",""))</f>
        <v/>
      </c>
      <c r="AE54" s="8" t="str">
        <f>IF(OR($A54="",$C54="",$D54="",$C54&gt;AE$6,$D54&lt;AE$9),"",IF($J54="里程碑","◆",""))</f>
        <v/>
      </c>
      <c r="AF54" s="8" t="str">
        <f>IF(OR($A54="",$C54="",$D54="",$C54&gt;AF$6,$D54&lt;AF$9),"",IF($J54="里程碑","◆",""))</f>
        <v/>
      </c>
      <c r="AG54" s="8" t="str">
        <f>IF(OR($A54="",$C54="",$D54="",$C54&gt;AG$6,$D54&lt;AG$9),"",IF($J54="里程碑","◆",""))</f>
        <v/>
      </c>
      <c r="AH54" s="8" t="str">
        <f>IF(OR($A54="",$C54="",$D54="",$C54&gt;AH$6,$D54&lt;AH$9),"",IF($J54="里程碑","◆",""))</f>
        <v/>
      </c>
      <c r="AI54" s="8" t="str">
        <f>IF(OR($A54="",$C54="",$D54="",$C54&gt;AI$6,$D54&lt;AI$9),"",IF($J54="里程碑","◆",""))</f>
        <v/>
      </c>
      <c r="AJ54" s="8" t="str">
        <f>IF(OR($A54="",$C54="",$D54="",$C54&gt;AJ$6,$D54&lt;AJ$9),"",IF($J54="里程碑","◆",""))</f>
        <v/>
      </c>
      <c r="AK54" s="8" t="str">
        <f>IF(OR($A54="",$C54="",$D54="",$C54&gt;AK$6,$D54&lt;AK$9),"",IF($J54="里程碑","◆",""))</f>
        <v/>
      </c>
      <c r="AL54" s="8" t="str">
        <f>IF(OR($A54="",$C54="",$D54="",$C54&gt;AL$6,$D54&lt;AL$9),"",IF($J54="里程碑","◆",""))</f>
        <v/>
      </c>
      <c r="AM54" s="8" t="str">
        <f>IF(OR($A54="",$C54="",$D54="",$C54&gt;AM$6,$D54&lt;AM$9),"",IF($J54="里程碑","◆",""))</f>
        <v/>
      </c>
      <c r="AN54" s="8" t="str">
        <f>IF(OR($A54="",$C54="",$D54="",$C54&gt;AN$6,$D54&lt;AN$9),"",IF($J54="里程碑","◆",""))</f>
        <v/>
      </c>
      <c r="AO54" s="8" t="str">
        <f>IF(OR($A54="",$C54="",$D54="",$C54&gt;AO$6,$D54&lt;AO$9),"",IF($J54="里程碑","◆",""))</f>
        <v/>
      </c>
      <c r="AP54" s="8" t="str">
        <f>IF(OR($A54="",$C54="",$D54="",$C54&gt;AP$6,$D54&lt;AP$9),"",IF($J54="里程碑","◆",""))</f>
        <v/>
      </c>
      <c r="AQ54" s="8" t="str">
        <f>IF(OR($A54="",$C54="",$D54="",$C54&gt;AQ$6,$D54&lt;AQ$9),"",IF($J54="里程碑","◆",""))</f>
        <v/>
      </c>
      <c r="AR54" s="8" t="str">
        <f>IF(OR($A54="",$C54="",$D54="",$C54&gt;AR$6,$D54&lt;AR$9),"",IF($J54="里程碑","◆",""))</f>
        <v/>
      </c>
      <c r="AS54" s="8" t="str">
        <f>IF(OR($A54="",$C54="",$D54="",$C54&gt;AS$6,$D54&lt;AS$9),"",IF($J54="里程碑","◆",""))</f>
        <v/>
      </c>
      <c r="AT54" s="8" t="str">
        <f>IF(OR($A54="",$C54="",$D54="",$C54&gt;AT$6,$D54&lt;AT$9),"",IF($J54="里程碑","◆",""))</f>
        <v/>
      </c>
      <c r="AU54" s="8" t="str">
        <f>IF(OR($A54="",$C54="",$D54="",$C54&gt;AU$6,$D54&lt;AU$9),"",IF($J54="里程碑","◆",""))</f>
        <v/>
      </c>
      <c r="AV54" s="8" t="str">
        <f>IF(OR($A54="",$C54="",$D54="",$C54&gt;AV$6,$D54&lt;AV$9),"",IF($J54="里程碑","◆",""))</f>
        <v/>
      </c>
      <c r="AW54" s="8" t="str">
        <f>IF(OR($A54="",$C54="",$D54="",$C54&gt;AW$6,$D54&lt;AW$9),"",IF($J54="里程碑","◆",""))</f>
        <v/>
      </c>
      <c r="AX54" s="8" t="str">
        <f>IF(OR($A54="",$C54="",$D54="",$C54&gt;AX$6,$D54&lt;AX$9),"",IF($J54="里程碑","◆",""))</f>
        <v/>
      </c>
      <c r="AY54" s="8" t="str">
        <f>IF(OR($A54="",$C54="",$D54="",$C54&gt;AY$6,$D54&lt;AY$9),"",IF($J54="里程碑","◆",""))</f>
        <v/>
      </c>
      <c r="AZ54" s="8" t="str">
        <f>IF(OR($A54="",$C54="",$D54="",$C54&gt;AZ$6,$D54&lt;AZ$9),"",IF($J54="里程碑","◆",""))</f>
        <v/>
      </c>
      <c r="BA54" s="8" t="str">
        <f>IF(OR($A54="",$C54="",$D54="",$C54&gt;BA$6,$D54&lt;BA$9),"",IF($J54="里程碑","◆",""))</f>
        <v/>
      </c>
      <c r="BB54" s="8" t="str">
        <f>IF(OR($A54="",$C54="",$D54="",$C54&gt;BB$6,$D54&lt;BB$9),"",IF($J54="里程碑","◆",""))</f>
        <v/>
      </c>
      <c r="BC54" s="8" t="str">
        <f>IF(OR($A54="",$C54="",$D54="",$C54&gt;BC$6,$D54&lt;BC$9),"",IF($J54="里程碑","◆",""))</f>
        <v/>
      </c>
      <c r="BD54" s="8" t="str">
        <f>IF(OR($A54="",$C54="",$D54="",$C54&gt;BD$6,$D54&lt;BD$9),"",IF($J54="里程碑","◆",""))</f>
        <v/>
      </c>
      <c r="BE54" s="8" t="str">
        <f>IF(OR($A54="",$C54="",$D54="",$C54&gt;BE$6,$D54&lt;BE$9),"",IF($J54="里程碑","◆",""))</f>
        <v/>
      </c>
      <c r="BF54" s="8" t="str">
        <f>IF(OR($A54="",$C54="",$D54="",$C54&gt;BF$6,$D54&lt;BF$9),"",IF($J54="里程碑","◆",""))</f>
        <v/>
      </c>
      <c r="BG54" s="8" t="str">
        <f>IF(OR($A54="",$C54="",$D54="",$C54&gt;BG$6,$D54&lt;BG$9),"",IF($J54="里程碑","◆",""))</f>
        <v/>
      </c>
      <c r="BH54" s="8" t="str">
        <f>IF(OR($A54="",$C54="",$D54="",$C54&gt;BH$6,$D54&lt;BH$9),"",IF($J54="里程碑","◆",""))</f>
        <v/>
      </c>
      <c r="BI54" s="8" t="str">
        <f>IF(OR($A54="",$C54="",$D54="",$C54&gt;BI$6,$D54&lt;BI$9),"",IF($J54="里程碑","◆",""))</f>
        <v/>
      </c>
      <c r="BJ54" s="8" t="str">
        <f>IF(OR($A54="",$C54="",$D54="",$C54&gt;BJ$6,$D54&lt;BJ$9),"",IF($J54="里程碑","◆",""))</f>
        <v/>
      </c>
      <c r="BK54" s="8" t="str">
        <f>IF(OR($A54="",$C54="",$D54="",$C54&gt;BK$6,$D54&lt;BK$9),"",IF($J54="里程碑","◆",""))</f>
        <v/>
      </c>
      <c r="BL54" s="8" t="str">
        <f>IF(OR($A54="",$C54="",$D54="",$C54&gt;BL$6,$D54&lt;BL$9),"",IF($J54="里程碑","◆",""))</f>
        <v/>
      </c>
      <c r="BM54" s="8" t="str">
        <f>IF(OR($A54="",$C54="",$D54="",$C54&gt;BM$6,$D54&lt;BM$9),"",IF($J54="里程碑","◆",""))</f>
        <v/>
      </c>
      <c r="BN54" s="8" t="str">
        <f>IF(OR($A54="",$C54="",$D54="",$C54&gt;BN$6,$D54&lt;BN$9),"",IF($J54="里程碑","◆",""))</f>
        <v/>
      </c>
      <c r="BO54" s="8" t="str">
        <f>IF(OR($A54="",$C54="",$D54="",$C54&gt;BO$6,$D54&lt;BO$9),"",IF($J54="里程碑","◆",""))</f>
        <v/>
      </c>
      <c r="BP54" s="8" t="str">
        <f>IF(OR($A54="",$C54="",$D54="",$C54&gt;BP$6,$D54&lt;BP$9),"",IF($J54="里程碑","◆",""))</f>
        <v/>
      </c>
      <c r="BQ54" s="8" t="str">
        <f>IF(OR($A54="",$C54="",$D54="",$C54&gt;BQ$6,$D54&lt;BQ$9),"",IF($J54="里程碑","◆",""))</f>
        <v/>
      </c>
      <c r="BR54" s="8" t="str">
        <f>IF(OR($A54="",$C54="",$D54="",$C54&gt;BR$6,$D54&lt;BR$9),"",IF($J54="里程碑","◆",""))</f>
        <v/>
      </c>
      <c r="BS54" s="8" t="str">
        <f>IF(OR($A54="",$C54="",$D54="",$C54&gt;BS$6,$D54&lt;BS$9),"",IF($J54="里程碑","◆",""))</f>
        <v/>
      </c>
      <c r="BT54" s="8" t="str">
        <f>IF(OR($A54="",$C54="",$D54="",$C54&gt;BT$6,$D54&lt;BT$9),"",IF($J54="里程碑","◆",""))</f>
        <v/>
      </c>
      <c r="BU54" s="8" t="str">
        <f>IF(OR($A54="",$C54="",$D54="",$C54&gt;BU$6,$D54&lt;BU$9),"",IF($J54="里程碑","◆",""))</f>
        <v/>
      </c>
      <c r="BV54" s="8" t="str">
        <f>IF(OR($A54="",$C54="",$D54="",$C54&gt;BV$6,$D54&lt;BV$9),"",IF($J54="里程碑","◆",""))</f>
        <v/>
      </c>
      <c r="BW54" s="8" t="str">
        <f>IF(OR($A54="",$C54="",$D54="",$C54&gt;BW$6,$D54&lt;BW$9),"",IF($J54="里程碑","◆",""))</f>
        <v/>
      </c>
      <c r="BX54" s="8" t="str">
        <f>IF(OR($A54="",$C54="",$D54="",$C54&gt;BX$6,$D54&lt;BX$9),"",IF($J54="里程碑","◆",""))</f>
        <v/>
      </c>
      <c r="BY54" s="8" t="str">
        <f>IF(OR($A54="",$C54="",$D54="",$C54&gt;BY$6,$D54&lt;BY$9),"",IF($J54="里程碑","◆",""))</f>
        <v/>
      </c>
      <c r="BZ54" s="8" t="str">
        <f>IF(OR($A54="",$C54="",$D54="",$C54&gt;BZ$6,$D54&lt;BZ$9),"",IF($J54="里程碑","◆",""))</f>
        <v/>
      </c>
      <c r="CA54" s="8" t="str">
        <f>IF(OR($A54="",$C54="",$D54="",$C54&gt;CA$6,$D54&lt;CA$9),"",IF($J54="里程碑","◆",""))</f>
        <v/>
      </c>
      <c r="CB54" s="8" t="str">
        <f>IF(OR($A54="",$C54="",$D54="",$C54&gt;CB$6,$D54&lt;CB$9),"",IF($J54="里程碑","◆",""))</f>
        <v/>
      </c>
      <c r="CC54" s="8" t="str">
        <f>IF(OR($A54="",$C54="",$D54="",$C54&gt;CC$6,$D54&lt;CC$9),"",IF($J54="里程碑","◆",""))</f>
        <v/>
      </c>
      <c r="CD54" s="8" t="str">
        <f>IF(OR($A54="",$C54="",$D54="",$C54&gt;CD$6,$D54&lt;CD$9),"",IF($J54="里程碑","◆",""))</f>
        <v/>
      </c>
      <c r="CE54" s="8" t="str">
        <f>IF(OR($A54="",$C54="",$D54="",$C54&gt;CE$6,$D54&lt;CE$9),"",IF($J54="里程碑","◆",""))</f>
        <v/>
      </c>
      <c r="CF54" s="8" t="str">
        <f>IF(OR($A54="",$C54="",$D54="",$C54&gt;CF$6,$D54&lt;CF$9),"",IF($J54="里程碑","◆",""))</f>
        <v/>
      </c>
      <c r="CG54" s="8" t="str">
        <f>IF(OR($A54="",$C54="",$D54="",$C54&gt;CG$6,$D54&lt;CG$9),"",IF($J54="里程碑","◆",""))</f>
        <v/>
      </c>
      <c r="CH54" s="8" t="str">
        <f>IF(OR($A54="",$C54="",$D54="",$C54&gt;CH$6,$D54&lt;CH$9),"",IF($J54="里程碑","◆",""))</f>
        <v/>
      </c>
      <c r="CI54" s="8" t="str">
        <f>IF(OR($A54="",$C54="",$D54="",$C54&gt;CI$6,$D54&lt;CI$9),"",IF($J54="里程碑","◆",""))</f>
        <v/>
      </c>
      <c r="CJ54" s="8" t="str">
        <f>IF(OR($A54="",$C54="",$D54="",$C54&gt;CJ$6,$D54&lt;CJ$9),"",IF($J54="里程碑","◆",""))</f>
        <v/>
      </c>
      <c r="CK54" s="8" t="str">
        <f>IF(OR($A54="",$C54="",$D54="",$C54&gt;CK$6,$D54&lt;CK$9),"",IF($J54="里程碑","◆",""))</f>
        <v/>
      </c>
      <c r="CL54" s="8" t="str">
        <f>IF(OR($A54="",$C54="",$D54="",$C54&gt;CL$6,$D54&lt;CL$9),"",IF($J54="里程碑","◆",""))</f>
        <v/>
      </c>
      <c r="CM54" s="8" t="str">
        <f>IF(OR($A54="",$C54="",$D54="",$C54&gt;CM$6,$D54&lt;CM$9),"",IF($J54="里程碑","◆",""))</f>
        <v/>
      </c>
      <c r="CN54" s="8" t="str">
        <f>IF(OR($A54="",$C54="",$D54="",$C54&gt;CN$6,$D54&lt;CN$9),"",IF($J54="里程碑","◆",""))</f>
        <v/>
      </c>
      <c r="CO54" s="8" t="str">
        <f>IF(OR($A54="",$C54="",$D54="",$C54&gt;CO$6,$D54&lt;CO$9),"",IF($J54="里程碑","◆",""))</f>
        <v/>
      </c>
      <c r="CP54" s="8" t="str">
        <f>IF(OR($A54="",$C54="",$D54="",$C54&gt;CP$6,$D54&lt;CP$9),"",IF($J54="里程碑","◆",""))</f>
        <v/>
      </c>
      <c r="CQ54" s="8" t="str">
        <f>IF(OR($A54="",$C54="",$D54="",$C54&gt;CQ$6,$D54&lt;CQ$9),"",IF($J54="里程碑","◆",""))</f>
        <v/>
      </c>
      <c r="CR54" s="8" t="str">
        <f>IF(OR($A54="",$C54="",$D54="",$C54&gt;CR$6,$D54&lt;CR$9),"",IF($J54="里程碑","◆",""))</f>
        <v/>
      </c>
      <c r="CS54" s="8" t="str">
        <f>IF(OR($A54="",$C54="",$D54="",$C54&gt;CS$6,$D54&lt;CS$9),"",IF($J54="里程碑","◆",""))</f>
        <v/>
      </c>
      <c r="CT54" s="8" t="str">
        <f>IF(OR($A54="",$C54="",$D54="",$C54&gt;CT$6,$D54&lt;CT$9),"",IF($J54="里程碑","◆",""))</f>
        <v/>
      </c>
      <c r="CU54" s="8" t="str">
        <f>IF(OR($A54="",$C54="",$D54="",$C54&gt;CU$6,$D54&lt;CU$9),"",IF($J54="里程碑","◆",""))</f>
        <v/>
      </c>
      <c r="CV54" s="8" t="str">
        <f>IF(OR($A54="",$C54="",$D54="",$C54&gt;CV$6,$D54&lt;CV$9),"",IF($J54="里程碑","◆",""))</f>
        <v/>
      </c>
      <c r="CW54" s="8" t="str">
        <f>IF(OR($A54="",$C54="",$D54="",$C54&gt;CW$6,$D54&lt;CW$9),"",IF($J54="里程碑","◆",""))</f>
        <v/>
      </c>
      <c r="CX54" s="8" t="str">
        <f>IF(OR($A54="",$C54="",$D54="",$C54&gt;CX$6,$D54&lt;CX$9),"",IF($J54="里程碑","◆",""))</f>
        <v/>
      </c>
      <c r="CY54" s="8" t="str">
        <f>IF(OR($A54="",$C54="",$D54="",$C54&gt;CY$6,$D54&lt;CY$9),"",IF($J54="里程碑","◆",""))</f>
        <v/>
      </c>
      <c r="CZ54" s="8" t="str">
        <f>IF(OR($A54="",$C54="",$D54="",$C54&gt;CZ$6,$D54&lt;CZ$9),"",IF($J54="里程碑","◆",""))</f>
        <v/>
      </c>
      <c r="DA54" s="8" t="str">
        <f>IF(OR($A54="",$C54="",$D54="",$C54&gt;DA$6,$D54&lt;DA$9),"",IF($J54="里程碑","◆",""))</f>
        <v/>
      </c>
      <c r="DB54" s="8" t="str">
        <f>IF(OR($A54="",$C54="",$D54="",$C54&gt;DB$6,$D54&lt;DB$9),"",IF($J54="里程碑","◆",""))</f>
        <v/>
      </c>
      <c r="DC54" s="1" t="str">
        <f>IF(ROW()-9&gt;$DH$3,"",MATCH(ROW()-9,排期计算!$U$10:$U$109,0))</f>
        <v/>
      </c>
      <c r="DD54" s="1" t="str">
        <f>IF($DC54="","",INDEX(排期计算!$L$10:$L$109,$DC54))</f>
        <v/>
      </c>
      <c r="DE54" s="1"/>
      <c r="DF54" s="1"/>
      <c r="DG54" s="1"/>
      <c r="DH54" s="1"/>
      <c r="DI54" s="1"/>
      <c r="DJ54" s="1"/>
      <c r="DK54" s="1"/>
    </row>
    <row r="55" spans="1:115" ht="24.95" customHeight="1">
      <c r="A55" s="9" t="str">
        <f>IF($DC55="","",IF(AND(INDEX(排期计算!$A$10:$A$109,$DC55)="",NOT(ISNUMBER(INDEX(排期计算!$A$10:$A$109,$DC55)))),"",INDEX(排期计算!$A$10:$A$109,$DC55)))</f>
        <v/>
      </c>
      <c r="B55" s="1" t="str">
        <f>IF($DC55="","",REPT("　",$DD55-1)&amp;INDEX(排期计算!$B$10:$B$109,$DC55))</f>
        <v/>
      </c>
      <c r="C55" s="3" t="str">
        <f>IF($DC55="","",IF(AND(INDEX(排期计算!$M$10:$M$109,$DC55)="",NOT(ISNUMBER(INDEX(排期计算!$M$10:$M$109,$DC55)))),"",INDEX(排期计算!$M$10:$M$109,$DC55)))</f>
        <v/>
      </c>
      <c r="D55" s="3" t="str">
        <f>IF($DC55="","",IF(AND(INDEX(排期计算!$N$10:$N$109,$DC55)="",NOT(ISNUMBER(INDEX(排期计算!$N$10:$N$109,$DC55)))),"",INDEX(排期计算!$N$10:$N$109,$DC55)))</f>
        <v/>
      </c>
      <c r="E55" s="1" t="str">
        <f>IF(OR($C55="",$D55=""),"",IF($J55="里程碑",0,NETWORKDAYS($C55,$D55)))</f>
        <v/>
      </c>
      <c r="F55" s="7" t="str">
        <f>IF($DC55="","",IF(AND(INDEX(排期计算!$O$10:$O$109,$DC55)="",NOT(ISNUMBER(INDEX(排期计算!$O$10:$O$109,$DC55)))),"",INDEX(排期计算!$O$10:$O$109,$DC55)))</f>
        <v/>
      </c>
      <c r="G55" s="8" t="str">
        <f>IF($A55="","",IF(OR($C55="",$D55=""),"未排期",IF($F55&gt;=1,"已完成",IF($D55&lt;$B$4,"逾期",IF($C55&gt;$B$4,"未开始","进行中")))))</f>
        <v/>
      </c>
      <c r="H55" s="1" t="str">
        <f>IF($DC55="","",IF(AND(INDEX(排期计算!$C$10:$C$109,$DC55)="",NOT(ISNUMBER(INDEX(排期计算!$C$10:$C$109,$DC55)))),"",INDEX(排期计算!$C$10:$C$109,$DC55)))</f>
        <v/>
      </c>
      <c r="I55" s="1" t="str">
        <f>IF($DC55="","",IF(AND(INDEX(排期计算!$H$10:$H$109,$DC55)="",NOT(ISNUMBER(INDEX(排期计算!$H$10:$H$109,$DC55)))),"",INDEX(排期计算!$H$10:$H$109,$DC55)))</f>
        <v/>
      </c>
      <c r="J55" s="1" t="str">
        <f>IF($DC55="","",IF(AND(INDEX(排期计算!$K$10:$K$109,$DC55)="",NOT(ISNUMBER(INDEX(排期计算!$K$10:$K$109,$DC55)))),"",INDEX(排期计算!$K$10:$K$109,$DC55)))</f>
        <v/>
      </c>
      <c r="K55" s="8" t="str">
        <f>IF(OR($A55="",$C55="",$D55="",$C55&gt;K$6,$D55&lt;K$9),"",IF($J55="里程碑","◆",""))</f>
        <v/>
      </c>
      <c r="L55" s="8" t="str">
        <f>IF(OR($A55="",$C55="",$D55="",$C55&gt;L$6,$D55&lt;L$9),"",IF($J55="里程碑","◆",""))</f>
        <v/>
      </c>
      <c r="M55" s="8" t="str">
        <f>IF(OR($A55="",$C55="",$D55="",$C55&gt;M$6,$D55&lt;M$9),"",IF($J55="里程碑","◆",""))</f>
        <v/>
      </c>
      <c r="N55" s="8" t="str">
        <f>IF(OR($A55="",$C55="",$D55="",$C55&gt;N$6,$D55&lt;N$9),"",IF($J55="里程碑","◆",""))</f>
        <v/>
      </c>
      <c r="O55" s="8" t="str">
        <f>IF(OR($A55="",$C55="",$D55="",$C55&gt;O$6,$D55&lt;O$9),"",IF($J55="里程碑","◆",""))</f>
        <v/>
      </c>
      <c r="P55" s="8" t="str">
        <f>IF(OR($A55="",$C55="",$D55="",$C55&gt;P$6,$D55&lt;P$9),"",IF($J55="里程碑","◆",""))</f>
        <v/>
      </c>
      <c r="Q55" s="8" t="str">
        <f>IF(OR($A55="",$C55="",$D55="",$C55&gt;Q$6,$D55&lt;Q$9),"",IF($J55="里程碑","◆",""))</f>
        <v/>
      </c>
      <c r="R55" s="8" t="str">
        <f>IF(OR($A55="",$C55="",$D55="",$C55&gt;R$6,$D55&lt;R$9),"",IF($J55="里程碑","◆",""))</f>
        <v/>
      </c>
      <c r="S55" s="8" t="str">
        <f>IF(OR($A55="",$C55="",$D55="",$C55&gt;S$6,$D55&lt;S$9),"",IF($J55="里程碑","◆",""))</f>
        <v/>
      </c>
      <c r="T55" s="8" t="str">
        <f>IF(OR($A55="",$C55="",$D55="",$C55&gt;T$6,$D55&lt;T$9),"",IF($J55="里程碑","◆",""))</f>
        <v/>
      </c>
      <c r="U55" s="8" t="str">
        <f>IF(OR($A55="",$C55="",$D55="",$C55&gt;U$6,$D55&lt;U$9),"",IF($J55="里程碑","◆",""))</f>
        <v/>
      </c>
      <c r="V55" s="8" t="str">
        <f>IF(OR($A55="",$C55="",$D55="",$C55&gt;V$6,$D55&lt;V$9),"",IF($J55="里程碑","◆",""))</f>
        <v/>
      </c>
      <c r="W55" s="8" t="str">
        <f>IF(OR($A55="",$C55="",$D55="",$C55&gt;W$6,$D55&lt;W$9),"",IF($J55="里程碑","◆",""))</f>
        <v/>
      </c>
      <c r="X55" s="8" t="str">
        <f>IF(OR($A55="",$C55="",$D55="",$C55&gt;X$6,$D55&lt;X$9),"",IF($J55="里程碑","◆",""))</f>
        <v/>
      </c>
      <c r="Y55" s="8" t="str">
        <f>IF(OR($A55="",$C55="",$D55="",$C55&gt;Y$6,$D55&lt;Y$9),"",IF($J55="里程碑","◆",""))</f>
        <v/>
      </c>
      <c r="Z55" s="8" t="str">
        <f>IF(OR($A55="",$C55="",$D55="",$C55&gt;Z$6,$D55&lt;Z$9),"",IF($J55="里程碑","◆",""))</f>
        <v/>
      </c>
      <c r="AA55" s="8" t="str">
        <f>IF(OR($A55="",$C55="",$D55="",$C55&gt;AA$6,$D55&lt;AA$9),"",IF($J55="里程碑","◆",""))</f>
        <v/>
      </c>
      <c r="AB55" s="8" t="str">
        <f>IF(OR($A55="",$C55="",$D55="",$C55&gt;AB$6,$D55&lt;AB$9),"",IF($J55="里程碑","◆",""))</f>
        <v/>
      </c>
      <c r="AC55" s="8" t="str">
        <f>IF(OR($A55="",$C55="",$D55="",$C55&gt;AC$6,$D55&lt;AC$9),"",IF($J55="里程碑","◆",""))</f>
        <v/>
      </c>
      <c r="AD55" s="8" t="str">
        <f>IF(OR($A55="",$C55="",$D55="",$C55&gt;AD$6,$D55&lt;AD$9),"",IF($J55="里程碑","◆",""))</f>
        <v/>
      </c>
      <c r="AE55" s="8" t="str">
        <f>IF(OR($A55="",$C55="",$D55="",$C55&gt;AE$6,$D55&lt;AE$9),"",IF($J55="里程碑","◆",""))</f>
        <v/>
      </c>
      <c r="AF55" s="8" t="str">
        <f>IF(OR($A55="",$C55="",$D55="",$C55&gt;AF$6,$D55&lt;AF$9),"",IF($J55="里程碑","◆",""))</f>
        <v/>
      </c>
      <c r="AG55" s="8" t="str">
        <f>IF(OR($A55="",$C55="",$D55="",$C55&gt;AG$6,$D55&lt;AG$9),"",IF($J55="里程碑","◆",""))</f>
        <v/>
      </c>
      <c r="AH55" s="8" t="str">
        <f>IF(OR($A55="",$C55="",$D55="",$C55&gt;AH$6,$D55&lt;AH$9),"",IF($J55="里程碑","◆",""))</f>
        <v/>
      </c>
      <c r="AI55" s="8" t="str">
        <f>IF(OR($A55="",$C55="",$D55="",$C55&gt;AI$6,$D55&lt;AI$9),"",IF($J55="里程碑","◆",""))</f>
        <v/>
      </c>
      <c r="AJ55" s="8" t="str">
        <f>IF(OR($A55="",$C55="",$D55="",$C55&gt;AJ$6,$D55&lt;AJ$9),"",IF($J55="里程碑","◆",""))</f>
        <v/>
      </c>
      <c r="AK55" s="8" t="str">
        <f>IF(OR($A55="",$C55="",$D55="",$C55&gt;AK$6,$D55&lt;AK$9),"",IF($J55="里程碑","◆",""))</f>
        <v/>
      </c>
      <c r="AL55" s="8" t="str">
        <f>IF(OR($A55="",$C55="",$D55="",$C55&gt;AL$6,$D55&lt;AL$9),"",IF($J55="里程碑","◆",""))</f>
        <v/>
      </c>
      <c r="AM55" s="8" t="str">
        <f>IF(OR($A55="",$C55="",$D55="",$C55&gt;AM$6,$D55&lt;AM$9),"",IF($J55="里程碑","◆",""))</f>
        <v/>
      </c>
      <c r="AN55" s="8" t="str">
        <f>IF(OR($A55="",$C55="",$D55="",$C55&gt;AN$6,$D55&lt;AN$9),"",IF($J55="里程碑","◆",""))</f>
        <v/>
      </c>
      <c r="AO55" s="8" t="str">
        <f>IF(OR($A55="",$C55="",$D55="",$C55&gt;AO$6,$D55&lt;AO$9),"",IF($J55="里程碑","◆",""))</f>
        <v/>
      </c>
      <c r="AP55" s="8" t="str">
        <f>IF(OR($A55="",$C55="",$D55="",$C55&gt;AP$6,$D55&lt;AP$9),"",IF($J55="里程碑","◆",""))</f>
        <v/>
      </c>
      <c r="AQ55" s="8" t="str">
        <f>IF(OR($A55="",$C55="",$D55="",$C55&gt;AQ$6,$D55&lt;AQ$9),"",IF($J55="里程碑","◆",""))</f>
        <v/>
      </c>
      <c r="AR55" s="8" t="str">
        <f>IF(OR($A55="",$C55="",$D55="",$C55&gt;AR$6,$D55&lt;AR$9),"",IF($J55="里程碑","◆",""))</f>
        <v/>
      </c>
      <c r="AS55" s="8" t="str">
        <f>IF(OR($A55="",$C55="",$D55="",$C55&gt;AS$6,$D55&lt;AS$9),"",IF($J55="里程碑","◆",""))</f>
        <v/>
      </c>
      <c r="AT55" s="8" t="str">
        <f>IF(OR($A55="",$C55="",$D55="",$C55&gt;AT$6,$D55&lt;AT$9),"",IF($J55="里程碑","◆",""))</f>
        <v/>
      </c>
      <c r="AU55" s="8" t="str">
        <f>IF(OR($A55="",$C55="",$D55="",$C55&gt;AU$6,$D55&lt;AU$9),"",IF($J55="里程碑","◆",""))</f>
        <v/>
      </c>
      <c r="AV55" s="8" t="str">
        <f>IF(OR($A55="",$C55="",$D55="",$C55&gt;AV$6,$D55&lt;AV$9),"",IF($J55="里程碑","◆",""))</f>
        <v/>
      </c>
      <c r="AW55" s="8" t="str">
        <f>IF(OR($A55="",$C55="",$D55="",$C55&gt;AW$6,$D55&lt;AW$9),"",IF($J55="里程碑","◆",""))</f>
        <v/>
      </c>
      <c r="AX55" s="8" t="str">
        <f>IF(OR($A55="",$C55="",$D55="",$C55&gt;AX$6,$D55&lt;AX$9),"",IF($J55="里程碑","◆",""))</f>
        <v/>
      </c>
      <c r="AY55" s="8" t="str">
        <f>IF(OR($A55="",$C55="",$D55="",$C55&gt;AY$6,$D55&lt;AY$9),"",IF($J55="里程碑","◆",""))</f>
        <v/>
      </c>
      <c r="AZ55" s="8" t="str">
        <f>IF(OR($A55="",$C55="",$D55="",$C55&gt;AZ$6,$D55&lt;AZ$9),"",IF($J55="里程碑","◆",""))</f>
        <v/>
      </c>
      <c r="BA55" s="8" t="str">
        <f>IF(OR($A55="",$C55="",$D55="",$C55&gt;BA$6,$D55&lt;BA$9),"",IF($J55="里程碑","◆",""))</f>
        <v/>
      </c>
      <c r="BB55" s="8" t="str">
        <f>IF(OR($A55="",$C55="",$D55="",$C55&gt;BB$6,$D55&lt;BB$9),"",IF($J55="里程碑","◆",""))</f>
        <v/>
      </c>
      <c r="BC55" s="8" t="str">
        <f>IF(OR($A55="",$C55="",$D55="",$C55&gt;BC$6,$D55&lt;BC$9),"",IF($J55="里程碑","◆",""))</f>
        <v/>
      </c>
      <c r="BD55" s="8" t="str">
        <f>IF(OR($A55="",$C55="",$D55="",$C55&gt;BD$6,$D55&lt;BD$9),"",IF($J55="里程碑","◆",""))</f>
        <v/>
      </c>
      <c r="BE55" s="8" t="str">
        <f>IF(OR($A55="",$C55="",$D55="",$C55&gt;BE$6,$D55&lt;BE$9),"",IF($J55="里程碑","◆",""))</f>
        <v/>
      </c>
      <c r="BF55" s="8" t="str">
        <f>IF(OR($A55="",$C55="",$D55="",$C55&gt;BF$6,$D55&lt;BF$9),"",IF($J55="里程碑","◆",""))</f>
        <v/>
      </c>
      <c r="BG55" s="8" t="str">
        <f>IF(OR($A55="",$C55="",$D55="",$C55&gt;BG$6,$D55&lt;BG$9),"",IF($J55="里程碑","◆",""))</f>
        <v/>
      </c>
      <c r="BH55" s="8" t="str">
        <f>IF(OR($A55="",$C55="",$D55="",$C55&gt;BH$6,$D55&lt;BH$9),"",IF($J55="里程碑","◆",""))</f>
        <v/>
      </c>
      <c r="BI55" s="8" t="str">
        <f>IF(OR($A55="",$C55="",$D55="",$C55&gt;BI$6,$D55&lt;BI$9),"",IF($J55="里程碑","◆",""))</f>
        <v/>
      </c>
      <c r="BJ55" s="8" t="str">
        <f>IF(OR($A55="",$C55="",$D55="",$C55&gt;BJ$6,$D55&lt;BJ$9),"",IF($J55="里程碑","◆",""))</f>
        <v/>
      </c>
      <c r="BK55" s="8" t="str">
        <f>IF(OR($A55="",$C55="",$D55="",$C55&gt;BK$6,$D55&lt;BK$9),"",IF($J55="里程碑","◆",""))</f>
        <v/>
      </c>
      <c r="BL55" s="8" t="str">
        <f>IF(OR($A55="",$C55="",$D55="",$C55&gt;BL$6,$D55&lt;BL$9),"",IF($J55="里程碑","◆",""))</f>
        <v/>
      </c>
      <c r="BM55" s="8" t="str">
        <f>IF(OR($A55="",$C55="",$D55="",$C55&gt;BM$6,$D55&lt;BM$9),"",IF($J55="里程碑","◆",""))</f>
        <v/>
      </c>
      <c r="BN55" s="8" t="str">
        <f>IF(OR($A55="",$C55="",$D55="",$C55&gt;BN$6,$D55&lt;BN$9),"",IF($J55="里程碑","◆",""))</f>
        <v/>
      </c>
      <c r="BO55" s="8" t="str">
        <f>IF(OR($A55="",$C55="",$D55="",$C55&gt;BO$6,$D55&lt;BO$9),"",IF($J55="里程碑","◆",""))</f>
        <v/>
      </c>
      <c r="BP55" s="8" t="str">
        <f>IF(OR($A55="",$C55="",$D55="",$C55&gt;BP$6,$D55&lt;BP$9),"",IF($J55="里程碑","◆",""))</f>
        <v/>
      </c>
      <c r="BQ55" s="8" t="str">
        <f>IF(OR($A55="",$C55="",$D55="",$C55&gt;BQ$6,$D55&lt;BQ$9),"",IF($J55="里程碑","◆",""))</f>
        <v/>
      </c>
      <c r="BR55" s="8" t="str">
        <f>IF(OR($A55="",$C55="",$D55="",$C55&gt;BR$6,$D55&lt;BR$9),"",IF($J55="里程碑","◆",""))</f>
        <v/>
      </c>
      <c r="BS55" s="8" t="str">
        <f>IF(OR($A55="",$C55="",$D55="",$C55&gt;BS$6,$D55&lt;BS$9),"",IF($J55="里程碑","◆",""))</f>
        <v/>
      </c>
      <c r="BT55" s="8" t="str">
        <f>IF(OR($A55="",$C55="",$D55="",$C55&gt;BT$6,$D55&lt;BT$9),"",IF($J55="里程碑","◆",""))</f>
        <v/>
      </c>
      <c r="BU55" s="8" t="str">
        <f>IF(OR($A55="",$C55="",$D55="",$C55&gt;BU$6,$D55&lt;BU$9),"",IF($J55="里程碑","◆",""))</f>
        <v/>
      </c>
      <c r="BV55" s="8" t="str">
        <f>IF(OR($A55="",$C55="",$D55="",$C55&gt;BV$6,$D55&lt;BV$9),"",IF($J55="里程碑","◆",""))</f>
        <v/>
      </c>
      <c r="BW55" s="8" t="str">
        <f>IF(OR($A55="",$C55="",$D55="",$C55&gt;BW$6,$D55&lt;BW$9),"",IF($J55="里程碑","◆",""))</f>
        <v/>
      </c>
      <c r="BX55" s="8" t="str">
        <f>IF(OR($A55="",$C55="",$D55="",$C55&gt;BX$6,$D55&lt;BX$9),"",IF($J55="里程碑","◆",""))</f>
        <v/>
      </c>
      <c r="BY55" s="8" t="str">
        <f>IF(OR($A55="",$C55="",$D55="",$C55&gt;BY$6,$D55&lt;BY$9),"",IF($J55="里程碑","◆",""))</f>
        <v/>
      </c>
      <c r="BZ55" s="8" t="str">
        <f>IF(OR($A55="",$C55="",$D55="",$C55&gt;BZ$6,$D55&lt;BZ$9),"",IF($J55="里程碑","◆",""))</f>
        <v/>
      </c>
      <c r="CA55" s="8" t="str">
        <f>IF(OR($A55="",$C55="",$D55="",$C55&gt;CA$6,$D55&lt;CA$9),"",IF($J55="里程碑","◆",""))</f>
        <v/>
      </c>
      <c r="CB55" s="8" t="str">
        <f>IF(OR($A55="",$C55="",$D55="",$C55&gt;CB$6,$D55&lt;CB$9),"",IF($J55="里程碑","◆",""))</f>
        <v/>
      </c>
      <c r="CC55" s="8" t="str">
        <f>IF(OR($A55="",$C55="",$D55="",$C55&gt;CC$6,$D55&lt;CC$9),"",IF($J55="里程碑","◆",""))</f>
        <v/>
      </c>
      <c r="CD55" s="8" t="str">
        <f>IF(OR($A55="",$C55="",$D55="",$C55&gt;CD$6,$D55&lt;CD$9),"",IF($J55="里程碑","◆",""))</f>
        <v/>
      </c>
      <c r="CE55" s="8" t="str">
        <f>IF(OR($A55="",$C55="",$D55="",$C55&gt;CE$6,$D55&lt;CE$9),"",IF($J55="里程碑","◆",""))</f>
        <v/>
      </c>
      <c r="CF55" s="8" t="str">
        <f>IF(OR($A55="",$C55="",$D55="",$C55&gt;CF$6,$D55&lt;CF$9),"",IF($J55="里程碑","◆",""))</f>
        <v/>
      </c>
      <c r="CG55" s="8" t="str">
        <f>IF(OR($A55="",$C55="",$D55="",$C55&gt;CG$6,$D55&lt;CG$9),"",IF($J55="里程碑","◆",""))</f>
        <v/>
      </c>
      <c r="CH55" s="8" t="str">
        <f>IF(OR($A55="",$C55="",$D55="",$C55&gt;CH$6,$D55&lt;CH$9),"",IF($J55="里程碑","◆",""))</f>
        <v/>
      </c>
      <c r="CI55" s="8" t="str">
        <f>IF(OR($A55="",$C55="",$D55="",$C55&gt;CI$6,$D55&lt;CI$9),"",IF($J55="里程碑","◆",""))</f>
        <v/>
      </c>
      <c r="CJ55" s="8" t="str">
        <f>IF(OR($A55="",$C55="",$D55="",$C55&gt;CJ$6,$D55&lt;CJ$9),"",IF($J55="里程碑","◆",""))</f>
        <v/>
      </c>
      <c r="CK55" s="8" t="str">
        <f>IF(OR($A55="",$C55="",$D55="",$C55&gt;CK$6,$D55&lt;CK$9),"",IF($J55="里程碑","◆",""))</f>
        <v/>
      </c>
      <c r="CL55" s="8" t="str">
        <f>IF(OR($A55="",$C55="",$D55="",$C55&gt;CL$6,$D55&lt;CL$9),"",IF($J55="里程碑","◆",""))</f>
        <v/>
      </c>
      <c r="CM55" s="8" t="str">
        <f>IF(OR($A55="",$C55="",$D55="",$C55&gt;CM$6,$D55&lt;CM$9),"",IF($J55="里程碑","◆",""))</f>
        <v/>
      </c>
      <c r="CN55" s="8" t="str">
        <f>IF(OR($A55="",$C55="",$D55="",$C55&gt;CN$6,$D55&lt;CN$9),"",IF($J55="里程碑","◆",""))</f>
        <v/>
      </c>
      <c r="CO55" s="8" t="str">
        <f>IF(OR($A55="",$C55="",$D55="",$C55&gt;CO$6,$D55&lt;CO$9),"",IF($J55="里程碑","◆",""))</f>
        <v/>
      </c>
      <c r="CP55" s="8" t="str">
        <f>IF(OR($A55="",$C55="",$D55="",$C55&gt;CP$6,$D55&lt;CP$9),"",IF($J55="里程碑","◆",""))</f>
        <v/>
      </c>
      <c r="CQ55" s="8" t="str">
        <f>IF(OR($A55="",$C55="",$D55="",$C55&gt;CQ$6,$D55&lt;CQ$9),"",IF($J55="里程碑","◆",""))</f>
        <v/>
      </c>
      <c r="CR55" s="8" t="str">
        <f>IF(OR($A55="",$C55="",$D55="",$C55&gt;CR$6,$D55&lt;CR$9),"",IF($J55="里程碑","◆",""))</f>
        <v/>
      </c>
      <c r="CS55" s="8" t="str">
        <f>IF(OR($A55="",$C55="",$D55="",$C55&gt;CS$6,$D55&lt;CS$9),"",IF($J55="里程碑","◆",""))</f>
        <v/>
      </c>
      <c r="CT55" s="8" t="str">
        <f>IF(OR($A55="",$C55="",$D55="",$C55&gt;CT$6,$D55&lt;CT$9),"",IF($J55="里程碑","◆",""))</f>
        <v/>
      </c>
      <c r="CU55" s="8" t="str">
        <f>IF(OR($A55="",$C55="",$D55="",$C55&gt;CU$6,$D55&lt;CU$9),"",IF($J55="里程碑","◆",""))</f>
        <v/>
      </c>
      <c r="CV55" s="8" t="str">
        <f>IF(OR($A55="",$C55="",$D55="",$C55&gt;CV$6,$D55&lt;CV$9),"",IF($J55="里程碑","◆",""))</f>
        <v/>
      </c>
      <c r="CW55" s="8" t="str">
        <f>IF(OR($A55="",$C55="",$D55="",$C55&gt;CW$6,$D55&lt;CW$9),"",IF($J55="里程碑","◆",""))</f>
        <v/>
      </c>
      <c r="CX55" s="8" t="str">
        <f>IF(OR($A55="",$C55="",$D55="",$C55&gt;CX$6,$D55&lt;CX$9),"",IF($J55="里程碑","◆",""))</f>
        <v/>
      </c>
      <c r="CY55" s="8" t="str">
        <f>IF(OR($A55="",$C55="",$D55="",$C55&gt;CY$6,$D55&lt;CY$9),"",IF($J55="里程碑","◆",""))</f>
        <v/>
      </c>
      <c r="CZ55" s="8" t="str">
        <f>IF(OR($A55="",$C55="",$D55="",$C55&gt;CZ$6,$D55&lt;CZ$9),"",IF($J55="里程碑","◆",""))</f>
        <v/>
      </c>
      <c r="DA55" s="8" t="str">
        <f>IF(OR($A55="",$C55="",$D55="",$C55&gt;DA$6,$D55&lt;DA$9),"",IF($J55="里程碑","◆",""))</f>
        <v/>
      </c>
      <c r="DB55" s="8" t="str">
        <f>IF(OR($A55="",$C55="",$D55="",$C55&gt;DB$6,$D55&lt;DB$9),"",IF($J55="里程碑","◆",""))</f>
        <v/>
      </c>
      <c r="DC55" s="1" t="str">
        <f>IF(ROW()-9&gt;$DH$3,"",MATCH(ROW()-9,排期计算!$U$10:$U$109,0))</f>
        <v/>
      </c>
      <c r="DD55" s="1" t="str">
        <f>IF($DC55="","",INDEX(排期计算!$L$10:$L$109,$DC55))</f>
        <v/>
      </c>
      <c r="DE55" s="1"/>
      <c r="DF55" s="1"/>
      <c r="DG55" s="1"/>
      <c r="DH55" s="1"/>
      <c r="DI55" s="1"/>
      <c r="DJ55" s="1"/>
      <c r="DK55" s="1"/>
    </row>
    <row r="56" spans="1:115" ht="24.95" customHeight="1">
      <c r="A56" s="9" t="str">
        <f>IF($DC56="","",IF(AND(INDEX(排期计算!$A$10:$A$109,$DC56)="",NOT(ISNUMBER(INDEX(排期计算!$A$10:$A$109,$DC56)))),"",INDEX(排期计算!$A$10:$A$109,$DC56)))</f>
        <v/>
      </c>
      <c r="B56" s="1" t="str">
        <f>IF($DC56="","",REPT("　",$DD56-1)&amp;INDEX(排期计算!$B$10:$B$109,$DC56))</f>
        <v/>
      </c>
      <c r="C56" s="3" t="str">
        <f>IF($DC56="","",IF(AND(INDEX(排期计算!$M$10:$M$109,$DC56)="",NOT(ISNUMBER(INDEX(排期计算!$M$10:$M$109,$DC56)))),"",INDEX(排期计算!$M$10:$M$109,$DC56)))</f>
        <v/>
      </c>
      <c r="D56" s="3" t="str">
        <f>IF($DC56="","",IF(AND(INDEX(排期计算!$N$10:$N$109,$DC56)="",NOT(ISNUMBER(INDEX(排期计算!$N$10:$N$109,$DC56)))),"",INDEX(排期计算!$N$10:$N$109,$DC56)))</f>
        <v/>
      </c>
      <c r="E56" s="1" t="str">
        <f>IF(OR($C56="",$D56=""),"",IF($J56="里程碑",0,NETWORKDAYS($C56,$D56)))</f>
        <v/>
      </c>
      <c r="F56" s="7" t="str">
        <f>IF($DC56="","",IF(AND(INDEX(排期计算!$O$10:$O$109,$DC56)="",NOT(ISNUMBER(INDEX(排期计算!$O$10:$O$109,$DC56)))),"",INDEX(排期计算!$O$10:$O$109,$DC56)))</f>
        <v/>
      </c>
      <c r="G56" s="8" t="str">
        <f>IF($A56="","",IF(OR($C56="",$D56=""),"未排期",IF($F56&gt;=1,"已完成",IF($D56&lt;$B$4,"逾期",IF($C56&gt;$B$4,"未开始","进行中")))))</f>
        <v/>
      </c>
      <c r="H56" s="1" t="str">
        <f>IF($DC56="","",IF(AND(INDEX(排期计算!$C$10:$C$109,$DC56)="",NOT(ISNUMBER(INDEX(排期计算!$C$10:$C$109,$DC56)))),"",INDEX(排期计算!$C$10:$C$109,$DC56)))</f>
        <v/>
      </c>
      <c r="I56" s="1" t="str">
        <f>IF($DC56="","",IF(AND(INDEX(排期计算!$H$10:$H$109,$DC56)="",NOT(ISNUMBER(INDEX(排期计算!$H$10:$H$109,$DC56)))),"",INDEX(排期计算!$H$10:$H$109,$DC56)))</f>
        <v/>
      </c>
      <c r="J56" s="1" t="str">
        <f>IF($DC56="","",IF(AND(INDEX(排期计算!$K$10:$K$109,$DC56)="",NOT(ISNUMBER(INDEX(排期计算!$K$10:$K$109,$DC56)))),"",INDEX(排期计算!$K$10:$K$109,$DC56)))</f>
        <v/>
      </c>
      <c r="K56" s="8" t="str">
        <f>IF(OR($A56="",$C56="",$D56="",$C56&gt;K$6,$D56&lt;K$9),"",IF($J56="里程碑","◆",""))</f>
        <v/>
      </c>
      <c r="L56" s="8" t="str">
        <f>IF(OR($A56="",$C56="",$D56="",$C56&gt;L$6,$D56&lt;L$9),"",IF($J56="里程碑","◆",""))</f>
        <v/>
      </c>
      <c r="M56" s="8" t="str">
        <f>IF(OR($A56="",$C56="",$D56="",$C56&gt;M$6,$D56&lt;M$9),"",IF($J56="里程碑","◆",""))</f>
        <v/>
      </c>
      <c r="N56" s="8" t="str">
        <f>IF(OR($A56="",$C56="",$D56="",$C56&gt;N$6,$D56&lt;N$9),"",IF($J56="里程碑","◆",""))</f>
        <v/>
      </c>
      <c r="O56" s="8" t="str">
        <f>IF(OR($A56="",$C56="",$D56="",$C56&gt;O$6,$D56&lt;O$9),"",IF($J56="里程碑","◆",""))</f>
        <v/>
      </c>
      <c r="P56" s="8" t="str">
        <f>IF(OR($A56="",$C56="",$D56="",$C56&gt;P$6,$D56&lt;P$9),"",IF($J56="里程碑","◆",""))</f>
        <v/>
      </c>
      <c r="Q56" s="8" t="str">
        <f>IF(OR($A56="",$C56="",$D56="",$C56&gt;Q$6,$D56&lt;Q$9),"",IF($J56="里程碑","◆",""))</f>
        <v/>
      </c>
      <c r="R56" s="8" t="str">
        <f>IF(OR($A56="",$C56="",$D56="",$C56&gt;R$6,$D56&lt;R$9),"",IF($J56="里程碑","◆",""))</f>
        <v/>
      </c>
      <c r="S56" s="8" t="str">
        <f>IF(OR($A56="",$C56="",$D56="",$C56&gt;S$6,$D56&lt;S$9),"",IF($J56="里程碑","◆",""))</f>
        <v/>
      </c>
      <c r="T56" s="8" t="str">
        <f>IF(OR($A56="",$C56="",$D56="",$C56&gt;T$6,$D56&lt;T$9),"",IF($J56="里程碑","◆",""))</f>
        <v/>
      </c>
      <c r="U56" s="8" t="str">
        <f>IF(OR($A56="",$C56="",$D56="",$C56&gt;U$6,$D56&lt;U$9),"",IF($J56="里程碑","◆",""))</f>
        <v/>
      </c>
      <c r="V56" s="8" t="str">
        <f>IF(OR($A56="",$C56="",$D56="",$C56&gt;V$6,$D56&lt;V$9),"",IF($J56="里程碑","◆",""))</f>
        <v/>
      </c>
      <c r="W56" s="8" t="str">
        <f>IF(OR($A56="",$C56="",$D56="",$C56&gt;W$6,$D56&lt;W$9),"",IF($J56="里程碑","◆",""))</f>
        <v/>
      </c>
      <c r="X56" s="8" t="str">
        <f>IF(OR($A56="",$C56="",$D56="",$C56&gt;X$6,$D56&lt;X$9),"",IF($J56="里程碑","◆",""))</f>
        <v/>
      </c>
      <c r="Y56" s="8" t="str">
        <f>IF(OR($A56="",$C56="",$D56="",$C56&gt;Y$6,$D56&lt;Y$9),"",IF($J56="里程碑","◆",""))</f>
        <v/>
      </c>
      <c r="Z56" s="8" t="str">
        <f>IF(OR($A56="",$C56="",$D56="",$C56&gt;Z$6,$D56&lt;Z$9),"",IF($J56="里程碑","◆",""))</f>
        <v/>
      </c>
      <c r="AA56" s="8" t="str">
        <f>IF(OR($A56="",$C56="",$D56="",$C56&gt;AA$6,$D56&lt;AA$9),"",IF($J56="里程碑","◆",""))</f>
        <v/>
      </c>
      <c r="AB56" s="8" t="str">
        <f>IF(OR($A56="",$C56="",$D56="",$C56&gt;AB$6,$D56&lt;AB$9),"",IF($J56="里程碑","◆",""))</f>
        <v/>
      </c>
      <c r="AC56" s="8" t="str">
        <f>IF(OR($A56="",$C56="",$D56="",$C56&gt;AC$6,$D56&lt;AC$9),"",IF($J56="里程碑","◆",""))</f>
        <v/>
      </c>
      <c r="AD56" s="8" t="str">
        <f>IF(OR($A56="",$C56="",$D56="",$C56&gt;AD$6,$D56&lt;AD$9),"",IF($J56="里程碑","◆",""))</f>
        <v/>
      </c>
      <c r="AE56" s="8" t="str">
        <f>IF(OR($A56="",$C56="",$D56="",$C56&gt;AE$6,$D56&lt;AE$9),"",IF($J56="里程碑","◆",""))</f>
        <v/>
      </c>
      <c r="AF56" s="8" t="str">
        <f>IF(OR($A56="",$C56="",$D56="",$C56&gt;AF$6,$D56&lt;AF$9),"",IF($J56="里程碑","◆",""))</f>
        <v/>
      </c>
      <c r="AG56" s="8" t="str">
        <f>IF(OR($A56="",$C56="",$D56="",$C56&gt;AG$6,$D56&lt;AG$9),"",IF($J56="里程碑","◆",""))</f>
        <v/>
      </c>
      <c r="AH56" s="8" t="str">
        <f>IF(OR($A56="",$C56="",$D56="",$C56&gt;AH$6,$D56&lt;AH$9),"",IF($J56="里程碑","◆",""))</f>
        <v/>
      </c>
      <c r="AI56" s="8" t="str">
        <f>IF(OR($A56="",$C56="",$D56="",$C56&gt;AI$6,$D56&lt;AI$9),"",IF($J56="里程碑","◆",""))</f>
        <v/>
      </c>
      <c r="AJ56" s="8" t="str">
        <f>IF(OR($A56="",$C56="",$D56="",$C56&gt;AJ$6,$D56&lt;AJ$9),"",IF($J56="里程碑","◆",""))</f>
        <v/>
      </c>
      <c r="AK56" s="8" t="str">
        <f>IF(OR($A56="",$C56="",$D56="",$C56&gt;AK$6,$D56&lt;AK$9),"",IF($J56="里程碑","◆",""))</f>
        <v/>
      </c>
      <c r="AL56" s="8" t="str">
        <f>IF(OR($A56="",$C56="",$D56="",$C56&gt;AL$6,$D56&lt;AL$9),"",IF($J56="里程碑","◆",""))</f>
        <v/>
      </c>
      <c r="AM56" s="8" t="str">
        <f>IF(OR($A56="",$C56="",$D56="",$C56&gt;AM$6,$D56&lt;AM$9),"",IF($J56="里程碑","◆",""))</f>
        <v/>
      </c>
      <c r="AN56" s="8" t="str">
        <f>IF(OR($A56="",$C56="",$D56="",$C56&gt;AN$6,$D56&lt;AN$9),"",IF($J56="里程碑","◆",""))</f>
        <v/>
      </c>
      <c r="AO56" s="8" t="str">
        <f>IF(OR($A56="",$C56="",$D56="",$C56&gt;AO$6,$D56&lt;AO$9),"",IF($J56="里程碑","◆",""))</f>
        <v/>
      </c>
      <c r="AP56" s="8" t="str">
        <f>IF(OR($A56="",$C56="",$D56="",$C56&gt;AP$6,$D56&lt;AP$9),"",IF($J56="里程碑","◆",""))</f>
        <v/>
      </c>
      <c r="AQ56" s="8" t="str">
        <f>IF(OR($A56="",$C56="",$D56="",$C56&gt;AQ$6,$D56&lt;AQ$9),"",IF($J56="里程碑","◆",""))</f>
        <v/>
      </c>
      <c r="AR56" s="8" t="str">
        <f>IF(OR($A56="",$C56="",$D56="",$C56&gt;AR$6,$D56&lt;AR$9),"",IF($J56="里程碑","◆",""))</f>
        <v/>
      </c>
      <c r="AS56" s="8" t="str">
        <f>IF(OR($A56="",$C56="",$D56="",$C56&gt;AS$6,$D56&lt;AS$9),"",IF($J56="里程碑","◆",""))</f>
        <v/>
      </c>
      <c r="AT56" s="8" t="str">
        <f>IF(OR($A56="",$C56="",$D56="",$C56&gt;AT$6,$D56&lt;AT$9),"",IF($J56="里程碑","◆",""))</f>
        <v/>
      </c>
      <c r="AU56" s="8" t="str">
        <f>IF(OR($A56="",$C56="",$D56="",$C56&gt;AU$6,$D56&lt;AU$9),"",IF($J56="里程碑","◆",""))</f>
        <v/>
      </c>
      <c r="AV56" s="8" t="str">
        <f>IF(OR($A56="",$C56="",$D56="",$C56&gt;AV$6,$D56&lt;AV$9),"",IF($J56="里程碑","◆",""))</f>
        <v/>
      </c>
      <c r="AW56" s="8" t="str">
        <f>IF(OR($A56="",$C56="",$D56="",$C56&gt;AW$6,$D56&lt;AW$9),"",IF($J56="里程碑","◆",""))</f>
        <v/>
      </c>
      <c r="AX56" s="8" t="str">
        <f>IF(OR($A56="",$C56="",$D56="",$C56&gt;AX$6,$D56&lt;AX$9),"",IF($J56="里程碑","◆",""))</f>
        <v/>
      </c>
      <c r="AY56" s="8" t="str">
        <f>IF(OR($A56="",$C56="",$D56="",$C56&gt;AY$6,$D56&lt;AY$9),"",IF($J56="里程碑","◆",""))</f>
        <v/>
      </c>
      <c r="AZ56" s="8" t="str">
        <f>IF(OR($A56="",$C56="",$D56="",$C56&gt;AZ$6,$D56&lt;AZ$9),"",IF($J56="里程碑","◆",""))</f>
        <v/>
      </c>
      <c r="BA56" s="8" t="str">
        <f>IF(OR($A56="",$C56="",$D56="",$C56&gt;BA$6,$D56&lt;BA$9),"",IF($J56="里程碑","◆",""))</f>
        <v/>
      </c>
      <c r="BB56" s="8" t="str">
        <f>IF(OR($A56="",$C56="",$D56="",$C56&gt;BB$6,$D56&lt;BB$9),"",IF($J56="里程碑","◆",""))</f>
        <v/>
      </c>
      <c r="BC56" s="8" t="str">
        <f>IF(OR($A56="",$C56="",$D56="",$C56&gt;BC$6,$D56&lt;BC$9),"",IF($J56="里程碑","◆",""))</f>
        <v/>
      </c>
      <c r="BD56" s="8" t="str">
        <f>IF(OR($A56="",$C56="",$D56="",$C56&gt;BD$6,$D56&lt;BD$9),"",IF($J56="里程碑","◆",""))</f>
        <v/>
      </c>
      <c r="BE56" s="8" t="str">
        <f>IF(OR($A56="",$C56="",$D56="",$C56&gt;BE$6,$D56&lt;BE$9),"",IF($J56="里程碑","◆",""))</f>
        <v/>
      </c>
      <c r="BF56" s="8" t="str">
        <f>IF(OR($A56="",$C56="",$D56="",$C56&gt;BF$6,$D56&lt;BF$9),"",IF($J56="里程碑","◆",""))</f>
        <v/>
      </c>
      <c r="BG56" s="8" t="str">
        <f>IF(OR($A56="",$C56="",$D56="",$C56&gt;BG$6,$D56&lt;BG$9),"",IF($J56="里程碑","◆",""))</f>
        <v/>
      </c>
      <c r="BH56" s="8" t="str">
        <f>IF(OR($A56="",$C56="",$D56="",$C56&gt;BH$6,$D56&lt;BH$9),"",IF($J56="里程碑","◆",""))</f>
        <v/>
      </c>
      <c r="BI56" s="8" t="str">
        <f>IF(OR($A56="",$C56="",$D56="",$C56&gt;BI$6,$D56&lt;BI$9),"",IF($J56="里程碑","◆",""))</f>
        <v/>
      </c>
      <c r="BJ56" s="8" t="str">
        <f>IF(OR($A56="",$C56="",$D56="",$C56&gt;BJ$6,$D56&lt;BJ$9),"",IF($J56="里程碑","◆",""))</f>
        <v/>
      </c>
      <c r="BK56" s="8" t="str">
        <f>IF(OR($A56="",$C56="",$D56="",$C56&gt;BK$6,$D56&lt;BK$9),"",IF($J56="里程碑","◆",""))</f>
        <v/>
      </c>
      <c r="BL56" s="8" t="str">
        <f>IF(OR($A56="",$C56="",$D56="",$C56&gt;BL$6,$D56&lt;BL$9),"",IF($J56="里程碑","◆",""))</f>
        <v/>
      </c>
      <c r="BM56" s="8" t="str">
        <f>IF(OR($A56="",$C56="",$D56="",$C56&gt;BM$6,$D56&lt;BM$9),"",IF($J56="里程碑","◆",""))</f>
        <v/>
      </c>
      <c r="BN56" s="8" t="str">
        <f>IF(OR($A56="",$C56="",$D56="",$C56&gt;BN$6,$D56&lt;BN$9),"",IF($J56="里程碑","◆",""))</f>
        <v/>
      </c>
      <c r="BO56" s="8" t="str">
        <f>IF(OR($A56="",$C56="",$D56="",$C56&gt;BO$6,$D56&lt;BO$9),"",IF($J56="里程碑","◆",""))</f>
        <v/>
      </c>
      <c r="BP56" s="8" t="str">
        <f>IF(OR($A56="",$C56="",$D56="",$C56&gt;BP$6,$D56&lt;BP$9),"",IF($J56="里程碑","◆",""))</f>
        <v/>
      </c>
      <c r="BQ56" s="8" t="str">
        <f>IF(OR($A56="",$C56="",$D56="",$C56&gt;BQ$6,$D56&lt;BQ$9),"",IF($J56="里程碑","◆",""))</f>
        <v/>
      </c>
      <c r="BR56" s="8" t="str">
        <f>IF(OR($A56="",$C56="",$D56="",$C56&gt;BR$6,$D56&lt;BR$9),"",IF($J56="里程碑","◆",""))</f>
        <v/>
      </c>
      <c r="BS56" s="8" t="str">
        <f>IF(OR($A56="",$C56="",$D56="",$C56&gt;BS$6,$D56&lt;BS$9),"",IF($J56="里程碑","◆",""))</f>
        <v/>
      </c>
      <c r="BT56" s="8" t="str">
        <f>IF(OR($A56="",$C56="",$D56="",$C56&gt;BT$6,$D56&lt;BT$9),"",IF($J56="里程碑","◆",""))</f>
        <v/>
      </c>
      <c r="BU56" s="8" t="str">
        <f>IF(OR($A56="",$C56="",$D56="",$C56&gt;BU$6,$D56&lt;BU$9),"",IF($J56="里程碑","◆",""))</f>
        <v/>
      </c>
      <c r="BV56" s="8" t="str">
        <f>IF(OR($A56="",$C56="",$D56="",$C56&gt;BV$6,$D56&lt;BV$9),"",IF($J56="里程碑","◆",""))</f>
        <v/>
      </c>
      <c r="BW56" s="8" t="str">
        <f>IF(OR($A56="",$C56="",$D56="",$C56&gt;BW$6,$D56&lt;BW$9),"",IF($J56="里程碑","◆",""))</f>
        <v/>
      </c>
      <c r="BX56" s="8" t="str">
        <f>IF(OR($A56="",$C56="",$D56="",$C56&gt;BX$6,$D56&lt;BX$9),"",IF($J56="里程碑","◆",""))</f>
        <v/>
      </c>
      <c r="BY56" s="8" t="str">
        <f>IF(OR($A56="",$C56="",$D56="",$C56&gt;BY$6,$D56&lt;BY$9),"",IF($J56="里程碑","◆",""))</f>
        <v/>
      </c>
      <c r="BZ56" s="8" t="str">
        <f>IF(OR($A56="",$C56="",$D56="",$C56&gt;BZ$6,$D56&lt;BZ$9),"",IF($J56="里程碑","◆",""))</f>
        <v/>
      </c>
      <c r="CA56" s="8" t="str">
        <f>IF(OR($A56="",$C56="",$D56="",$C56&gt;CA$6,$D56&lt;CA$9),"",IF($J56="里程碑","◆",""))</f>
        <v/>
      </c>
      <c r="CB56" s="8" t="str">
        <f>IF(OR($A56="",$C56="",$D56="",$C56&gt;CB$6,$D56&lt;CB$9),"",IF($J56="里程碑","◆",""))</f>
        <v/>
      </c>
      <c r="CC56" s="8" t="str">
        <f>IF(OR($A56="",$C56="",$D56="",$C56&gt;CC$6,$D56&lt;CC$9),"",IF($J56="里程碑","◆",""))</f>
        <v/>
      </c>
      <c r="CD56" s="8" t="str">
        <f>IF(OR($A56="",$C56="",$D56="",$C56&gt;CD$6,$D56&lt;CD$9),"",IF($J56="里程碑","◆",""))</f>
        <v/>
      </c>
      <c r="CE56" s="8" t="str">
        <f>IF(OR($A56="",$C56="",$D56="",$C56&gt;CE$6,$D56&lt;CE$9),"",IF($J56="里程碑","◆",""))</f>
        <v/>
      </c>
      <c r="CF56" s="8" t="str">
        <f>IF(OR($A56="",$C56="",$D56="",$C56&gt;CF$6,$D56&lt;CF$9),"",IF($J56="里程碑","◆",""))</f>
        <v/>
      </c>
      <c r="CG56" s="8" t="str">
        <f>IF(OR($A56="",$C56="",$D56="",$C56&gt;CG$6,$D56&lt;CG$9),"",IF($J56="里程碑","◆",""))</f>
        <v/>
      </c>
      <c r="CH56" s="8" t="str">
        <f>IF(OR($A56="",$C56="",$D56="",$C56&gt;CH$6,$D56&lt;CH$9),"",IF($J56="里程碑","◆",""))</f>
        <v/>
      </c>
      <c r="CI56" s="8" t="str">
        <f>IF(OR($A56="",$C56="",$D56="",$C56&gt;CI$6,$D56&lt;CI$9),"",IF($J56="里程碑","◆",""))</f>
        <v/>
      </c>
      <c r="CJ56" s="8" t="str">
        <f>IF(OR($A56="",$C56="",$D56="",$C56&gt;CJ$6,$D56&lt;CJ$9),"",IF($J56="里程碑","◆",""))</f>
        <v/>
      </c>
      <c r="CK56" s="8" t="str">
        <f>IF(OR($A56="",$C56="",$D56="",$C56&gt;CK$6,$D56&lt;CK$9),"",IF($J56="里程碑","◆",""))</f>
        <v/>
      </c>
      <c r="CL56" s="8" t="str">
        <f>IF(OR($A56="",$C56="",$D56="",$C56&gt;CL$6,$D56&lt;CL$9),"",IF($J56="里程碑","◆",""))</f>
        <v/>
      </c>
      <c r="CM56" s="8" t="str">
        <f>IF(OR($A56="",$C56="",$D56="",$C56&gt;CM$6,$D56&lt;CM$9),"",IF($J56="里程碑","◆",""))</f>
        <v/>
      </c>
      <c r="CN56" s="8" t="str">
        <f>IF(OR($A56="",$C56="",$D56="",$C56&gt;CN$6,$D56&lt;CN$9),"",IF($J56="里程碑","◆",""))</f>
        <v/>
      </c>
      <c r="CO56" s="8" t="str">
        <f>IF(OR($A56="",$C56="",$D56="",$C56&gt;CO$6,$D56&lt;CO$9),"",IF($J56="里程碑","◆",""))</f>
        <v/>
      </c>
      <c r="CP56" s="8" t="str">
        <f>IF(OR($A56="",$C56="",$D56="",$C56&gt;CP$6,$D56&lt;CP$9),"",IF($J56="里程碑","◆",""))</f>
        <v/>
      </c>
      <c r="CQ56" s="8" t="str">
        <f>IF(OR($A56="",$C56="",$D56="",$C56&gt;CQ$6,$D56&lt;CQ$9),"",IF($J56="里程碑","◆",""))</f>
        <v/>
      </c>
      <c r="CR56" s="8" t="str">
        <f>IF(OR($A56="",$C56="",$D56="",$C56&gt;CR$6,$D56&lt;CR$9),"",IF($J56="里程碑","◆",""))</f>
        <v/>
      </c>
      <c r="CS56" s="8" t="str">
        <f>IF(OR($A56="",$C56="",$D56="",$C56&gt;CS$6,$D56&lt;CS$9),"",IF($J56="里程碑","◆",""))</f>
        <v/>
      </c>
      <c r="CT56" s="8" t="str">
        <f>IF(OR($A56="",$C56="",$D56="",$C56&gt;CT$6,$D56&lt;CT$9),"",IF($J56="里程碑","◆",""))</f>
        <v/>
      </c>
      <c r="CU56" s="8" t="str">
        <f>IF(OR($A56="",$C56="",$D56="",$C56&gt;CU$6,$D56&lt;CU$9),"",IF($J56="里程碑","◆",""))</f>
        <v/>
      </c>
      <c r="CV56" s="8" t="str">
        <f>IF(OR($A56="",$C56="",$D56="",$C56&gt;CV$6,$D56&lt;CV$9),"",IF($J56="里程碑","◆",""))</f>
        <v/>
      </c>
      <c r="CW56" s="8" t="str">
        <f>IF(OR($A56="",$C56="",$D56="",$C56&gt;CW$6,$D56&lt;CW$9),"",IF($J56="里程碑","◆",""))</f>
        <v/>
      </c>
      <c r="CX56" s="8" t="str">
        <f>IF(OR($A56="",$C56="",$D56="",$C56&gt;CX$6,$D56&lt;CX$9),"",IF($J56="里程碑","◆",""))</f>
        <v/>
      </c>
      <c r="CY56" s="8" t="str">
        <f>IF(OR($A56="",$C56="",$D56="",$C56&gt;CY$6,$D56&lt;CY$9),"",IF($J56="里程碑","◆",""))</f>
        <v/>
      </c>
      <c r="CZ56" s="8" t="str">
        <f>IF(OR($A56="",$C56="",$D56="",$C56&gt;CZ$6,$D56&lt;CZ$9),"",IF($J56="里程碑","◆",""))</f>
        <v/>
      </c>
      <c r="DA56" s="8" t="str">
        <f>IF(OR($A56="",$C56="",$D56="",$C56&gt;DA$6,$D56&lt;DA$9),"",IF($J56="里程碑","◆",""))</f>
        <v/>
      </c>
      <c r="DB56" s="8" t="str">
        <f>IF(OR($A56="",$C56="",$D56="",$C56&gt;DB$6,$D56&lt;DB$9),"",IF($J56="里程碑","◆",""))</f>
        <v/>
      </c>
      <c r="DC56" s="1" t="str">
        <f>IF(ROW()-9&gt;$DH$3,"",MATCH(ROW()-9,排期计算!$U$10:$U$109,0))</f>
        <v/>
      </c>
      <c r="DD56" s="1" t="str">
        <f>IF($DC56="","",INDEX(排期计算!$L$10:$L$109,$DC56))</f>
        <v/>
      </c>
      <c r="DE56" s="1"/>
      <c r="DF56" s="1"/>
      <c r="DG56" s="1"/>
      <c r="DH56" s="1"/>
      <c r="DI56" s="1"/>
      <c r="DJ56" s="1"/>
      <c r="DK56" s="1"/>
    </row>
    <row r="57" spans="1:115" ht="24.95" customHeight="1">
      <c r="A57" s="9" t="str">
        <f>IF($DC57="","",IF(AND(INDEX(排期计算!$A$10:$A$109,$DC57)="",NOT(ISNUMBER(INDEX(排期计算!$A$10:$A$109,$DC57)))),"",INDEX(排期计算!$A$10:$A$109,$DC57)))</f>
        <v/>
      </c>
      <c r="B57" s="1" t="str">
        <f>IF($DC57="","",REPT("　",$DD57-1)&amp;INDEX(排期计算!$B$10:$B$109,$DC57))</f>
        <v/>
      </c>
      <c r="C57" s="3" t="str">
        <f>IF($DC57="","",IF(AND(INDEX(排期计算!$M$10:$M$109,$DC57)="",NOT(ISNUMBER(INDEX(排期计算!$M$10:$M$109,$DC57)))),"",INDEX(排期计算!$M$10:$M$109,$DC57)))</f>
        <v/>
      </c>
      <c r="D57" s="3" t="str">
        <f>IF($DC57="","",IF(AND(INDEX(排期计算!$N$10:$N$109,$DC57)="",NOT(ISNUMBER(INDEX(排期计算!$N$10:$N$109,$DC57)))),"",INDEX(排期计算!$N$10:$N$109,$DC57)))</f>
        <v/>
      </c>
      <c r="E57" s="1" t="str">
        <f>IF(OR($C57="",$D57=""),"",IF($J57="里程碑",0,NETWORKDAYS($C57,$D57)))</f>
        <v/>
      </c>
      <c r="F57" s="7" t="str">
        <f>IF($DC57="","",IF(AND(INDEX(排期计算!$O$10:$O$109,$DC57)="",NOT(ISNUMBER(INDEX(排期计算!$O$10:$O$109,$DC57)))),"",INDEX(排期计算!$O$10:$O$109,$DC57)))</f>
        <v/>
      </c>
      <c r="G57" s="8" t="str">
        <f>IF($A57="","",IF(OR($C57="",$D57=""),"未排期",IF($F57&gt;=1,"已完成",IF($D57&lt;$B$4,"逾期",IF($C57&gt;$B$4,"未开始","进行中")))))</f>
        <v/>
      </c>
      <c r="H57" s="1" t="str">
        <f>IF($DC57="","",IF(AND(INDEX(排期计算!$C$10:$C$109,$DC57)="",NOT(ISNUMBER(INDEX(排期计算!$C$10:$C$109,$DC57)))),"",INDEX(排期计算!$C$10:$C$109,$DC57)))</f>
        <v/>
      </c>
      <c r="I57" s="1" t="str">
        <f>IF($DC57="","",IF(AND(INDEX(排期计算!$H$10:$H$109,$DC57)="",NOT(ISNUMBER(INDEX(排期计算!$H$10:$H$109,$DC57)))),"",INDEX(排期计算!$H$10:$H$109,$DC57)))</f>
        <v/>
      </c>
      <c r="J57" s="1" t="str">
        <f>IF($DC57="","",IF(AND(INDEX(排期计算!$K$10:$K$109,$DC57)="",NOT(ISNUMBER(INDEX(排期计算!$K$10:$K$109,$DC57)))),"",INDEX(排期计算!$K$10:$K$109,$DC57)))</f>
        <v/>
      </c>
      <c r="K57" s="8" t="str">
        <f>IF(OR($A57="",$C57="",$D57="",$C57&gt;K$6,$D57&lt;K$9),"",IF($J57="里程碑","◆",""))</f>
        <v/>
      </c>
      <c r="L57" s="8" t="str">
        <f>IF(OR($A57="",$C57="",$D57="",$C57&gt;L$6,$D57&lt;L$9),"",IF($J57="里程碑","◆",""))</f>
        <v/>
      </c>
      <c r="M57" s="8" t="str">
        <f>IF(OR($A57="",$C57="",$D57="",$C57&gt;M$6,$D57&lt;M$9),"",IF($J57="里程碑","◆",""))</f>
        <v/>
      </c>
      <c r="N57" s="8" t="str">
        <f>IF(OR($A57="",$C57="",$D57="",$C57&gt;N$6,$D57&lt;N$9),"",IF($J57="里程碑","◆",""))</f>
        <v/>
      </c>
      <c r="O57" s="8" t="str">
        <f>IF(OR($A57="",$C57="",$D57="",$C57&gt;O$6,$D57&lt;O$9),"",IF($J57="里程碑","◆",""))</f>
        <v/>
      </c>
      <c r="P57" s="8" t="str">
        <f>IF(OR($A57="",$C57="",$D57="",$C57&gt;P$6,$D57&lt;P$9),"",IF($J57="里程碑","◆",""))</f>
        <v/>
      </c>
      <c r="Q57" s="8" t="str">
        <f>IF(OR($A57="",$C57="",$D57="",$C57&gt;Q$6,$D57&lt;Q$9),"",IF($J57="里程碑","◆",""))</f>
        <v/>
      </c>
      <c r="R57" s="8" t="str">
        <f>IF(OR($A57="",$C57="",$D57="",$C57&gt;R$6,$D57&lt;R$9),"",IF($J57="里程碑","◆",""))</f>
        <v/>
      </c>
      <c r="S57" s="8" t="str">
        <f>IF(OR($A57="",$C57="",$D57="",$C57&gt;S$6,$D57&lt;S$9),"",IF($J57="里程碑","◆",""))</f>
        <v/>
      </c>
      <c r="T57" s="8" t="str">
        <f>IF(OR($A57="",$C57="",$D57="",$C57&gt;T$6,$D57&lt;T$9),"",IF($J57="里程碑","◆",""))</f>
        <v/>
      </c>
      <c r="U57" s="8" t="str">
        <f>IF(OR($A57="",$C57="",$D57="",$C57&gt;U$6,$D57&lt;U$9),"",IF($J57="里程碑","◆",""))</f>
        <v/>
      </c>
      <c r="V57" s="8" t="str">
        <f>IF(OR($A57="",$C57="",$D57="",$C57&gt;V$6,$D57&lt;V$9),"",IF($J57="里程碑","◆",""))</f>
        <v/>
      </c>
      <c r="W57" s="8" t="str">
        <f>IF(OR($A57="",$C57="",$D57="",$C57&gt;W$6,$D57&lt;W$9),"",IF($J57="里程碑","◆",""))</f>
        <v/>
      </c>
      <c r="X57" s="8" t="str">
        <f>IF(OR($A57="",$C57="",$D57="",$C57&gt;X$6,$D57&lt;X$9),"",IF($J57="里程碑","◆",""))</f>
        <v/>
      </c>
      <c r="Y57" s="8" t="str">
        <f>IF(OR($A57="",$C57="",$D57="",$C57&gt;Y$6,$D57&lt;Y$9),"",IF($J57="里程碑","◆",""))</f>
        <v/>
      </c>
      <c r="Z57" s="8" t="str">
        <f>IF(OR($A57="",$C57="",$D57="",$C57&gt;Z$6,$D57&lt;Z$9),"",IF($J57="里程碑","◆",""))</f>
        <v/>
      </c>
      <c r="AA57" s="8" t="str">
        <f>IF(OR($A57="",$C57="",$D57="",$C57&gt;AA$6,$D57&lt;AA$9),"",IF($J57="里程碑","◆",""))</f>
        <v/>
      </c>
      <c r="AB57" s="8" t="str">
        <f>IF(OR($A57="",$C57="",$D57="",$C57&gt;AB$6,$D57&lt;AB$9),"",IF($J57="里程碑","◆",""))</f>
        <v/>
      </c>
      <c r="AC57" s="8" t="str">
        <f>IF(OR($A57="",$C57="",$D57="",$C57&gt;AC$6,$D57&lt;AC$9),"",IF($J57="里程碑","◆",""))</f>
        <v/>
      </c>
      <c r="AD57" s="8" t="str">
        <f>IF(OR($A57="",$C57="",$D57="",$C57&gt;AD$6,$D57&lt;AD$9),"",IF($J57="里程碑","◆",""))</f>
        <v/>
      </c>
      <c r="AE57" s="8" t="str">
        <f>IF(OR($A57="",$C57="",$D57="",$C57&gt;AE$6,$D57&lt;AE$9),"",IF($J57="里程碑","◆",""))</f>
        <v/>
      </c>
      <c r="AF57" s="8" t="str">
        <f>IF(OR($A57="",$C57="",$D57="",$C57&gt;AF$6,$D57&lt;AF$9),"",IF($J57="里程碑","◆",""))</f>
        <v/>
      </c>
      <c r="AG57" s="8" t="str">
        <f>IF(OR($A57="",$C57="",$D57="",$C57&gt;AG$6,$D57&lt;AG$9),"",IF($J57="里程碑","◆",""))</f>
        <v/>
      </c>
      <c r="AH57" s="8" t="str">
        <f>IF(OR($A57="",$C57="",$D57="",$C57&gt;AH$6,$D57&lt;AH$9),"",IF($J57="里程碑","◆",""))</f>
        <v/>
      </c>
      <c r="AI57" s="8" t="str">
        <f>IF(OR($A57="",$C57="",$D57="",$C57&gt;AI$6,$D57&lt;AI$9),"",IF($J57="里程碑","◆",""))</f>
        <v/>
      </c>
      <c r="AJ57" s="8" t="str">
        <f>IF(OR($A57="",$C57="",$D57="",$C57&gt;AJ$6,$D57&lt;AJ$9),"",IF($J57="里程碑","◆",""))</f>
        <v/>
      </c>
      <c r="AK57" s="8" t="str">
        <f>IF(OR($A57="",$C57="",$D57="",$C57&gt;AK$6,$D57&lt;AK$9),"",IF($J57="里程碑","◆",""))</f>
        <v/>
      </c>
      <c r="AL57" s="8" t="str">
        <f>IF(OR($A57="",$C57="",$D57="",$C57&gt;AL$6,$D57&lt;AL$9),"",IF($J57="里程碑","◆",""))</f>
        <v/>
      </c>
      <c r="AM57" s="8" t="str">
        <f>IF(OR($A57="",$C57="",$D57="",$C57&gt;AM$6,$D57&lt;AM$9),"",IF($J57="里程碑","◆",""))</f>
        <v/>
      </c>
      <c r="AN57" s="8" t="str">
        <f>IF(OR($A57="",$C57="",$D57="",$C57&gt;AN$6,$D57&lt;AN$9),"",IF($J57="里程碑","◆",""))</f>
        <v/>
      </c>
      <c r="AO57" s="8" t="str">
        <f>IF(OR($A57="",$C57="",$D57="",$C57&gt;AO$6,$D57&lt;AO$9),"",IF($J57="里程碑","◆",""))</f>
        <v/>
      </c>
      <c r="AP57" s="8" t="str">
        <f>IF(OR($A57="",$C57="",$D57="",$C57&gt;AP$6,$D57&lt;AP$9),"",IF($J57="里程碑","◆",""))</f>
        <v/>
      </c>
      <c r="AQ57" s="8" t="str">
        <f>IF(OR($A57="",$C57="",$D57="",$C57&gt;AQ$6,$D57&lt;AQ$9),"",IF($J57="里程碑","◆",""))</f>
        <v/>
      </c>
      <c r="AR57" s="8" t="str">
        <f>IF(OR($A57="",$C57="",$D57="",$C57&gt;AR$6,$D57&lt;AR$9),"",IF($J57="里程碑","◆",""))</f>
        <v/>
      </c>
      <c r="AS57" s="8" t="str">
        <f>IF(OR($A57="",$C57="",$D57="",$C57&gt;AS$6,$D57&lt;AS$9),"",IF($J57="里程碑","◆",""))</f>
        <v/>
      </c>
      <c r="AT57" s="8" t="str">
        <f>IF(OR($A57="",$C57="",$D57="",$C57&gt;AT$6,$D57&lt;AT$9),"",IF($J57="里程碑","◆",""))</f>
        <v/>
      </c>
      <c r="AU57" s="8" t="str">
        <f>IF(OR($A57="",$C57="",$D57="",$C57&gt;AU$6,$D57&lt;AU$9),"",IF($J57="里程碑","◆",""))</f>
        <v/>
      </c>
      <c r="AV57" s="8" t="str">
        <f>IF(OR($A57="",$C57="",$D57="",$C57&gt;AV$6,$D57&lt;AV$9),"",IF($J57="里程碑","◆",""))</f>
        <v/>
      </c>
      <c r="AW57" s="8" t="str">
        <f>IF(OR($A57="",$C57="",$D57="",$C57&gt;AW$6,$D57&lt;AW$9),"",IF($J57="里程碑","◆",""))</f>
        <v/>
      </c>
      <c r="AX57" s="8" t="str">
        <f>IF(OR($A57="",$C57="",$D57="",$C57&gt;AX$6,$D57&lt;AX$9),"",IF($J57="里程碑","◆",""))</f>
        <v/>
      </c>
      <c r="AY57" s="8" t="str">
        <f>IF(OR($A57="",$C57="",$D57="",$C57&gt;AY$6,$D57&lt;AY$9),"",IF($J57="里程碑","◆",""))</f>
        <v/>
      </c>
      <c r="AZ57" s="8" t="str">
        <f>IF(OR($A57="",$C57="",$D57="",$C57&gt;AZ$6,$D57&lt;AZ$9),"",IF($J57="里程碑","◆",""))</f>
        <v/>
      </c>
      <c r="BA57" s="8" t="str">
        <f>IF(OR($A57="",$C57="",$D57="",$C57&gt;BA$6,$D57&lt;BA$9),"",IF($J57="里程碑","◆",""))</f>
        <v/>
      </c>
      <c r="BB57" s="8" t="str">
        <f>IF(OR($A57="",$C57="",$D57="",$C57&gt;BB$6,$D57&lt;BB$9),"",IF($J57="里程碑","◆",""))</f>
        <v/>
      </c>
      <c r="BC57" s="8" t="str">
        <f>IF(OR($A57="",$C57="",$D57="",$C57&gt;BC$6,$D57&lt;BC$9),"",IF($J57="里程碑","◆",""))</f>
        <v/>
      </c>
      <c r="BD57" s="8" t="str">
        <f>IF(OR($A57="",$C57="",$D57="",$C57&gt;BD$6,$D57&lt;BD$9),"",IF($J57="里程碑","◆",""))</f>
        <v/>
      </c>
      <c r="BE57" s="8" t="str">
        <f>IF(OR($A57="",$C57="",$D57="",$C57&gt;BE$6,$D57&lt;BE$9),"",IF($J57="里程碑","◆",""))</f>
        <v/>
      </c>
      <c r="BF57" s="8" t="str">
        <f>IF(OR($A57="",$C57="",$D57="",$C57&gt;BF$6,$D57&lt;BF$9),"",IF($J57="里程碑","◆",""))</f>
        <v/>
      </c>
      <c r="BG57" s="8" t="str">
        <f>IF(OR($A57="",$C57="",$D57="",$C57&gt;BG$6,$D57&lt;BG$9),"",IF($J57="里程碑","◆",""))</f>
        <v/>
      </c>
      <c r="BH57" s="8" t="str">
        <f>IF(OR($A57="",$C57="",$D57="",$C57&gt;BH$6,$D57&lt;BH$9),"",IF($J57="里程碑","◆",""))</f>
        <v/>
      </c>
      <c r="BI57" s="8" t="str">
        <f>IF(OR($A57="",$C57="",$D57="",$C57&gt;BI$6,$D57&lt;BI$9),"",IF($J57="里程碑","◆",""))</f>
        <v/>
      </c>
      <c r="BJ57" s="8" t="str">
        <f>IF(OR($A57="",$C57="",$D57="",$C57&gt;BJ$6,$D57&lt;BJ$9),"",IF($J57="里程碑","◆",""))</f>
        <v/>
      </c>
      <c r="BK57" s="8" t="str">
        <f>IF(OR($A57="",$C57="",$D57="",$C57&gt;BK$6,$D57&lt;BK$9),"",IF($J57="里程碑","◆",""))</f>
        <v/>
      </c>
      <c r="BL57" s="8" t="str">
        <f>IF(OR($A57="",$C57="",$D57="",$C57&gt;BL$6,$D57&lt;BL$9),"",IF($J57="里程碑","◆",""))</f>
        <v/>
      </c>
      <c r="BM57" s="8" t="str">
        <f>IF(OR($A57="",$C57="",$D57="",$C57&gt;BM$6,$D57&lt;BM$9),"",IF($J57="里程碑","◆",""))</f>
        <v/>
      </c>
      <c r="BN57" s="8" t="str">
        <f>IF(OR($A57="",$C57="",$D57="",$C57&gt;BN$6,$D57&lt;BN$9),"",IF($J57="里程碑","◆",""))</f>
        <v/>
      </c>
      <c r="BO57" s="8" t="str">
        <f>IF(OR($A57="",$C57="",$D57="",$C57&gt;BO$6,$D57&lt;BO$9),"",IF($J57="里程碑","◆",""))</f>
        <v/>
      </c>
      <c r="BP57" s="8" t="str">
        <f>IF(OR($A57="",$C57="",$D57="",$C57&gt;BP$6,$D57&lt;BP$9),"",IF($J57="里程碑","◆",""))</f>
        <v/>
      </c>
      <c r="BQ57" s="8" t="str">
        <f>IF(OR($A57="",$C57="",$D57="",$C57&gt;BQ$6,$D57&lt;BQ$9),"",IF($J57="里程碑","◆",""))</f>
        <v/>
      </c>
      <c r="BR57" s="8" t="str">
        <f>IF(OR($A57="",$C57="",$D57="",$C57&gt;BR$6,$D57&lt;BR$9),"",IF($J57="里程碑","◆",""))</f>
        <v/>
      </c>
      <c r="BS57" s="8" t="str">
        <f>IF(OR($A57="",$C57="",$D57="",$C57&gt;BS$6,$D57&lt;BS$9),"",IF($J57="里程碑","◆",""))</f>
        <v/>
      </c>
      <c r="BT57" s="8" t="str">
        <f>IF(OR($A57="",$C57="",$D57="",$C57&gt;BT$6,$D57&lt;BT$9),"",IF($J57="里程碑","◆",""))</f>
        <v/>
      </c>
      <c r="BU57" s="8" t="str">
        <f>IF(OR($A57="",$C57="",$D57="",$C57&gt;BU$6,$D57&lt;BU$9),"",IF($J57="里程碑","◆",""))</f>
        <v/>
      </c>
      <c r="BV57" s="8" t="str">
        <f>IF(OR($A57="",$C57="",$D57="",$C57&gt;BV$6,$D57&lt;BV$9),"",IF($J57="里程碑","◆",""))</f>
        <v/>
      </c>
      <c r="BW57" s="8" t="str">
        <f>IF(OR($A57="",$C57="",$D57="",$C57&gt;BW$6,$D57&lt;BW$9),"",IF($J57="里程碑","◆",""))</f>
        <v/>
      </c>
      <c r="BX57" s="8" t="str">
        <f>IF(OR($A57="",$C57="",$D57="",$C57&gt;BX$6,$D57&lt;BX$9),"",IF($J57="里程碑","◆",""))</f>
        <v/>
      </c>
      <c r="BY57" s="8" t="str">
        <f>IF(OR($A57="",$C57="",$D57="",$C57&gt;BY$6,$D57&lt;BY$9),"",IF($J57="里程碑","◆",""))</f>
        <v/>
      </c>
      <c r="BZ57" s="8" t="str">
        <f>IF(OR($A57="",$C57="",$D57="",$C57&gt;BZ$6,$D57&lt;BZ$9),"",IF($J57="里程碑","◆",""))</f>
        <v/>
      </c>
      <c r="CA57" s="8" t="str">
        <f>IF(OR($A57="",$C57="",$D57="",$C57&gt;CA$6,$D57&lt;CA$9),"",IF($J57="里程碑","◆",""))</f>
        <v/>
      </c>
      <c r="CB57" s="8" t="str">
        <f>IF(OR($A57="",$C57="",$D57="",$C57&gt;CB$6,$D57&lt;CB$9),"",IF($J57="里程碑","◆",""))</f>
        <v/>
      </c>
      <c r="CC57" s="8" t="str">
        <f>IF(OR($A57="",$C57="",$D57="",$C57&gt;CC$6,$D57&lt;CC$9),"",IF($J57="里程碑","◆",""))</f>
        <v/>
      </c>
      <c r="CD57" s="8" t="str">
        <f>IF(OR($A57="",$C57="",$D57="",$C57&gt;CD$6,$D57&lt;CD$9),"",IF($J57="里程碑","◆",""))</f>
        <v/>
      </c>
      <c r="CE57" s="8" t="str">
        <f>IF(OR($A57="",$C57="",$D57="",$C57&gt;CE$6,$D57&lt;CE$9),"",IF($J57="里程碑","◆",""))</f>
        <v/>
      </c>
      <c r="CF57" s="8" t="str">
        <f>IF(OR($A57="",$C57="",$D57="",$C57&gt;CF$6,$D57&lt;CF$9),"",IF($J57="里程碑","◆",""))</f>
        <v/>
      </c>
      <c r="CG57" s="8" t="str">
        <f>IF(OR($A57="",$C57="",$D57="",$C57&gt;CG$6,$D57&lt;CG$9),"",IF($J57="里程碑","◆",""))</f>
        <v/>
      </c>
      <c r="CH57" s="8" t="str">
        <f>IF(OR($A57="",$C57="",$D57="",$C57&gt;CH$6,$D57&lt;CH$9),"",IF($J57="里程碑","◆",""))</f>
        <v/>
      </c>
      <c r="CI57" s="8" t="str">
        <f>IF(OR($A57="",$C57="",$D57="",$C57&gt;CI$6,$D57&lt;CI$9),"",IF($J57="里程碑","◆",""))</f>
        <v/>
      </c>
      <c r="CJ57" s="8" t="str">
        <f>IF(OR($A57="",$C57="",$D57="",$C57&gt;CJ$6,$D57&lt;CJ$9),"",IF($J57="里程碑","◆",""))</f>
        <v/>
      </c>
      <c r="CK57" s="8" t="str">
        <f>IF(OR($A57="",$C57="",$D57="",$C57&gt;CK$6,$D57&lt;CK$9),"",IF($J57="里程碑","◆",""))</f>
        <v/>
      </c>
      <c r="CL57" s="8" t="str">
        <f>IF(OR($A57="",$C57="",$D57="",$C57&gt;CL$6,$D57&lt;CL$9),"",IF($J57="里程碑","◆",""))</f>
        <v/>
      </c>
      <c r="CM57" s="8" t="str">
        <f>IF(OR($A57="",$C57="",$D57="",$C57&gt;CM$6,$D57&lt;CM$9),"",IF($J57="里程碑","◆",""))</f>
        <v/>
      </c>
      <c r="CN57" s="8" t="str">
        <f>IF(OR($A57="",$C57="",$D57="",$C57&gt;CN$6,$D57&lt;CN$9),"",IF($J57="里程碑","◆",""))</f>
        <v/>
      </c>
      <c r="CO57" s="8" t="str">
        <f>IF(OR($A57="",$C57="",$D57="",$C57&gt;CO$6,$D57&lt;CO$9),"",IF($J57="里程碑","◆",""))</f>
        <v/>
      </c>
      <c r="CP57" s="8" t="str">
        <f>IF(OR($A57="",$C57="",$D57="",$C57&gt;CP$6,$D57&lt;CP$9),"",IF($J57="里程碑","◆",""))</f>
        <v/>
      </c>
      <c r="CQ57" s="8" t="str">
        <f>IF(OR($A57="",$C57="",$D57="",$C57&gt;CQ$6,$D57&lt;CQ$9),"",IF($J57="里程碑","◆",""))</f>
        <v/>
      </c>
      <c r="CR57" s="8" t="str">
        <f>IF(OR($A57="",$C57="",$D57="",$C57&gt;CR$6,$D57&lt;CR$9),"",IF($J57="里程碑","◆",""))</f>
        <v/>
      </c>
      <c r="CS57" s="8" t="str">
        <f>IF(OR($A57="",$C57="",$D57="",$C57&gt;CS$6,$D57&lt;CS$9),"",IF($J57="里程碑","◆",""))</f>
        <v/>
      </c>
      <c r="CT57" s="8" t="str">
        <f>IF(OR($A57="",$C57="",$D57="",$C57&gt;CT$6,$D57&lt;CT$9),"",IF($J57="里程碑","◆",""))</f>
        <v/>
      </c>
      <c r="CU57" s="8" t="str">
        <f>IF(OR($A57="",$C57="",$D57="",$C57&gt;CU$6,$D57&lt;CU$9),"",IF($J57="里程碑","◆",""))</f>
        <v/>
      </c>
      <c r="CV57" s="8" t="str">
        <f>IF(OR($A57="",$C57="",$D57="",$C57&gt;CV$6,$D57&lt;CV$9),"",IF($J57="里程碑","◆",""))</f>
        <v/>
      </c>
      <c r="CW57" s="8" t="str">
        <f>IF(OR($A57="",$C57="",$D57="",$C57&gt;CW$6,$D57&lt;CW$9),"",IF($J57="里程碑","◆",""))</f>
        <v/>
      </c>
      <c r="CX57" s="8" t="str">
        <f>IF(OR($A57="",$C57="",$D57="",$C57&gt;CX$6,$D57&lt;CX$9),"",IF($J57="里程碑","◆",""))</f>
        <v/>
      </c>
      <c r="CY57" s="8" t="str">
        <f>IF(OR($A57="",$C57="",$D57="",$C57&gt;CY$6,$D57&lt;CY$9),"",IF($J57="里程碑","◆",""))</f>
        <v/>
      </c>
      <c r="CZ57" s="8" t="str">
        <f>IF(OR($A57="",$C57="",$D57="",$C57&gt;CZ$6,$D57&lt;CZ$9),"",IF($J57="里程碑","◆",""))</f>
        <v/>
      </c>
      <c r="DA57" s="8" t="str">
        <f>IF(OR($A57="",$C57="",$D57="",$C57&gt;DA$6,$D57&lt;DA$9),"",IF($J57="里程碑","◆",""))</f>
        <v/>
      </c>
      <c r="DB57" s="8" t="str">
        <f>IF(OR($A57="",$C57="",$D57="",$C57&gt;DB$6,$D57&lt;DB$9),"",IF($J57="里程碑","◆",""))</f>
        <v/>
      </c>
      <c r="DC57" s="1" t="str">
        <f>IF(ROW()-9&gt;$DH$3,"",MATCH(ROW()-9,排期计算!$U$10:$U$109,0))</f>
        <v/>
      </c>
      <c r="DD57" s="1" t="str">
        <f>IF($DC57="","",INDEX(排期计算!$L$10:$L$109,$DC57))</f>
        <v/>
      </c>
      <c r="DE57" s="1"/>
      <c r="DF57" s="1"/>
      <c r="DG57" s="1"/>
      <c r="DH57" s="1"/>
      <c r="DI57" s="1"/>
      <c r="DJ57" s="1"/>
      <c r="DK57" s="1"/>
    </row>
    <row r="58" spans="1:115" ht="24.95" customHeight="1">
      <c r="A58" s="9" t="str">
        <f>IF($DC58="","",IF(AND(INDEX(排期计算!$A$10:$A$109,$DC58)="",NOT(ISNUMBER(INDEX(排期计算!$A$10:$A$109,$DC58)))),"",INDEX(排期计算!$A$10:$A$109,$DC58)))</f>
        <v/>
      </c>
      <c r="B58" s="1" t="str">
        <f>IF($DC58="","",REPT("　",$DD58-1)&amp;INDEX(排期计算!$B$10:$B$109,$DC58))</f>
        <v/>
      </c>
      <c r="C58" s="3" t="str">
        <f>IF($DC58="","",IF(AND(INDEX(排期计算!$M$10:$M$109,$DC58)="",NOT(ISNUMBER(INDEX(排期计算!$M$10:$M$109,$DC58)))),"",INDEX(排期计算!$M$10:$M$109,$DC58)))</f>
        <v/>
      </c>
      <c r="D58" s="3" t="str">
        <f>IF($DC58="","",IF(AND(INDEX(排期计算!$N$10:$N$109,$DC58)="",NOT(ISNUMBER(INDEX(排期计算!$N$10:$N$109,$DC58)))),"",INDEX(排期计算!$N$10:$N$109,$DC58)))</f>
        <v/>
      </c>
      <c r="E58" s="1" t="str">
        <f>IF(OR($C58="",$D58=""),"",IF($J58="里程碑",0,NETWORKDAYS($C58,$D58)))</f>
        <v/>
      </c>
      <c r="F58" s="7" t="str">
        <f>IF($DC58="","",IF(AND(INDEX(排期计算!$O$10:$O$109,$DC58)="",NOT(ISNUMBER(INDEX(排期计算!$O$10:$O$109,$DC58)))),"",INDEX(排期计算!$O$10:$O$109,$DC58)))</f>
        <v/>
      </c>
      <c r="G58" s="8" t="str">
        <f>IF($A58="","",IF(OR($C58="",$D58=""),"未排期",IF($F58&gt;=1,"已完成",IF($D58&lt;$B$4,"逾期",IF($C58&gt;$B$4,"未开始","进行中")))))</f>
        <v/>
      </c>
      <c r="H58" s="1" t="str">
        <f>IF($DC58="","",IF(AND(INDEX(排期计算!$C$10:$C$109,$DC58)="",NOT(ISNUMBER(INDEX(排期计算!$C$10:$C$109,$DC58)))),"",INDEX(排期计算!$C$10:$C$109,$DC58)))</f>
        <v/>
      </c>
      <c r="I58" s="1" t="str">
        <f>IF($DC58="","",IF(AND(INDEX(排期计算!$H$10:$H$109,$DC58)="",NOT(ISNUMBER(INDEX(排期计算!$H$10:$H$109,$DC58)))),"",INDEX(排期计算!$H$10:$H$109,$DC58)))</f>
        <v/>
      </c>
      <c r="J58" s="1" t="str">
        <f>IF($DC58="","",IF(AND(INDEX(排期计算!$K$10:$K$109,$DC58)="",NOT(ISNUMBER(INDEX(排期计算!$K$10:$K$109,$DC58)))),"",INDEX(排期计算!$K$10:$K$109,$DC58)))</f>
        <v/>
      </c>
      <c r="K58" s="8" t="str">
        <f>IF(OR($A58="",$C58="",$D58="",$C58&gt;K$6,$D58&lt;K$9),"",IF($J58="里程碑","◆",""))</f>
        <v/>
      </c>
      <c r="L58" s="8" t="str">
        <f>IF(OR($A58="",$C58="",$D58="",$C58&gt;L$6,$D58&lt;L$9),"",IF($J58="里程碑","◆",""))</f>
        <v/>
      </c>
      <c r="M58" s="8" t="str">
        <f>IF(OR($A58="",$C58="",$D58="",$C58&gt;M$6,$D58&lt;M$9),"",IF($J58="里程碑","◆",""))</f>
        <v/>
      </c>
      <c r="N58" s="8" t="str">
        <f>IF(OR($A58="",$C58="",$D58="",$C58&gt;N$6,$D58&lt;N$9),"",IF($J58="里程碑","◆",""))</f>
        <v/>
      </c>
      <c r="O58" s="8" t="str">
        <f>IF(OR($A58="",$C58="",$D58="",$C58&gt;O$6,$D58&lt;O$9),"",IF($J58="里程碑","◆",""))</f>
        <v/>
      </c>
      <c r="P58" s="8" t="str">
        <f>IF(OR($A58="",$C58="",$D58="",$C58&gt;P$6,$D58&lt;P$9),"",IF($J58="里程碑","◆",""))</f>
        <v/>
      </c>
      <c r="Q58" s="8" t="str">
        <f>IF(OR($A58="",$C58="",$D58="",$C58&gt;Q$6,$D58&lt;Q$9),"",IF($J58="里程碑","◆",""))</f>
        <v/>
      </c>
      <c r="R58" s="8" t="str">
        <f>IF(OR($A58="",$C58="",$D58="",$C58&gt;R$6,$D58&lt;R$9),"",IF($J58="里程碑","◆",""))</f>
        <v/>
      </c>
      <c r="S58" s="8" t="str">
        <f>IF(OR($A58="",$C58="",$D58="",$C58&gt;S$6,$D58&lt;S$9),"",IF($J58="里程碑","◆",""))</f>
        <v/>
      </c>
      <c r="T58" s="8" t="str">
        <f>IF(OR($A58="",$C58="",$D58="",$C58&gt;T$6,$D58&lt;T$9),"",IF($J58="里程碑","◆",""))</f>
        <v/>
      </c>
      <c r="U58" s="8" t="str">
        <f>IF(OR($A58="",$C58="",$D58="",$C58&gt;U$6,$D58&lt;U$9),"",IF($J58="里程碑","◆",""))</f>
        <v/>
      </c>
      <c r="V58" s="8" t="str">
        <f>IF(OR($A58="",$C58="",$D58="",$C58&gt;V$6,$D58&lt;V$9),"",IF($J58="里程碑","◆",""))</f>
        <v/>
      </c>
      <c r="W58" s="8" t="str">
        <f>IF(OR($A58="",$C58="",$D58="",$C58&gt;W$6,$D58&lt;W$9),"",IF($J58="里程碑","◆",""))</f>
        <v/>
      </c>
      <c r="X58" s="8" t="str">
        <f>IF(OR($A58="",$C58="",$D58="",$C58&gt;X$6,$D58&lt;X$9),"",IF($J58="里程碑","◆",""))</f>
        <v/>
      </c>
      <c r="Y58" s="8" t="str">
        <f>IF(OR($A58="",$C58="",$D58="",$C58&gt;Y$6,$D58&lt;Y$9),"",IF($J58="里程碑","◆",""))</f>
        <v/>
      </c>
      <c r="Z58" s="8" t="str">
        <f>IF(OR($A58="",$C58="",$D58="",$C58&gt;Z$6,$D58&lt;Z$9),"",IF($J58="里程碑","◆",""))</f>
        <v/>
      </c>
      <c r="AA58" s="8" t="str">
        <f>IF(OR($A58="",$C58="",$D58="",$C58&gt;AA$6,$D58&lt;AA$9),"",IF($J58="里程碑","◆",""))</f>
        <v/>
      </c>
      <c r="AB58" s="8" t="str">
        <f>IF(OR($A58="",$C58="",$D58="",$C58&gt;AB$6,$D58&lt;AB$9),"",IF($J58="里程碑","◆",""))</f>
        <v/>
      </c>
      <c r="AC58" s="8" t="str">
        <f>IF(OR($A58="",$C58="",$D58="",$C58&gt;AC$6,$D58&lt;AC$9),"",IF($J58="里程碑","◆",""))</f>
        <v/>
      </c>
      <c r="AD58" s="8" t="str">
        <f>IF(OR($A58="",$C58="",$D58="",$C58&gt;AD$6,$D58&lt;AD$9),"",IF($J58="里程碑","◆",""))</f>
        <v/>
      </c>
      <c r="AE58" s="8" t="str">
        <f>IF(OR($A58="",$C58="",$D58="",$C58&gt;AE$6,$D58&lt;AE$9),"",IF($J58="里程碑","◆",""))</f>
        <v/>
      </c>
      <c r="AF58" s="8" t="str">
        <f>IF(OR($A58="",$C58="",$D58="",$C58&gt;AF$6,$D58&lt;AF$9),"",IF($J58="里程碑","◆",""))</f>
        <v/>
      </c>
      <c r="AG58" s="8" t="str">
        <f>IF(OR($A58="",$C58="",$D58="",$C58&gt;AG$6,$D58&lt;AG$9),"",IF($J58="里程碑","◆",""))</f>
        <v/>
      </c>
      <c r="AH58" s="8" t="str">
        <f>IF(OR($A58="",$C58="",$D58="",$C58&gt;AH$6,$D58&lt;AH$9),"",IF($J58="里程碑","◆",""))</f>
        <v/>
      </c>
      <c r="AI58" s="8" t="str">
        <f>IF(OR($A58="",$C58="",$D58="",$C58&gt;AI$6,$D58&lt;AI$9),"",IF($J58="里程碑","◆",""))</f>
        <v/>
      </c>
      <c r="AJ58" s="8" t="str">
        <f>IF(OR($A58="",$C58="",$D58="",$C58&gt;AJ$6,$D58&lt;AJ$9),"",IF($J58="里程碑","◆",""))</f>
        <v/>
      </c>
      <c r="AK58" s="8" t="str">
        <f>IF(OR($A58="",$C58="",$D58="",$C58&gt;AK$6,$D58&lt;AK$9),"",IF($J58="里程碑","◆",""))</f>
        <v/>
      </c>
      <c r="AL58" s="8" t="str">
        <f>IF(OR($A58="",$C58="",$D58="",$C58&gt;AL$6,$D58&lt;AL$9),"",IF($J58="里程碑","◆",""))</f>
        <v/>
      </c>
      <c r="AM58" s="8" t="str">
        <f>IF(OR($A58="",$C58="",$D58="",$C58&gt;AM$6,$D58&lt;AM$9),"",IF($J58="里程碑","◆",""))</f>
        <v/>
      </c>
      <c r="AN58" s="8" t="str">
        <f>IF(OR($A58="",$C58="",$D58="",$C58&gt;AN$6,$D58&lt;AN$9),"",IF($J58="里程碑","◆",""))</f>
        <v/>
      </c>
      <c r="AO58" s="8" t="str">
        <f>IF(OR($A58="",$C58="",$D58="",$C58&gt;AO$6,$D58&lt;AO$9),"",IF($J58="里程碑","◆",""))</f>
        <v/>
      </c>
      <c r="AP58" s="8" t="str">
        <f>IF(OR($A58="",$C58="",$D58="",$C58&gt;AP$6,$D58&lt;AP$9),"",IF($J58="里程碑","◆",""))</f>
        <v/>
      </c>
      <c r="AQ58" s="8" t="str">
        <f>IF(OR($A58="",$C58="",$D58="",$C58&gt;AQ$6,$D58&lt;AQ$9),"",IF($J58="里程碑","◆",""))</f>
        <v/>
      </c>
      <c r="AR58" s="8" t="str">
        <f>IF(OR($A58="",$C58="",$D58="",$C58&gt;AR$6,$D58&lt;AR$9),"",IF($J58="里程碑","◆",""))</f>
        <v/>
      </c>
      <c r="AS58" s="8" t="str">
        <f>IF(OR($A58="",$C58="",$D58="",$C58&gt;AS$6,$D58&lt;AS$9),"",IF($J58="里程碑","◆",""))</f>
        <v/>
      </c>
      <c r="AT58" s="8" t="str">
        <f>IF(OR($A58="",$C58="",$D58="",$C58&gt;AT$6,$D58&lt;AT$9),"",IF($J58="里程碑","◆",""))</f>
        <v/>
      </c>
      <c r="AU58" s="8" t="str">
        <f>IF(OR($A58="",$C58="",$D58="",$C58&gt;AU$6,$D58&lt;AU$9),"",IF($J58="里程碑","◆",""))</f>
        <v/>
      </c>
      <c r="AV58" s="8" t="str">
        <f>IF(OR($A58="",$C58="",$D58="",$C58&gt;AV$6,$D58&lt;AV$9),"",IF($J58="里程碑","◆",""))</f>
        <v/>
      </c>
      <c r="AW58" s="8" t="str">
        <f>IF(OR($A58="",$C58="",$D58="",$C58&gt;AW$6,$D58&lt;AW$9),"",IF($J58="里程碑","◆",""))</f>
        <v/>
      </c>
      <c r="AX58" s="8" t="str">
        <f>IF(OR($A58="",$C58="",$D58="",$C58&gt;AX$6,$D58&lt;AX$9),"",IF($J58="里程碑","◆",""))</f>
        <v/>
      </c>
      <c r="AY58" s="8" t="str">
        <f>IF(OR($A58="",$C58="",$D58="",$C58&gt;AY$6,$D58&lt;AY$9),"",IF($J58="里程碑","◆",""))</f>
        <v/>
      </c>
      <c r="AZ58" s="8" t="str">
        <f>IF(OR($A58="",$C58="",$D58="",$C58&gt;AZ$6,$D58&lt;AZ$9),"",IF($J58="里程碑","◆",""))</f>
        <v/>
      </c>
      <c r="BA58" s="8" t="str">
        <f>IF(OR($A58="",$C58="",$D58="",$C58&gt;BA$6,$D58&lt;BA$9),"",IF($J58="里程碑","◆",""))</f>
        <v/>
      </c>
      <c r="BB58" s="8" t="str">
        <f>IF(OR($A58="",$C58="",$D58="",$C58&gt;BB$6,$D58&lt;BB$9),"",IF($J58="里程碑","◆",""))</f>
        <v/>
      </c>
      <c r="BC58" s="8" t="str">
        <f>IF(OR($A58="",$C58="",$D58="",$C58&gt;BC$6,$D58&lt;BC$9),"",IF($J58="里程碑","◆",""))</f>
        <v/>
      </c>
      <c r="BD58" s="8" t="str">
        <f>IF(OR($A58="",$C58="",$D58="",$C58&gt;BD$6,$D58&lt;BD$9),"",IF($J58="里程碑","◆",""))</f>
        <v/>
      </c>
      <c r="BE58" s="8" t="str">
        <f>IF(OR($A58="",$C58="",$D58="",$C58&gt;BE$6,$D58&lt;BE$9),"",IF($J58="里程碑","◆",""))</f>
        <v/>
      </c>
      <c r="BF58" s="8" t="str">
        <f>IF(OR($A58="",$C58="",$D58="",$C58&gt;BF$6,$D58&lt;BF$9),"",IF($J58="里程碑","◆",""))</f>
        <v/>
      </c>
      <c r="BG58" s="8" t="str">
        <f>IF(OR($A58="",$C58="",$D58="",$C58&gt;BG$6,$D58&lt;BG$9),"",IF($J58="里程碑","◆",""))</f>
        <v/>
      </c>
      <c r="BH58" s="8" t="str">
        <f>IF(OR($A58="",$C58="",$D58="",$C58&gt;BH$6,$D58&lt;BH$9),"",IF($J58="里程碑","◆",""))</f>
        <v/>
      </c>
      <c r="BI58" s="8" t="str">
        <f>IF(OR($A58="",$C58="",$D58="",$C58&gt;BI$6,$D58&lt;BI$9),"",IF($J58="里程碑","◆",""))</f>
        <v/>
      </c>
      <c r="BJ58" s="8" t="str">
        <f>IF(OR($A58="",$C58="",$D58="",$C58&gt;BJ$6,$D58&lt;BJ$9),"",IF($J58="里程碑","◆",""))</f>
        <v/>
      </c>
      <c r="BK58" s="8" t="str">
        <f>IF(OR($A58="",$C58="",$D58="",$C58&gt;BK$6,$D58&lt;BK$9),"",IF($J58="里程碑","◆",""))</f>
        <v/>
      </c>
      <c r="BL58" s="8" t="str">
        <f>IF(OR($A58="",$C58="",$D58="",$C58&gt;BL$6,$D58&lt;BL$9),"",IF($J58="里程碑","◆",""))</f>
        <v/>
      </c>
      <c r="BM58" s="8" t="str">
        <f>IF(OR($A58="",$C58="",$D58="",$C58&gt;BM$6,$D58&lt;BM$9),"",IF($J58="里程碑","◆",""))</f>
        <v/>
      </c>
      <c r="BN58" s="8" t="str">
        <f>IF(OR($A58="",$C58="",$D58="",$C58&gt;BN$6,$D58&lt;BN$9),"",IF($J58="里程碑","◆",""))</f>
        <v/>
      </c>
      <c r="BO58" s="8" t="str">
        <f>IF(OR($A58="",$C58="",$D58="",$C58&gt;BO$6,$D58&lt;BO$9),"",IF($J58="里程碑","◆",""))</f>
        <v/>
      </c>
      <c r="BP58" s="8" t="str">
        <f>IF(OR($A58="",$C58="",$D58="",$C58&gt;BP$6,$D58&lt;BP$9),"",IF($J58="里程碑","◆",""))</f>
        <v/>
      </c>
      <c r="BQ58" s="8" t="str">
        <f>IF(OR($A58="",$C58="",$D58="",$C58&gt;BQ$6,$D58&lt;BQ$9),"",IF($J58="里程碑","◆",""))</f>
        <v/>
      </c>
      <c r="BR58" s="8" t="str">
        <f>IF(OR($A58="",$C58="",$D58="",$C58&gt;BR$6,$D58&lt;BR$9),"",IF($J58="里程碑","◆",""))</f>
        <v/>
      </c>
      <c r="BS58" s="8" t="str">
        <f>IF(OR($A58="",$C58="",$D58="",$C58&gt;BS$6,$D58&lt;BS$9),"",IF($J58="里程碑","◆",""))</f>
        <v/>
      </c>
      <c r="BT58" s="8" t="str">
        <f>IF(OR($A58="",$C58="",$D58="",$C58&gt;BT$6,$D58&lt;BT$9),"",IF($J58="里程碑","◆",""))</f>
        <v/>
      </c>
      <c r="BU58" s="8" t="str">
        <f>IF(OR($A58="",$C58="",$D58="",$C58&gt;BU$6,$D58&lt;BU$9),"",IF($J58="里程碑","◆",""))</f>
        <v/>
      </c>
      <c r="BV58" s="8" t="str">
        <f>IF(OR($A58="",$C58="",$D58="",$C58&gt;BV$6,$D58&lt;BV$9),"",IF($J58="里程碑","◆",""))</f>
        <v/>
      </c>
      <c r="BW58" s="8" t="str">
        <f>IF(OR($A58="",$C58="",$D58="",$C58&gt;BW$6,$D58&lt;BW$9),"",IF($J58="里程碑","◆",""))</f>
        <v/>
      </c>
      <c r="BX58" s="8" t="str">
        <f>IF(OR($A58="",$C58="",$D58="",$C58&gt;BX$6,$D58&lt;BX$9),"",IF($J58="里程碑","◆",""))</f>
        <v/>
      </c>
      <c r="BY58" s="8" t="str">
        <f>IF(OR($A58="",$C58="",$D58="",$C58&gt;BY$6,$D58&lt;BY$9),"",IF($J58="里程碑","◆",""))</f>
        <v/>
      </c>
      <c r="BZ58" s="8" t="str">
        <f>IF(OR($A58="",$C58="",$D58="",$C58&gt;BZ$6,$D58&lt;BZ$9),"",IF($J58="里程碑","◆",""))</f>
        <v/>
      </c>
      <c r="CA58" s="8" t="str">
        <f>IF(OR($A58="",$C58="",$D58="",$C58&gt;CA$6,$D58&lt;CA$9),"",IF($J58="里程碑","◆",""))</f>
        <v/>
      </c>
      <c r="CB58" s="8" t="str">
        <f>IF(OR($A58="",$C58="",$D58="",$C58&gt;CB$6,$D58&lt;CB$9),"",IF($J58="里程碑","◆",""))</f>
        <v/>
      </c>
      <c r="CC58" s="8" t="str">
        <f>IF(OR($A58="",$C58="",$D58="",$C58&gt;CC$6,$D58&lt;CC$9),"",IF($J58="里程碑","◆",""))</f>
        <v/>
      </c>
      <c r="CD58" s="8" t="str">
        <f>IF(OR($A58="",$C58="",$D58="",$C58&gt;CD$6,$D58&lt;CD$9),"",IF($J58="里程碑","◆",""))</f>
        <v/>
      </c>
      <c r="CE58" s="8" t="str">
        <f>IF(OR($A58="",$C58="",$D58="",$C58&gt;CE$6,$D58&lt;CE$9),"",IF($J58="里程碑","◆",""))</f>
        <v/>
      </c>
      <c r="CF58" s="8" t="str">
        <f>IF(OR($A58="",$C58="",$D58="",$C58&gt;CF$6,$D58&lt;CF$9),"",IF($J58="里程碑","◆",""))</f>
        <v/>
      </c>
      <c r="CG58" s="8" t="str">
        <f>IF(OR($A58="",$C58="",$D58="",$C58&gt;CG$6,$D58&lt;CG$9),"",IF($J58="里程碑","◆",""))</f>
        <v/>
      </c>
      <c r="CH58" s="8" t="str">
        <f>IF(OR($A58="",$C58="",$D58="",$C58&gt;CH$6,$D58&lt;CH$9),"",IF($J58="里程碑","◆",""))</f>
        <v/>
      </c>
      <c r="CI58" s="8" t="str">
        <f>IF(OR($A58="",$C58="",$D58="",$C58&gt;CI$6,$D58&lt;CI$9),"",IF($J58="里程碑","◆",""))</f>
        <v/>
      </c>
      <c r="CJ58" s="8" t="str">
        <f>IF(OR($A58="",$C58="",$D58="",$C58&gt;CJ$6,$D58&lt;CJ$9),"",IF($J58="里程碑","◆",""))</f>
        <v/>
      </c>
      <c r="CK58" s="8" t="str">
        <f>IF(OR($A58="",$C58="",$D58="",$C58&gt;CK$6,$D58&lt;CK$9),"",IF($J58="里程碑","◆",""))</f>
        <v/>
      </c>
      <c r="CL58" s="8" t="str">
        <f>IF(OR($A58="",$C58="",$D58="",$C58&gt;CL$6,$D58&lt;CL$9),"",IF($J58="里程碑","◆",""))</f>
        <v/>
      </c>
      <c r="CM58" s="8" t="str">
        <f>IF(OR($A58="",$C58="",$D58="",$C58&gt;CM$6,$D58&lt;CM$9),"",IF($J58="里程碑","◆",""))</f>
        <v/>
      </c>
      <c r="CN58" s="8" t="str">
        <f>IF(OR($A58="",$C58="",$D58="",$C58&gt;CN$6,$D58&lt;CN$9),"",IF($J58="里程碑","◆",""))</f>
        <v/>
      </c>
      <c r="CO58" s="8" t="str">
        <f>IF(OR($A58="",$C58="",$D58="",$C58&gt;CO$6,$D58&lt;CO$9),"",IF($J58="里程碑","◆",""))</f>
        <v/>
      </c>
      <c r="CP58" s="8" t="str">
        <f>IF(OR($A58="",$C58="",$D58="",$C58&gt;CP$6,$D58&lt;CP$9),"",IF($J58="里程碑","◆",""))</f>
        <v/>
      </c>
      <c r="CQ58" s="8" t="str">
        <f>IF(OR($A58="",$C58="",$D58="",$C58&gt;CQ$6,$D58&lt;CQ$9),"",IF($J58="里程碑","◆",""))</f>
        <v/>
      </c>
      <c r="CR58" s="8" t="str">
        <f>IF(OR($A58="",$C58="",$D58="",$C58&gt;CR$6,$D58&lt;CR$9),"",IF($J58="里程碑","◆",""))</f>
        <v/>
      </c>
      <c r="CS58" s="8" t="str">
        <f>IF(OR($A58="",$C58="",$D58="",$C58&gt;CS$6,$D58&lt;CS$9),"",IF($J58="里程碑","◆",""))</f>
        <v/>
      </c>
      <c r="CT58" s="8" t="str">
        <f>IF(OR($A58="",$C58="",$D58="",$C58&gt;CT$6,$D58&lt;CT$9),"",IF($J58="里程碑","◆",""))</f>
        <v/>
      </c>
      <c r="CU58" s="8" t="str">
        <f>IF(OR($A58="",$C58="",$D58="",$C58&gt;CU$6,$D58&lt;CU$9),"",IF($J58="里程碑","◆",""))</f>
        <v/>
      </c>
      <c r="CV58" s="8" t="str">
        <f>IF(OR($A58="",$C58="",$D58="",$C58&gt;CV$6,$D58&lt;CV$9),"",IF($J58="里程碑","◆",""))</f>
        <v/>
      </c>
      <c r="CW58" s="8" t="str">
        <f>IF(OR($A58="",$C58="",$D58="",$C58&gt;CW$6,$D58&lt;CW$9),"",IF($J58="里程碑","◆",""))</f>
        <v/>
      </c>
      <c r="CX58" s="8" t="str">
        <f>IF(OR($A58="",$C58="",$D58="",$C58&gt;CX$6,$D58&lt;CX$9),"",IF($J58="里程碑","◆",""))</f>
        <v/>
      </c>
      <c r="CY58" s="8" t="str">
        <f>IF(OR($A58="",$C58="",$D58="",$C58&gt;CY$6,$D58&lt;CY$9),"",IF($J58="里程碑","◆",""))</f>
        <v/>
      </c>
      <c r="CZ58" s="8" t="str">
        <f>IF(OR($A58="",$C58="",$D58="",$C58&gt;CZ$6,$D58&lt;CZ$9),"",IF($J58="里程碑","◆",""))</f>
        <v/>
      </c>
      <c r="DA58" s="8" t="str">
        <f>IF(OR($A58="",$C58="",$D58="",$C58&gt;DA$6,$D58&lt;DA$9),"",IF($J58="里程碑","◆",""))</f>
        <v/>
      </c>
      <c r="DB58" s="8" t="str">
        <f>IF(OR($A58="",$C58="",$D58="",$C58&gt;DB$6,$D58&lt;DB$9),"",IF($J58="里程碑","◆",""))</f>
        <v/>
      </c>
      <c r="DC58" s="1" t="str">
        <f>IF(ROW()-9&gt;$DH$3,"",MATCH(ROW()-9,排期计算!$U$10:$U$109,0))</f>
        <v/>
      </c>
      <c r="DD58" s="1" t="str">
        <f>IF($DC58="","",INDEX(排期计算!$L$10:$L$109,$DC58))</f>
        <v/>
      </c>
      <c r="DE58" s="1"/>
      <c r="DF58" s="1"/>
      <c r="DG58" s="1"/>
      <c r="DH58" s="1"/>
      <c r="DI58" s="1"/>
      <c r="DJ58" s="1"/>
      <c r="DK58" s="1"/>
    </row>
    <row r="59" spans="1:115" ht="24.95" customHeight="1">
      <c r="A59" s="9" t="str">
        <f>IF($DC59="","",IF(AND(INDEX(排期计算!$A$10:$A$109,$DC59)="",NOT(ISNUMBER(INDEX(排期计算!$A$10:$A$109,$DC59)))),"",INDEX(排期计算!$A$10:$A$109,$DC59)))</f>
        <v/>
      </c>
      <c r="B59" s="1" t="str">
        <f>IF($DC59="","",REPT("　",$DD59-1)&amp;INDEX(排期计算!$B$10:$B$109,$DC59))</f>
        <v/>
      </c>
      <c r="C59" s="3" t="str">
        <f>IF($DC59="","",IF(AND(INDEX(排期计算!$M$10:$M$109,$DC59)="",NOT(ISNUMBER(INDEX(排期计算!$M$10:$M$109,$DC59)))),"",INDEX(排期计算!$M$10:$M$109,$DC59)))</f>
        <v/>
      </c>
      <c r="D59" s="3" t="str">
        <f>IF($DC59="","",IF(AND(INDEX(排期计算!$N$10:$N$109,$DC59)="",NOT(ISNUMBER(INDEX(排期计算!$N$10:$N$109,$DC59)))),"",INDEX(排期计算!$N$10:$N$109,$DC59)))</f>
        <v/>
      </c>
      <c r="E59" s="1" t="str">
        <f>IF(OR($C59="",$D59=""),"",IF($J59="里程碑",0,NETWORKDAYS($C59,$D59)))</f>
        <v/>
      </c>
      <c r="F59" s="7" t="str">
        <f>IF($DC59="","",IF(AND(INDEX(排期计算!$O$10:$O$109,$DC59)="",NOT(ISNUMBER(INDEX(排期计算!$O$10:$O$109,$DC59)))),"",INDEX(排期计算!$O$10:$O$109,$DC59)))</f>
        <v/>
      </c>
      <c r="G59" s="8" t="str">
        <f>IF($A59="","",IF(OR($C59="",$D59=""),"未排期",IF($F59&gt;=1,"已完成",IF($D59&lt;$B$4,"逾期",IF($C59&gt;$B$4,"未开始","进行中")))))</f>
        <v/>
      </c>
      <c r="H59" s="1" t="str">
        <f>IF($DC59="","",IF(AND(INDEX(排期计算!$C$10:$C$109,$DC59)="",NOT(ISNUMBER(INDEX(排期计算!$C$10:$C$109,$DC59)))),"",INDEX(排期计算!$C$10:$C$109,$DC59)))</f>
        <v/>
      </c>
      <c r="I59" s="1" t="str">
        <f>IF($DC59="","",IF(AND(INDEX(排期计算!$H$10:$H$109,$DC59)="",NOT(ISNUMBER(INDEX(排期计算!$H$10:$H$109,$DC59)))),"",INDEX(排期计算!$H$10:$H$109,$DC59)))</f>
        <v/>
      </c>
      <c r="J59" s="1" t="str">
        <f>IF($DC59="","",IF(AND(INDEX(排期计算!$K$10:$K$109,$DC59)="",NOT(ISNUMBER(INDEX(排期计算!$K$10:$K$109,$DC59)))),"",INDEX(排期计算!$K$10:$K$109,$DC59)))</f>
        <v/>
      </c>
      <c r="K59" s="8" t="str">
        <f>IF(OR($A59="",$C59="",$D59="",$C59&gt;K$6,$D59&lt;K$9),"",IF($J59="里程碑","◆",""))</f>
        <v/>
      </c>
      <c r="L59" s="8" t="str">
        <f>IF(OR($A59="",$C59="",$D59="",$C59&gt;L$6,$D59&lt;L$9),"",IF($J59="里程碑","◆",""))</f>
        <v/>
      </c>
      <c r="M59" s="8" t="str">
        <f>IF(OR($A59="",$C59="",$D59="",$C59&gt;M$6,$D59&lt;M$9),"",IF($J59="里程碑","◆",""))</f>
        <v/>
      </c>
      <c r="N59" s="8" t="str">
        <f>IF(OR($A59="",$C59="",$D59="",$C59&gt;N$6,$D59&lt;N$9),"",IF($J59="里程碑","◆",""))</f>
        <v/>
      </c>
      <c r="O59" s="8" t="str">
        <f>IF(OR($A59="",$C59="",$D59="",$C59&gt;O$6,$D59&lt;O$9),"",IF($J59="里程碑","◆",""))</f>
        <v/>
      </c>
      <c r="P59" s="8" t="str">
        <f>IF(OR($A59="",$C59="",$D59="",$C59&gt;P$6,$D59&lt;P$9),"",IF($J59="里程碑","◆",""))</f>
        <v/>
      </c>
      <c r="Q59" s="8" t="str">
        <f>IF(OR($A59="",$C59="",$D59="",$C59&gt;Q$6,$D59&lt;Q$9),"",IF($J59="里程碑","◆",""))</f>
        <v/>
      </c>
      <c r="R59" s="8" t="str">
        <f>IF(OR($A59="",$C59="",$D59="",$C59&gt;R$6,$D59&lt;R$9),"",IF($J59="里程碑","◆",""))</f>
        <v/>
      </c>
      <c r="S59" s="8" t="str">
        <f>IF(OR($A59="",$C59="",$D59="",$C59&gt;S$6,$D59&lt;S$9),"",IF($J59="里程碑","◆",""))</f>
        <v/>
      </c>
      <c r="T59" s="8" t="str">
        <f>IF(OR($A59="",$C59="",$D59="",$C59&gt;T$6,$D59&lt;T$9),"",IF($J59="里程碑","◆",""))</f>
        <v/>
      </c>
      <c r="U59" s="8" t="str">
        <f>IF(OR($A59="",$C59="",$D59="",$C59&gt;U$6,$D59&lt;U$9),"",IF($J59="里程碑","◆",""))</f>
        <v/>
      </c>
      <c r="V59" s="8" t="str">
        <f>IF(OR($A59="",$C59="",$D59="",$C59&gt;V$6,$D59&lt;V$9),"",IF($J59="里程碑","◆",""))</f>
        <v/>
      </c>
      <c r="W59" s="8" t="str">
        <f>IF(OR($A59="",$C59="",$D59="",$C59&gt;W$6,$D59&lt;W$9),"",IF($J59="里程碑","◆",""))</f>
        <v/>
      </c>
      <c r="X59" s="8" t="str">
        <f>IF(OR($A59="",$C59="",$D59="",$C59&gt;X$6,$D59&lt;X$9),"",IF($J59="里程碑","◆",""))</f>
        <v/>
      </c>
      <c r="Y59" s="8" t="str">
        <f>IF(OR($A59="",$C59="",$D59="",$C59&gt;Y$6,$D59&lt;Y$9),"",IF($J59="里程碑","◆",""))</f>
        <v/>
      </c>
      <c r="Z59" s="8" t="str">
        <f>IF(OR($A59="",$C59="",$D59="",$C59&gt;Z$6,$D59&lt;Z$9),"",IF($J59="里程碑","◆",""))</f>
        <v/>
      </c>
      <c r="AA59" s="8" t="str">
        <f>IF(OR($A59="",$C59="",$D59="",$C59&gt;AA$6,$D59&lt;AA$9),"",IF($J59="里程碑","◆",""))</f>
        <v/>
      </c>
      <c r="AB59" s="8" t="str">
        <f>IF(OR($A59="",$C59="",$D59="",$C59&gt;AB$6,$D59&lt;AB$9),"",IF($J59="里程碑","◆",""))</f>
        <v/>
      </c>
      <c r="AC59" s="8" t="str">
        <f>IF(OR($A59="",$C59="",$D59="",$C59&gt;AC$6,$D59&lt;AC$9),"",IF($J59="里程碑","◆",""))</f>
        <v/>
      </c>
      <c r="AD59" s="8" t="str">
        <f>IF(OR($A59="",$C59="",$D59="",$C59&gt;AD$6,$D59&lt;AD$9),"",IF($J59="里程碑","◆",""))</f>
        <v/>
      </c>
      <c r="AE59" s="8" t="str">
        <f>IF(OR($A59="",$C59="",$D59="",$C59&gt;AE$6,$D59&lt;AE$9),"",IF($J59="里程碑","◆",""))</f>
        <v/>
      </c>
      <c r="AF59" s="8" t="str">
        <f>IF(OR($A59="",$C59="",$D59="",$C59&gt;AF$6,$D59&lt;AF$9),"",IF($J59="里程碑","◆",""))</f>
        <v/>
      </c>
      <c r="AG59" s="8" t="str">
        <f>IF(OR($A59="",$C59="",$D59="",$C59&gt;AG$6,$D59&lt;AG$9),"",IF($J59="里程碑","◆",""))</f>
        <v/>
      </c>
      <c r="AH59" s="8" t="str">
        <f>IF(OR($A59="",$C59="",$D59="",$C59&gt;AH$6,$D59&lt;AH$9),"",IF($J59="里程碑","◆",""))</f>
        <v/>
      </c>
      <c r="AI59" s="8" t="str">
        <f>IF(OR($A59="",$C59="",$D59="",$C59&gt;AI$6,$D59&lt;AI$9),"",IF($J59="里程碑","◆",""))</f>
        <v/>
      </c>
      <c r="AJ59" s="8" t="str">
        <f>IF(OR($A59="",$C59="",$D59="",$C59&gt;AJ$6,$D59&lt;AJ$9),"",IF($J59="里程碑","◆",""))</f>
        <v/>
      </c>
      <c r="AK59" s="8" t="str">
        <f>IF(OR($A59="",$C59="",$D59="",$C59&gt;AK$6,$D59&lt;AK$9),"",IF($J59="里程碑","◆",""))</f>
        <v/>
      </c>
      <c r="AL59" s="8" t="str">
        <f>IF(OR($A59="",$C59="",$D59="",$C59&gt;AL$6,$D59&lt;AL$9),"",IF($J59="里程碑","◆",""))</f>
        <v/>
      </c>
      <c r="AM59" s="8" t="str">
        <f>IF(OR($A59="",$C59="",$D59="",$C59&gt;AM$6,$D59&lt;AM$9),"",IF($J59="里程碑","◆",""))</f>
        <v/>
      </c>
      <c r="AN59" s="8" t="str">
        <f>IF(OR($A59="",$C59="",$D59="",$C59&gt;AN$6,$D59&lt;AN$9),"",IF($J59="里程碑","◆",""))</f>
        <v/>
      </c>
      <c r="AO59" s="8" t="str">
        <f>IF(OR($A59="",$C59="",$D59="",$C59&gt;AO$6,$D59&lt;AO$9),"",IF($J59="里程碑","◆",""))</f>
        <v/>
      </c>
      <c r="AP59" s="8" t="str">
        <f>IF(OR($A59="",$C59="",$D59="",$C59&gt;AP$6,$D59&lt;AP$9),"",IF($J59="里程碑","◆",""))</f>
        <v/>
      </c>
      <c r="AQ59" s="8" t="str">
        <f>IF(OR($A59="",$C59="",$D59="",$C59&gt;AQ$6,$D59&lt;AQ$9),"",IF($J59="里程碑","◆",""))</f>
        <v/>
      </c>
      <c r="AR59" s="8" t="str">
        <f>IF(OR($A59="",$C59="",$D59="",$C59&gt;AR$6,$D59&lt;AR$9),"",IF($J59="里程碑","◆",""))</f>
        <v/>
      </c>
      <c r="AS59" s="8" t="str">
        <f>IF(OR($A59="",$C59="",$D59="",$C59&gt;AS$6,$D59&lt;AS$9),"",IF($J59="里程碑","◆",""))</f>
        <v/>
      </c>
      <c r="AT59" s="8" t="str">
        <f>IF(OR($A59="",$C59="",$D59="",$C59&gt;AT$6,$D59&lt;AT$9),"",IF($J59="里程碑","◆",""))</f>
        <v/>
      </c>
      <c r="AU59" s="8" t="str">
        <f>IF(OR($A59="",$C59="",$D59="",$C59&gt;AU$6,$D59&lt;AU$9),"",IF($J59="里程碑","◆",""))</f>
        <v/>
      </c>
      <c r="AV59" s="8" t="str">
        <f>IF(OR($A59="",$C59="",$D59="",$C59&gt;AV$6,$D59&lt;AV$9),"",IF($J59="里程碑","◆",""))</f>
        <v/>
      </c>
      <c r="AW59" s="8" t="str">
        <f>IF(OR($A59="",$C59="",$D59="",$C59&gt;AW$6,$D59&lt;AW$9),"",IF($J59="里程碑","◆",""))</f>
        <v/>
      </c>
      <c r="AX59" s="8" t="str">
        <f>IF(OR($A59="",$C59="",$D59="",$C59&gt;AX$6,$D59&lt;AX$9),"",IF($J59="里程碑","◆",""))</f>
        <v/>
      </c>
      <c r="AY59" s="8" t="str">
        <f>IF(OR($A59="",$C59="",$D59="",$C59&gt;AY$6,$D59&lt;AY$9),"",IF($J59="里程碑","◆",""))</f>
        <v/>
      </c>
      <c r="AZ59" s="8" t="str">
        <f>IF(OR($A59="",$C59="",$D59="",$C59&gt;AZ$6,$D59&lt;AZ$9),"",IF($J59="里程碑","◆",""))</f>
        <v/>
      </c>
      <c r="BA59" s="8" t="str">
        <f>IF(OR($A59="",$C59="",$D59="",$C59&gt;BA$6,$D59&lt;BA$9),"",IF($J59="里程碑","◆",""))</f>
        <v/>
      </c>
      <c r="BB59" s="8" t="str">
        <f>IF(OR($A59="",$C59="",$D59="",$C59&gt;BB$6,$D59&lt;BB$9),"",IF($J59="里程碑","◆",""))</f>
        <v/>
      </c>
      <c r="BC59" s="8" t="str">
        <f>IF(OR($A59="",$C59="",$D59="",$C59&gt;BC$6,$D59&lt;BC$9),"",IF($J59="里程碑","◆",""))</f>
        <v/>
      </c>
      <c r="BD59" s="8" t="str">
        <f>IF(OR($A59="",$C59="",$D59="",$C59&gt;BD$6,$D59&lt;BD$9),"",IF($J59="里程碑","◆",""))</f>
        <v/>
      </c>
      <c r="BE59" s="8" t="str">
        <f>IF(OR($A59="",$C59="",$D59="",$C59&gt;BE$6,$D59&lt;BE$9),"",IF($J59="里程碑","◆",""))</f>
        <v/>
      </c>
      <c r="BF59" s="8" t="str">
        <f>IF(OR($A59="",$C59="",$D59="",$C59&gt;BF$6,$D59&lt;BF$9),"",IF($J59="里程碑","◆",""))</f>
        <v/>
      </c>
      <c r="BG59" s="8" t="str">
        <f>IF(OR($A59="",$C59="",$D59="",$C59&gt;BG$6,$D59&lt;BG$9),"",IF($J59="里程碑","◆",""))</f>
        <v/>
      </c>
      <c r="BH59" s="8" t="str">
        <f>IF(OR($A59="",$C59="",$D59="",$C59&gt;BH$6,$D59&lt;BH$9),"",IF($J59="里程碑","◆",""))</f>
        <v/>
      </c>
      <c r="BI59" s="8" t="str">
        <f>IF(OR($A59="",$C59="",$D59="",$C59&gt;BI$6,$D59&lt;BI$9),"",IF($J59="里程碑","◆",""))</f>
        <v/>
      </c>
      <c r="BJ59" s="8" t="str">
        <f>IF(OR($A59="",$C59="",$D59="",$C59&gt;BJ$6,$D59&lt;BJ$9),"",IF($J59="里程碑","◆",""))</f>
        <v/>
      </c>
      <c r="BK59" s="8" t="str">
        <f>IF(OR($A59="",$C59="",$D59="",$C59&gt;BK$6,$D59&lt;BK$9),"",IF($J59="里程碑","◆",""))</f>
        <v/>
      </c>
      <c r="BL59" s="8" t="str">
        <f>IF(OR($A59="",$C59="",$D59="",$C59&gt;BL$6,$D59&lt;BL$9),"",IF($J59="里程碑","◆",""))</f>
        <v/>
      </c>
      <c r="BM59" s="8" t="str">
        <f>IF(OR($A59="",$C59="",$D59="",$C59&gt;BM$6,$D59&lt;BM$9),"",IF($J59="里程碑","◆",""))</f>
        <v/>
      </c>
      <c r="BN59" s="8" t="str">
        <f>IF(OR($A59="",$C59="",$D59="",$C59&gt;BN$6,$D59&lt;BN$9),"",IF($J59="里程碑","◆",""))</f>
        <v/>
      </c>
      <c r="BO59" s="8" t="str">
        <f>IF(OR($A59="",$C59="",$D59="",$C59&gt;BO$6,$D59&lt;BO$9),"",IF($J59="里程碑","◆",""))</f>
        <v/>
      </c>
      <c r="BP59" s="8" t="str">
        <f>IF(OR($A59="",$C59="",$D59="",$C59&gt;BP$6,$D59&lt;BP$9),"",IF($J59="里程碑","◆",""))</f>
        <v/>
      </c>
      <c r="BQ59" s="8" t="str">
        <f>IF(OR($A59="",$C59="",$D59="",$C59&gt;BQ$6,$D59&lt;BQ$9),"",IF($J59="里程碑","◆",""))</f>
        <v/>
      </c>
      <c r="BR59" s="8" t="str">
        <f>IF(OR($A59="",$C59="",$D59="",$C59&gt;BR$6,$D59&lt;BR$9),"",IF($J59="里程碑","◆",""))</f>
        <v/>
      </c>
      <c r="BS59" s="8" t="str">
        <f>IF(OR($A59="",$C59="",$D59="",$C59&gt;BS$6,$D59&lt;BS$9),"",IF($J59="里程碑","◆",""))</f>
        <v/>
      </c>
      <c r="BT59" s="8" t="str">
        <f>IF(OR($A59="",$C59="",$D59="",$C59&gt;BT$6,$D59&lt;BT$9),"",IF($J59="里程碑","◆",""))</f>
        <v/>
      </c>
      <c r="BU59" s="8" t="str">
        <f>IF(OR($A59="",$C59="",$D59="",$C59&gt;BU$6,$D59&lt;BU$9),"",IF($J59="里程碑","◆",""))</f>
        <v/>
      </c>
      <c r="BV59" s="8" t="str">
        <f>IF(OR($A59="",$C59="",$D59="",$C59&gt;BV$6,$D59&lt;BV$9),"",IF($J59="里程碑","◆",""))</f>
        <v/>
      </c>
      <c r="BW59" s="8" t="str">
        <f>IF(OR($A59="",$C59="",$D59="",$C59&gt;BW$6,$D59&lt;BW$9),"",IF($J59="里程碑","◆",""))</f>
        <v/>
      </c>
      <c r="BX59" s="8" t="str">
        <f>IF(OR($A59="",$C59="",$D59="",$C59&gt;BX$6,$D59&lt;BX$9),"",IF($J59="里程碑","◆",""))</f>
        <v/>
      </c>
      <c r="BY59" s="8" t="str">
        <f>IF(OR($A59="",$C59="",$D59="",$C59&gt;BY$6,$D59&lt;BY$9),"",IF($J59="里程碑","◆",""))</f>
        <v/>
      </c>
      <c r="BZ59" s="8" t="str">
        <f>IF(OR($A59="",$C59="",$D59="",$C59&gt;BZ$6,$D59&lt;BZ$9),"",IF($J59="里程碑","◆",""))</f>
        <v/>
      </c>
      <c r="CA59" s="8" t="str">
        <f>IF(OR($A59="",$C59="",$D59="",$C59&gt;CA$6,$D59&lt;CA$9),"",IF($J59="里程碑","◆",""))</f>
        <v/>
      </c>
      <c r="CB59" s="8" t="str">
        <f>IF(OR($A59="",$C59="",$D59="",$C59&gt;CB$6,$D59&lt;CB$9),"",IF($J59="里程碑","◆",""))</f>
        <v/>
      </c>
      <c r="CC59" s="8" t="str">
        <f>IF(OR($A59="",$C59="",$D59="",$C59&gt;CC$6,$D59&lt;CC$9),"",IF($J59="里程碑","◆",""))</f>
        <v/>
      </c>
      <c r="CD59" s="8" t="str">
        <f>IF(OR($A59="",$C59="",$D59="",$C59&gt;CD$6,$D59&lt;CD$9),"",IF($J59="里程碑","◆",""))</f>
        <v/>
      </c>
      <c r="CE59" s="8" t="str">
        <f>IF(OR($A59="",$C59="",$D59="",$C59&gt;CE$6,$D59&lt;CE$9),"",IF($J59="里程碑","◆",""))</f>
        <v/>
      </c>
      <c r="CF59" s="8" t="str">
        <f>IF(OR($A59="",$C59="",$D59="",$C59&gt;CF$6,$D59&lt;CF$9),"",IF($J59="里程碑","◆",""))</f>
        <v/>
      </c>
      <c r="CG59" s="8" t="str">
        <f>IF(OR($A59="",$C59="",$D59="",$C59&gt;CG$6,$D59&lt;CG$9),"",IF($J59="里程碑","◆",""))</f>
        <v/>
      </c>
      <c r="CH59" s="8" t="str">
        <f>IF(OR($A59="",$C59="",$D59="",$C59&gt;CH$6,$D59&lt;CH$9),"",IF($J59="里程碑","◆",""))</f>
        <v/>
      </c>
      <c r="CI59" s="8" t="str">
        <f>IF(OR($A59="",$C59="",$D59="",$C59&gt;CI$6,$D59&lt;CI$9),"",IF($J59="里程碑","◆",""))</f>
        <v/>
      </c>
      <c r="CJ59" s="8" t="str">
        <f>IF(OR($A59="",$C59="",$D59="",$C59&gt;CJ$6,$D59&lt;CJ$9),"",IF($J59="里程碑","◆",""))</f>
        <v/>
      </c>
      <c r="CK59" s="8" t="str">
        <f>IF(OR($A59="",$C59="",$D59="",$C59&gt;CK$6,$D59&lt;CK$9),"",IF($J59="里程碑","◆",""))</f>
        <v/>
      </c>
      <c r="CL59" s="8" t="str">
        <f>IF(OR($A59="",$C59="",$D59="",$C59&gt;CL$6,$D59&lt;CL$9),"",IF($J59="里程碑","◆",""))</f>
        <v/>
      </c>
      <c r="CM59" s="8" t="str">
        <f>IF(OR($A59="",$C59="",$D59="",$C59&gt;CM$6,$D59&lt;CM$9),"",IF($J59="里程碑","◆",""))</f>
        <v/>
      </c>
      <c r="CN59" s="8" t="str">
        <f>IF(OR($A59="",$C59="",$D59="",$C59&gt;CN$6,$D59&lt;CN$9),"",IF($J59="里程碑","◆",""))</f>
        <v/>
      </c>
      <c r="CO59" s="8" t="str">
        <f>IF(OR($A59="",$C59="",$D59="",$C59&gt;CO$6,$D59&lt;CO$9),"",IF($J59="里程碑","◆",""))</f>
        <v/>
      </c>
      <c r="CP59" s="8" t="str">
        <f>IF(OR($A59="",$C59="",$D59="",$C59&gt;CP$6,$D59&lt;CP$9),"",IF($J59="里程碑","◆",""))</f>
        <v/>
      </c>
      <c r="CQ59" s="8" t="str">
        <f>IF(OR($A59="",$C59="",$D59="",$C59&gt;CQ$6,$D59&lt;CQ$9),"",IF($J59="里程碑","◆",""))</f>
        <v/>
      </c>
      <c r="CR59" s="8" t="str">
        <f>IF(OR($A59="",$C59="",$D59="",$C59&gt;CR$6,$D59&lt;CR$9),"",IF($J59="里程碑","◆",""))</f>
        <v/>
      </c>
      <c r="CS59" s="8" t="str">
        <f>IF(OR($A59="",$C59="",$D59="",$C59&gt;CS$6,$D59&lt;CS$9),"",IF($J59="里程碑","◆",""))</f>
        <v/>
      </c>
      <c r="CT59" s="8" t="str">
        <f>IF(OR($A59="",$C59="",$D59="",$C59&gt;CT$6,$D59&lt;CT$9),"",IF($J59="里程碑","◆",""))</f>
        <v/>
      </c>
      <c r="CU59" s="8" t="str">
        <f>IF(OR($A59="",$C59="",$D59="",$C59&gt;CU$6,$D59&lt;CU$9),"",IF($J59="里程碑","◆",""))</f>
        <v/>
      </c>
      <c r="CV59" s="8" t="str">
        <f>IF(OR($A59="",$C59="",$D59="",$C59&gt;CV$6,$D59&lt;CV$9),"",IF($J59="里程碑","◆",""))</f>
        <v/>
      </c>
      <c r="CW59" s="8" t="str">
        <f>IF(OR($A59="",$C59="",$D59="",$C59&gt;CW$6,$D59&lt;CW$9),"",IF($J59="里程碑","◆",""))</f>
        <v/>
      </c>
      <c r="CX59" s="8" t="str">
        <f>IF(OR($A59="",$C59="",$D59="",$C59&gt;CX$6,$D59&lt;CX$9),"",IF($J59="里程碑","◆",""))</f>
        <v/>
      </c>
      <c r="CY59" s="8" t="str">
        <f>IF(OR($A59="",$C59="",$D59="",$C59&gt;CY$6,$D59&lt;CY$9),"",IF($J59="里程碑","◆",""))</f>
        <v/>
      </c>
      <c r="CZ59" s="8" t="str">
        <f>IF(OR($A59="",$C59="",$D59="",$C59&gt;CZ$6,$D59&lt;CZ$9),"",IF($J59="里程碑","◆",""))</f>
        <v/>
      </c>
      <c r="DA59" s="8" t="str">
        <f>IF(OR($A59="",$C59="",$D59="",$C59&gt;DA$6,$D59&lt;DA$9),"",IF($J59="里程碑","◆",""))</f>
        <v/>
      </c>
      <c r="DB59" s="8" t="str">
        <f>IF(OR($A59="",$C59="",$D59="",$C59&gt;DB$6,$D59&lt;DB$9),"",IF($J59="里程碑","◆",""))</f>
        <v/>
      </c>
      <c r="DC59" s="1" t="str">
        <f>IF(ROW()-9&gt;$DH$3,"",MATCH(ROW()-9,排期计算!$U$10:$U$109,0))</f>
        <v/>
      </c>
      <c r="DD59" s="1" t="str">
        <f>IF($DC59="","",INDEX(排期计算!$L$10:$L$109,$DC59))</f>
        <v/>
      </c>
      <c r="DE59" s="1"/>
      <c r="DF59" s="1"/>
      <c r="DG59" s="1"/>
      <c r="DH59" s="1"/>
      <c r="DI59" s="1"/>
      <c r="DJ59" s="1"/>
      <c r="DK59" s="1"/>
    </row>
    <row r="60" spans="1:115" ht="24.95" customHeight="1">
      <c r="A60" s="9" t="str">
        <f>IF($DC60="","",IF(AND(INDEX(排期计算!$A$10:$A$109,$DC60)="",NOT(ISNUMBER(INDEX(排期计算!$A$10:$A$109,$DC60)))),"",INDEX(排期计算!$A$10:$A$109,$DC60)))</f>
        <v/>
      </c>
      <c r="B60" s="1" t="str">
        <f>IF($DC60="","",REPT("　",$DD60-1)&amp;INDEX(排期计算!$B$10:$B$109,$DC60))</f>
        <v/>
      </c>
      <c r="C60" s="3" t="str">
        <f>IF($DC60="","",IF(AND(INDEX(排期计算!$M$10:$M$109,$DC60)="",NOT(ISNUMBER(INDEX(排期计算!$M$10:$M$109,$DC60)))),"",INDEX(排期计算!$M$10:$M$109,$DC60)))</f>
        <v/>
      </c>
      <c r="D60" s="3" t="str">
        <f>IF($DC60="","",IF(AND(INDEX(排期计算!$N$10:$N$109,$DC60)="",NOT(ISNUMBER(INDEX(排期计算!$N$10:$N$109,$DC60)))),"",INDEX(排期计算!$N$10:$N$109,$DC60)))</f>
        <v/>
      </c>
      <c r="E60" s="1" t="str">
        <f>IF(OR($C60="",$D60=""),"",IF($J60="里程碑",0,NETWORKDAYS($C60,$D60)))</f>
        <v/>
      </c>
      <c r="F60" s="7" t="str">
        <f>IF($DC60="","",IF(AND(INDEX(排期计算!$O$10:$O$109,$DC60)="",NOT(ISNUMBER(INDEX(排期计算!$O$10:$O$109,$DC60)))),"",INDEX(排期计算!$O$10:$O$109,$DC60)))</f>
        <v/>
      </c>
      <c r="G60" s="8" t="str">
        <f>IF($A60="","",IF(OR($C60="",$D60=""),"未排期",IF($F60&gt;=1,"已完成",IF($D60&lt;$B$4,"逾期",IF($C60&gt;$B$4,"未开始","进行中")))))</f>
        <v/>
      </c>
      <c r="H60" s="1" t="str">
        <f>IF($DC60="","",IF(AND(INDEX(排期计算!$C$10:$C$109,$DC60)="",NOT(ISNUMBER(INDEX(排期计算!$C$10:$C$109,$DC60)))),"",INDEX(排期计算!$C$10:$C$109,$DC60)))</f>
        <v/>
      </c>
      <c r="I60" s="1" t="str">
        <f>IF($DC60="","",IF(AND(INDEX(排期计算!$H$10:$H$109,$DC60)="",NOT(ISNUMBER(INDEX(排期计算!$H$10:$H$109,$DC60)))),"",INDEX(排期计算!$H$10:$H$109,$DC60)))</f>
        <v/>
      </c>
      <c r="J60" s="1" t="str">
        <f>IF($DC60="","",IF(AND(INDEX(排期计算!$K$10:$K$109,$DC60)="",NOT(ISNUMBER(INDEX(排期计算!$K$10:$K$109,$DC60)))),"",INDEX(排期计算!$K$10:$K$109,$DC60)))</f>
        <v/>
      </c>
      <c r="K60" s="8" t="str">
        <f>IF(OR($A60="",$C60="",$D60="",$C60&gt;K$6,$D60&lt;K$9),"",IF($J60="里程碑","◆",""))</f>
        <v/>
      </c>
      <c r="L60" s="8" t="str">
        <f>IF(OR($A60="",$C60="",$D60="",$C60&gt;L$6,$D60&lt;L$9),"",IF($J60="里程碑","◆",""))</f>
        <v/>
      </c>
      <c r="M60" s="8" t="str">
        <f>IF(OR($A60="",$C60="",$D60="",$C60&gt;M$6,$D60&lt;M$9),"",IF($J60="里程碑","◆",""))</f>
        <v/>
      </c>
      <c r="N60" s="8" t="str">
        <f>IF(OR($A60="",$C60="",$D60="",$C60&gt;N$6,$D60&lt;N$9),"",IF($J60="里程碑","◆",""))</f>
        <v/>
      </c>
      <c r="O60" s="8" t="str">
        <f>IF(OR($A60="",$C60="",$D60="",$C60&gt;O$6,$D60&lt;O$9),"",IF($J60="里程碑","◆",""))</f>
        <v/>
      </c>
      <c r="P60" s="8" t="str">
        <f>IF(OR($A60="",$C60="",$D60="",$C60&gt;P$6,$D60&lt;P$9),"",IF($J60="里程碑","◆",""))</f>
        <v/>
      </c>
      <c r="Q60" s="8" t="str">
        <f>IF(OR($A60="",$C60="",$D60="",$C60&gt;Q$6,$D60&lt;Q$9),"",IF($J60="里程碑","◆",""))</f>
        <v/>
      </c>
      <c r="R60" s="8" t="str">
        <f>IF(OR($A60="",$C60="",$D60="",$C60&gt;R$6,$D60&lt;R$9),"",IF($J60="里程碑","◆",""))</f>
        <v/>
      </c>
      <c r="S60" s="8" t="str">
        <f>IF(OR($A60="",$C60="",$D60="",$C60&gt;S$6,$D60&lt;S$9),"",IF($J60="里程碑","◆",""))</f>
        <v/>
      </c>
      <c r="T60" s="8" t="str">
        <f>IF(OR($A60="",$C60="",$D60="",$C60&gt;T$6,$D60&lt;T$9),"",IF($J60="里程碑","◆",""))</f>
        <v/>
      </c>
      <c r="U60" s="8" t="str">
        <f>IF(OR($A60="",$C60="",$D60="",$C60&gt;U$6,$D60&lt;U$9),"",IF($J60="里程碑","◆",""))</f>
        <v/>
      </c>
      <c r="V60" s="8" t="str">
        <f>IF(OR($A60="",$C60="",$D60="",$C60&gt;V$6,$D60&lt;V$9),"",IF($J60="里程碑","◆",""))</f>
        <v/>
      </c>
      <c r="W60" s="8" t="str">
        <f>IF(OR($A60="",$C60="",$D60="",$C60&gt;W$6,$D60&lt;W$9),"",IF($J60="里程碑","◆",""))</f>
        <v/>
      </c>
      <c r="X60" s="8" t="str">
        <f>IF(OR($A60="",$C60="",$D60="",$C60&gt;X$6,$D60&lt;X$9),"",IF($J60="里程碑","◆",""))</f>
        <v/>
      </c>
      <c r="Y60" s="8" t="str">
        <f>IF(OR($A60="",$C60="",$D60="",$C60&gt;Y$6,$D60&lt;Y$9),"",IF($J60="里程碑","◆",""))</f>
        <v/>
      </c>
      <c r="Z60" s="8" t="str">
        <f>IF(OR($A60="",$C60="",$D60="",$C60&gt;Z$6,$D60&lt;Z$9),"",IF($J60="里程碑","◆",""))</f>
        <v/>
      </c>
      <c r="AA60" s="8" t="str">
        <f>IF(OR($A60="",$C60="",$D60="",$C60&gt;AA$6,$D60&lt;AA$9),"",IF($J60="里程碑","◆",""))</f>
        <v/>
      </c>
      <c r="AB60" s="8" t="str">
        <f>IF(OR($A60="",$C60="",$D60="",$C60&gt;AB$6,$D60&lt;AB$9),"",IF($J60="里程碑","◆",""))</f>
        <v/>
      </c>
      <c r="AC60" s="8" t="str">
        <f>IF(OR($A60="",$C60="",$D60="",$C60&gt;AC$6,$D60&lt;AC$9),"",IF($J60="里程碑","◆",""))</f>
        <v/>
      </c>
      <c r="AD60" s="8" t="str">
        <f>IF(OR($A60="",$C60="",$D60="",$C60&gt;AD$6,$D60&lt;AD$9),"",IF($J60="里程碑","◆",""))</f>
        <v/>
      </c>
      <c r="AE60" s="8" t="str">
        <f>IF(OR($A60="",$C60="",$D60="",$C60&gt;AE$6,$D60&lt;AE$9),"",IF($J60="里程碑","◆",""))</f>
        <v/>
      </c>
      <c r="AF60" s="8" t="str">
        <f>IF(OR($A60="",$C60="",$D60="",$C60&gt;AF$6,$D60&lt;AF$9),"",IF($J60="里程碑","◆",""))</f>
        <v/>
      </c>
      <c r="AG60" s="8" t="str">
        <f>IF(OR($A60="",$C60="",$D60="",$C60&gt;AG$6,$D60&lt;AG$9),"",IF($J60="里程碑","◆",""))</f>
        <v/>
      </c>
      <c r="AH60" s="8" t="str">
        <f>IF(OR($A60="",$C60="",$D60="",$C60&gt;AH$6,$D60&lt;AH$9),"",IF($J60="里程碑","◆",""))</f>
        <v/>
      </c>
      <c r="AI60" s="8" t="str">
        <f>IF(OR($A60="",$C60="",$D60="",$C60&gt;AI$6,$D60&lt;AI$9),"",IF($J60="里程碑","◆",""))</f>
        <v/>
      </c>
      <c r="AJ60" s="8" t="str">
        <f>IF(OR($A60="",$C60="",$D60="",$C60&gt;AJ$6,$D60&lt;AJ$9),"",IF($J60="里程碑","◆",""))</f>
        <v/>
      </c>
      <c r="AK60" s="8" t="str">
        <f>IF(OR($A60="",$C60="",$D60="",$C60&gt;AK$6,$D60&lt;AK$9),"",IF($J60="里程碑","◆",""))</f>
        <v/>
      </c>
      <c r="AL60" s="8" t="str">
        <f>IF(OR($A60="",$C60="",$D60="",$C60&gt;AL$6,$D60&lt;AL$9),"",IF($J60="里程碑","◆",""))</f>
        <v/>
      </c>
      <c r="AM60" s="8" t="str">
        <f>IF(OR($A60="",$C60="",$D60="",$C60&gt;AM$6,$D60&lt;AM$9),"",IF($J60="里程碑","◆",""))</f>
        <v/>
      </c>
      <c r="AN60" s="8" t="str">
        <f>IF(OR($A60="",$C60="",$D60="",$C60&gt;AN$6,$D60&lt;AN$9),"",IF($J60="里程碑","◆",""))</f>
        <v/>
      </c>
      <c r="AO60" s="8" t="str">
        <f>IF(OR($A60="",$C60="",$D60="",$C60&gt;AO$6,$D60&lt;AO$9),"",IF($J60="里程碑","◆",""))</f>
        <v/>
      </c>
      <c r="AP60" s="8" t="str">
        <f>IF(OR($A60="",$C60="",$D60="",$C60&gt;AP$6,$D60&lt;AP$9),"",IF($J60="里程碑","◆",""))</f>
        <v/>
      </c>
      <c r="AQ60" s="8" t="str">
        <f>IF(OR($A60="",$C60="",$D60="",$C60&gt;AQ$6,$D60&lt;AQ$9),"",IF($J60="里程碑","◆",""))</f>
        <v/>
      </c>
      <c r="AR60" s="8" t="str">
        <f>IF(OR($A60="",$C60="",$D60="",$C60&gt;AR$6,$D60&lt;AR$9),"",IF($J60="里程碑","◆",""))</f>
        <v/>
      </c>
      <c r="AS60" s="8" t="str">
        <f>IF(OR($A60="",$C60="",$D60="",$C60&gt;AS$6,$D60&lt;AS$9),"",IF($J60="里程碑","◆",""))</f>
        <v/>
      </c>
      <c r="AT60" s="8" t="str">
        <f>IF(OR($A60="",$C60="",$D60="",$C60&gt;AT$6,$D60&lt;AT$9),"",IF($J60="里程碑","◆",""))</f>
        <v/>
      </c>
      <c r="AU60" s="8" t="str">
        <f>IF(OR($A60="",$C60="",$D60="",$C60&gt;AU$6,$D60&lt;AU$9),"",IF($J60="里程碑","◆",""))</f>
        <v/>
      </c>
      <c r="AV60" s="8" t="str">
        <f>IF(OR($A60="",$C60="",$D60="",$C60&gt;AV$6,$D60&lt;AV$9),"",IF($J60="里程碑","◆",""))</f>
        <v/>
      </c>
      <c r="AW60" s="8" t="str">
        <f>IF(OR($A60="",$C60="",$D60="",$C60&gt;AW$6,$D60&lt;AW$9),"",IF($J60="里程碑","◆",""))</f>
        <v/>
      </c>
      <c r="AX60" s="8" t="str">
        <f>IF(OR($A60="",$C60="",$D60="",$C60&gt;AX$6,$D60&lt;AX$9),"",IF($J60="里程碑","◆",""))</f>
        <v/>
      </c>
      <c r="AY60" s="8" t="str">
        <f>IF(OR($A60="",$C60="",$D60="",$C60&gt;AY$6,$D60&lt;AY$9),"",IF($J60="里程碑","◆",""))</f>
        <v/>
      </c>
      <c r="AZ60" s="8" t="str">
        <f>IF(OR($A60="",$C60="",$D60="",$C60&gt;AZ$6,$D60&lt;AZ$9),"",IF($J60="里程碑","◆",""))</f>
        <v/>
      </c>
      <c r="BA60" s="8" t="str">
        <f>IF(OR($A60="",$C60="",$D60="",$C60&gt;BA$6,$D60&lt;BA$9),"",IF($J60="里程碑","◆",""))</f>
        <v/>
      </c>
      <c r="BB60" s="8" t="str">
        <f>IF(OR($A60="",$C60="",$D60="",$C60&gt;BB$6,$D60&lt;BB$9),"",IF($J60="里程碑","◆",""))</f>
        <v/>
      </c>
      <c r="BC60" s="8" t="str">
        <f>IF(OR($A60="",$C60="",$D60="",$C60&gt;BC$6,$D60&lt;BC$9),"",IF($J60="里程碑","◆",""))</f>
        <v/>
      </c>
      <c r="BD60" s="8" t="str">
        <f>IF(OR($A60="",$C60="",$D60="",$C60&gt;BD$6,$D60&lt;BD$9),"",IF($J60="里程碑","◆",""))</f>
        <v/>
      </c>
      <c r="BE60" s="8" t="str">
        <f>IF(OR($A60="",$C60="",$D60="",$C60&gt;BE$6,$D60&lt;BE$9),"",IF($J60="里程碑","◆",""))</f>
        <v/>
      </c>
      <c r="BF60" s="8" t="str">
        <f>IF(OR($A60="",$C60="",$D60="",$C60&gt;BF$6,$D60&lt;BF$9),"",IF($J60="里程碑","◆",""))</f>
        <v/>
      </c>
      <c r="BG60" s="8" t="str">
        <f>IF(OR($A60="",$C60="",$D60="",$C60&gt;BG$6,$D60&lt;BG$9),"",IF($J60="里程碑","◆",""))</f>
        <v/>
      </c>
      <c r="BH60" s="8" t="str">
        <f>IF(OR($A60="",$C60="",$D60="",$C60&gt;BH$6,$D60&lt;BH$9),"",IF($J60="里程碑","◆",""))</f>
        <v/>
      </c>
      <c r="BI60" s="8" t="str">
        <f>IF(OR($A60="",$C60="",$D60="",$C60&gt;BI$6,$D60&lt;BI$9),"",IF($J60="里程碑","◆",""))</f>
        <v/>
      </c>
      <c r="BJ60" s="8" t="str">
        <f>IF(OR($A60="",$C60="",$D60="",$C60&gt;BJ$6,$D60&lt;BJ$9),"",IF($J60="里程碑","◆",""))</f>
        <v/>
      </c>
      <c r="BK60" s="8" t="str">
        <f>IF(OR($A60="",$C60="",$D60="",$C60&gt;BK$6,$D60&lt;BK$9),"",IF($J60="里程碑","◆",""))</f>
        <v/>
      </c>
      <c r="BL60" s="8" t="str">
        <f>IF(OR($A60="",$C60="",$D60="",$C60&gt;BL$6,$D60&lt;BL$9),"",IF($J60="里程碑","◆",""))</f>
        <v/>
      </c>
      <c r="BM60" s="8" t="str">
        <f>IF(OR($A60="",$C60="",$D60="",$C60&gt;BM$6,$D60&lt;BM$9),"",IF($J60="里程碑","◆",""))</f>
        <v/>
      </c>
      <c r="BN60" s="8" t="str">
        <f>IF(OR($A60="",$C60="",$D60="",$C60&gt;BN$6,$D60&lt;BN$9),"",IF($J60="里程碑","◆",""))</f>
        <v/>
      </c>
      <c r="BO60" s="8" t="str">
        <f>IF(OR($A60="",$C60="",$D60="",$C60&gt;BO$6,$D60&lt;BO$9),"",IF($J60="里程碑","◆",""))</f>
        <v/>
      </c>
      <c r="BP60" s="8" t="str">
        <f>IF(OR($A60="",$C60="",$D60="",$C60&gt;BP$6,$D60&lt;BP$9),"",IF($J60="里程碑","◆",""))</f>
        <v/>
      </c>
      <c r="BQ60" s="8" t="str">
        <f>IF(OR($A60="",$C60="",$D60="",$C60&gt;BQ$6,$D60&lt;BQ$9),"",IF($J60="里程碑","◆",""))</f>
        <v/>
      </c>
      <c r="BR60" s="8" t="str">
        <f>IF(OR($A60="",$C60="",$D60="",$C60&gt;BR$6,$D60&lt;BR$9),"",IF($J60="里程碑","◆",""))</f>
        <v/>
      </c>
      <c r="BS60" s="8" t="str">
        <f>IF(OR($A60="",$C60="",$D60="",$C60&gt;BS$6,$D60&lt;BS$9),"",IF($J60="里程碑","◆",""))</f>
        <v/>
      </c>
      <c r="BT60" s="8" t="str">
        <f>IF(OR($A60="",$C60="",$D60="",$C60&gt;BT$6,$D60&lt;BT$9),"",IF($J60="里程碑","◆",""))</f>
        <v/>
      </c>
      <c r="BU60" s="8" t="str">
        <f>IF(OR($A60="",$C60="",$D60="",$C60&gt;BU$6,$D60&lt;BU$9),"",IF($J60="里程碑","◆",""))</f>
        <v/>
      </c>
      <c r="BV60" s="8" t="str">
        <f>IF(OR($A60="",$C60="",$D60="",$C60&gt;BV$6,$D60&lt;BV$9),"",IF($J60="里程碑","◆",""))</f>
        <v/>
      </c>
      <c r="BW60" s="8" t="str">
        <f>IF(OR($A60="",$C60="",$D60="",$C60&gt;BW$6,$D60&lt;BW$9),"",IF($J60="里程碑","◆",""))</f>
        <v/>
      </c>
      <c r="BX60" s="8" t="str">
        <f>IF(OR($A60="",$C60="",$D60="",$C60&gt;BX$6,$D60&lt;BX$9),"",IF($J60="里程碑","◆",""))</f>
        <v/>
      </c>
      <c r="BY60" s="8" t="str">
        <f>IF(OR($A60="",$C60="",$D60="",$C60&gt;BY$6,$D60&lt;BY$9),"",IF($J60="里程碑","◆",""))</f>
        <v/>
      </c>
      <c r="BZ60" s="8" t="str">
        <f>IF(OR($A60="",$C60="",$D60="",$C60&gt;BZ$6,$D60&lt;BZ$9),"",IF($J60="里程碑","◆",""))</f>
        <v/>
      </c>
      <c r="CA60" s="8" t="str">
        <f>IF(OR($A60="",$C60="",$D60="",$C60&gt;CA$6,$D60&lt;CA$9),"",IF($J60="里程碑","◆",""))</f>
        <v/>
      </c>
      <c r="CB60" s="8" t="str">
        <f>IF(OR($A60="",$C60="",$D60="",$C60&gt;CB$6,$D60&lt;CB$9),"",IF($J60="里程碑","◆",""))</f>
        <v/>
      </c>
      <c r="CC60" s="8" t="str">
        <f>IF(OR($A60="",$C60="",$D60="",$C60&gt;CC$6,$D60&lt;CC$9),"",IF($J60="里程碑","◆",""))</f>
        <v/>
      </c>
      <c r="CD60" s="8" t="str">
        <f>IF(OR($A60="",$C60="",$D60="",$C60&gt;CD$6,$D60&lt;CD$9),"",IF($J60="里程碑","◆",""))</f>
        <v/>
      </c>
      <c r="CE60" s="8" t="str">
        <f>IF(OR($A60="",$C60="",$D60="",$C60&gt;CE$6,$D60&lt;CE$9),"",IF($J60="里程碑","◆",""))</f>
        <v/>
      </c>
      <c r="CF60" s="8" t="str">
        <f>IF(OR($A60="",$C60="",$D60="",$C60&gt;CF$6,$D60&lt;CF$9),"",IF($J60="里程碑","◆",""))</f>
        <v/>
      </c>
      <c r="CG60" s="8" t="str">
        <f>IF(OR($A60="",$C60="",$D60="",$C60&gt;CG$6,$D60&lt;CG$9),"",IF($J60="里程碑","◆",""))</f>
        <v/>
      </c>
      <c r="CH60" s="8" t="str">
        <f>IF(OR($A60="",$C60="",$D60="",$C60&gt;CH$6,$D60&lt;CH$9),"",IF($J60="里程碑","◆",""))</f>
        <v/>
      </c>
      <c r="CI60" s="8" t="str">
        <f>IF(OR($A60="",$C60="",$D60="",$C60&gt;CI$6,$D60&lt;CI$9),"",IF($J60="里程碑","◆",""))</f>
        <v/>
      </c>
      <c r="CJ60" s="8" t="str">
        <f>IF(OR($A60="",$C60="",$D60="",$C60&gt;CJ$6,$D60&lt;CJ$9),"",IF($J60="里程碑","◆",""))</f>
        <v/>
      </c>
      <c r="CK60" s="8" t="str">
        <f>IF(OR($A60="",$C60="",$D60="",$C60&gt;CK$6,$D60&lt;CK$9),"",IF($J60="里程碑","◆",""))</f>
        <v/>
      </c>
      <c r="CL60" s="8" t="str">
        <f>IF(OR($A60="",$C60="",$D60="",$C60&gt;CL$6,$D60&lt;CL$9),"",IF($J60="里程碑","◆",""))</f>
        <v/>
      </c>
      <c r="CM60" s="8" t="str">
        <f>IF(OR($A60="",$C60="",$D60="",$C60&gt;CM$6,$D60&lt;CM$9),"",IF($J60="里程碑","◆",""))</f>
        <v/>
      </c>
      <c r="CN60" s="8" t="str">
        <f>IF(OR($A60="",$C60="",$D60="",$C60&gt;CN$6,$D60&lt;CN$9),"",IF($J60="里程碑","◆",""))</f>
        <v/>
      </c>
      <c r="CO60" s="8" t="str">
        <f>IF(OR($A60="",$C60="",$D60="",$C60&gt;CO$6,$D60&lt;CO$9),"",IF($J60="里程碑","◆",""))</f>
        <v/>
      </c>
      <c r="CP60" s="8" t="str">
        <f>IF(OR($A60="",$C60="",$D60="",$C60&gt;CP$6,$D60&lt;CP$9),"",IF($J60="里程碑","◆",""))</f>
        <v/>
      </c>
      <c r="CQ60" s="8" t="str">
        <f>IF(OR($A60="",$C60="",$D60="",$C60&gt;CQ$6,$D60&lt;CQ$9),"",IF($J60="里程碑","◆",""))</f>
        <v/>
      </c>
      <c r="CR60" s="8" t="str">
        <f>IF(OR($A60="",$C60="",$D60="",$C60&gt;CR$6,$D60&lt;CR$9),"",IF($J60="里程碑","◆",""))</f>
        <v/>
      </c>
      <c r="CS60" s="8" t="str">
        <f>IF(OR($A60="",$C60="",$D60="",$C60&gt;CS$6,$D60&lt;CS$9),"",IF($J60="里程碑","◆",""))</f>
        <v/>
      </c>
      <c r="CT60" s="8" t="str">
        <f>IF(OR($A60="",$C60="",$D60="",$C60&gt;CT$6,$D60&lt;CT$9),"",IF($J60="里程碑","◆",""))</f>
        <v/>
      </c>
      <c r="CU60" s="8" t="str">
        <f>IF(OR($A60="",$C60="",$D60="",$C60&gt;CU$6,$D60&lt;CU$9),"",IF($J60="里程碑","◆",""))</f>
        <v/>
      </c>
      <c r="CV60" s="8" t="str">
        <f>IF(OR($A60="",$C60="",$D60="",$C60&gt;CV$6,$D60&lt;CV$9),"",IF($J60="里程碑","◆",""))</f>
        <v/>
      </c>
      <c r="CW60" s="8" t="str">
        <f>IF(OR($A60="",$C60="",$D60="",$C60&gt;CW$6,$D60&lt;CW$9),"",IF($J60="里程碑","◆",""))</f>
        <v/>
      </c>
      <c r="CX60" s="8" t="str">
        <f>IF(OR($A60="",$C60="",$D60="",$C60&gt;CX$6,$D60&lt;CX$9),"",IF($J60="里程碑","◆",""))</f>
        <v/>
      </c>
      <c r="CY60" s="8" t="str">
        <f>IF(OR($A60="",$C60="",$D60="",$C60&gt;CY$6,$D60&lt;CY$9),"",IF($J60="里程碑","◆",""))</f>
        <v/>
      </c>
      <c r="CZ60" s="8" t="str">
        <f>IF(OR($A60="",$C60="",$D60="",$C60&gt;CZ$6,$D60&lt;CZ$9),"",IF($J60="里程碑","◆",""))</f>
        <v/>
      </c>
      <c r="DA60" s="8" t="str">
        <f>IF(OR($A60="",$C60="",$D60="",$C60&gt;DA$6,$D60&lt;DA$9),"",IF($J60="里程碑","◆",""))</f>
        <v/>
      </c>
      <c r="DB60" s="8" t="str">
        <f>IF(OR($A60="",$C60="",$D60="",$C60&gt;DB$6,$D60&lt;DB$9),"",IF($J60="里程碑","◆",""))</f>
        <v/>
      </c>
      <c r="DC60" s="1" t="str">
        <f>IF(ROW()-9&gt;$DH$3,"",MATCH(ROW()-9,排期计算!$U$10:$U$109,0))</f>
        <v/>
      </c>
      <c r="DD60" s="1" t="str">
        <f>IF($DC60="","",INDEX(排期计算!$L$10:$L$109,$DC60))</f>
        <v/>
      </c>
      <c r="DE60" s="1"/>
      <c r="DF60" s="1"/>
      <c r="DG60" s="1"/>
      <c r="DH60" s="1"/>
      <c r="DI60" s="1"/>
      <c r="DJ60" s="1"/>
      <c r="DK60" s="1"/>
    </row>
    <row r="61" spans="1:115" ht="24.95" customHeight="1">
      <c r="A61" s="9" t="str">
        <f>IF($DC61="","",IF(AND(INDEX(排期计算!$A$10:$A$109,$DC61)="",NOT(ISNUMBER(INDEX(排期计算!$A$10:$A$109,$DC61)))),"",INDEX(排期计算!$A$10:$A$109,$DC61)))</f>
        <v/>
      </c>
      <c r="B61" s="1" t="str">
        <f>IF($DC61="","",REPT("　",$DD61-1)&amp;INDEX(排期计算!$B$10:$B$109,$DC61))</f>
        <v/>
      </c>
      <c r="C61" s="3" t="str">
        <f>IF($DC61="","",IF(AND(INDEX(排期计算!$M$10:$M$109,$DC61)="",NOT(ISNUMBER(INDEX(排期计算!$M$10:$M$109,$DC61)))),"",INDEX(排期计算!$M$10:$M$109,$DC61)))</f>
        <v/>
      </c>
      <c r="D61" s="3" t="str">
        <f>IF($DC61="","",IF(AND(INDEX(排期计算!$N$10:$N$109,$DC61)="",NOT(ISNUMBER(INDEX(排期计算!$N$10:$N$109,$DC61)))),"",INDEX(排期计算!$N$10:$N$109,$DC61)))</f>
        <v/>
      </c>
      <c r="E61" s="1" t="str">
        <f>IF(OR($C61="",$D61=""),"",IF($J61="里程碑",0,NETWORKDAYS($C61,$D61)))</f>
        <v/>
      </c>
      <c r="F61" s="7" t="str">
        <f>IF($DC61="","",IF(AND(INDEX(排期计算!$O$10:$O$109,$DC61)="",NOT(ISNUMBER(INDEX(排期计算!$O$10:$O$109,$DC61)))),"",INDEX(排期计算!$O$10:$O$109,$DC61)))</f>
        <v/>
      </c>
      <c r="G61" s="8" t="str">
        <f>IF($A61="","",IF(OR($C61="",$D61=""),"未排期",IF($F61&gt;=1,"已完成",IF($D61&lt;$B$4,"逾期",IF($C61&gt;$B$4,"未开始","进行中")))))</f>
        <v/>
      </c>
      <c r="H61" s="1" t="str">
        <f>IF($DC61="","",IF(AND(INDEX(排期计算!$C$10:$C$109,$DC61)="",NOT(ISNUMBER(INDEX(排期计算!$C$10:$C$109,$DC61)))),"",INDEX(排期计算!$C$10:$C$109,$DC61)))</f>
        <v/>
      </c>
      <c r="I61" s="1" t="str">
        <f>IF($DC61="","",IF(AND(INDEX(排期计算!$H$10:$H$109,$DC61)="",NOT(ISNUMBER(INDEX(排期计算!$H$10:$H$109,$DC61)))),"",INDEX(排期计算!$H$10:$H$109,$DC61)))</f>
        <v/>
      </c>
      <c r="J61" s="1" t="str">
        <f>IF($DC61="","",IF(AND(INDEX(排期计算!$K$10:$K$109,$DC61)="",NOT(ISNUMBER(INDEX(排期计算!$K$10:$K$109,$DC61)))),"",INDEX(排期计算!$K$10:$K$109,$DC61)))</f>
        <v/>
      </c>
      <c r="K61" s="8" t="str">
        <f>IF(OR($A61="",$C61="",$D61="",$C61&gt;K$6,$D61&lt;K$9),"",IF($J61="里程碑","◆",""))</f>
        <v/>
      </c>
      <c r="L61" s="8" t="str">
        <f>IF(OR($A61="",$C61="",$D61="",$C61&gt;L$6,$D61&lt;L$9),"",IF($J61="里程碑","◆",""))</f>
        <v/>
      </c>
      <c r="M61" s="8" t="str">
        <f>IF(OR($A61="",$C61="",$D61="",$C61&gt;M$6,$D61&lt;M$9),"",IF($J61="里程碑","◆",""))</f>
        <v/>
      </c>
      <c r="N61" s="8" t="str">
        <f>IF(OR($A61="",$C61="",$D61="",$C61&gt;N$6,$D61&lt;N$9),"",IF($J61="里程碑","◆",""))</f>
        <v/>
      </c>
      <c r="O61" s="8" t="str">
        <f>IF(OR($A61="",$C61="",$D61="",$C61&gt;O$6,$D61&lt;O$9),"",IF($J61="里程碑","◆",""))</f>
        <v/>
      </c>
      <c r="P61" s="8" t="str">
        <f>IF(OR($A61="",$C61="",$D61="",$C61&gt;P$6,$D61&lt;P$9),"",IF($J61="里程碑","◆",""))</f>
        <v/>
      </c>
      <c r="Q61" s="8" t="str">
        <f>IF(OR($A61="",$C61="",$D61="",$C61&gt;Q$6,$D61&lt;Q$9),"",IF($J61="里程碑","◆",""))</f>
        <v/>
      </c>
      <c r="R61" s="8" t="str">
        <f>IF(OR($A61="",$C61="",$D61="",$C61&gt;R$6,$D61&lt;R$9),"",IF($J61="里程碑","◆",""))</f>
        <v/>
      </c>
      <c r="S61" s="8" t="str">
        <f>IF(OR($A61="",$C61="",$D61="",$C61&gt;S$6,$D61&lt;S$9),"",IF($J61="里程碑","◆",""))</f>
        <v/>
      </c>
      <c r="T61" s="8" t="str">
        <f>IF(OR($A61="",$C61="",$D61="",$C61&gt;T$6,$D61&lt;T$9),"",IF($J61="里程碑","◆",""))</f>
        <v/>
      </c>
      <c r="U61" s="8" t="str">
        <f>IF(OR($A61="",$C61="",$D61="",$C61&gt;U$6,$D61&lt;U$9),"",IF($J61="里程碑","◆",""))</f>
        <v/>
      </c>
      <c r="V61" s="8" t="str">
        <f>IF(OR($A61="",$C61="",$D61="",$C61&gt;V$6,$D61&lt;V$9),"",IF($J61="里程碑","◆",""))</f>
        <v/>
      </c>
      <c r="W61" s="8" t="str">
        <f>IF(OR($A61="",$C61="",$D61="",$C61&gt;W$6,$D61&lt;W$9),"",IF($J61="里程碑","◆",""))</f>
        <v/>
      </c>
      <c r="X61" s="8" t="str">
        <f>IF(OR($A61="",$C61="",$D61="",$C61&gt;X$6,$D61&lt;X$9),"",IF($J61="里程碑","◆",""))</f>
        <v/>
      </c>
      <c r="Y61" s="8" t="str">
        <f>IF(OR($A61="",$C61="",$D61="",$C61&gt;Y$6,$D61&lt;Y$9),"",IF($J61="里程碑","◆",""))</f>
        <v/>
      </c>
      <c r="Z61" s="8" t="str">
        <f>IF(OR($A61="",$C61="",$D61="",$C61&gt;Z$6,$D61&lt;Z$9),"",IF($J61="里程碑","◆",""))</f>
        <v/>
      </c>
      <c r="AA61" s="8" t="str">
        <f>IF(OR($A61="",$C61="",$D61="",$C61&gt;AA$6,$D61&lt;AA$9),"",IF($J61="里程碑","◆",""))</f>
        <v/>
      </c>
      <c r="AB61" s="8" t="str">
        <f>IF(OR($A61="",$C61="",$D61="",$C61&gt;AB$6,$D61&lt;AB$9),"",IF($J61="里程碑","◆",""))</f>
        <v/>
      </c>
      <c r="AC61" s="8" t="str">
        <f>IF(OR($A61="",$C61="",$D61="",$C61&gt;AC$6,$D61&lt;AC$9),"",IF($J61="里程碑","◆",""))</f>
        <v/>
      </c>
      <c r="AD61" s="8" t="str">
        <f>IF(OR($A61="",$C61="",$D61="",$C61&gt;AD$6,$D61&lt;AD$9),"",IF($J61="里程碑","◆",""))</f>
        <v/>
      </c>
      <c r="AE61" s="8" t="str">
        <f>IF(OR($A61="",$C61="",$D61="",$C61&gt;AE$6,$D61&lt;AE$9),"",IF($J61="里程碑","◆",""))</f>
        <v/>
      </c>
      <c r="AF61" s="8" t="str">
        <f>IF(OR($A61="",$C61="",$D61="",$C61&gt;AF$6,$D61&lt;AF$9),"",IF($J61="里程碑","◆",""))</f>
        <v/>
      </c>
      <c r="AG61" s="8" t="str">
        <f>IF(OR($A61="",$C61="",$D61="",$C61&gt;AG$6,$D61&lt;AG$9),"",IF($J61="里程碑","◆",""))</f>
        <v/>
      </c>
      <c r="AH61" s="8" t="str">
        <f>IF(OR($A61="",$C61="",$D61="",$C61&gt;AH$6,$D61&lt;AH$9),"",IF($J61="里程碑","◆",""))</f>
        <v/>
      </c>
      <c r="AI61" s="8" t="str">
        <f>IF(OR($A61="",$C61="",$D61="",$C61&gt;AI$6,$D61&lt;AI$9),"",IF($J61="里程碑","◆",""))</f>
        <v/>
      </c>
      <c r="AJ61" s="8" t="str">
        <f>IF(OR($A61="",$C61="",$D61="",$C61&gt;AJ$6,$D61&lt;AJ$9),"",IF($J61="里程碑","◆",""))</f>
        <v/>
      </c>
      <c r="AK61" s="8" t="str">
        <f>IF(OR($A61="",$C61="",$D61="",$C61&gt;AK$6,$D61&lt;AK$9),"",IF($J61="里程碑","◆",""))</f>
        <v/>
      </c>
      <c r="AL61" s="8" t="str">
        <f>IF(OR($A61="",$C61="",$D61="",$C61&gt;AL$6,$D61&lt;AL$9),"",IF($J61="里程碑","◆",""))</f>
        <v/>
      </c>
      <c r="AM61" s="8" t="str">
        <f>IF(OR($A61="",$C61="",$D61="",$C61&gt;AM$6,$D61&lt;AM$9),"",IF($J61="里程碑","◆",""))</f>
        <v/>
      </c>
      <c r="AN61" s="8" t="str">
        <f>IF(OR($A61="",$C61="",$D61="",$C61&gt;AN$6,$D61&lt;AN$9),"",IF($J61="里程碑","◆",""))</f>
        <v/>
      </c>
      <c r="AO61" s="8" t="str">
        <f>IF(OR($A61="",$C61="",$D61="",$C61&gt;AO$6,$D61&lt;AO$9),"",IF($J61="里程碑","◆",""))</f>
        <v/>
      </c>
      <c r="AP61" s="8" t="str">
        <f>IF(OR($A61="",$C61="",$D61="",$C61&gt;AP$6,$D61&lt;AP$9),"",IF($J61="里程碑","◆",""))</f>
        <v/>
      </c>
      <c r="AQ61" s="8" t="str">
        <f>IF(OR($A61="",$C61="",$D61="",$C61&gt;AQ$6,$D61&lt;AQ$9),"",IF($J61="里程碑","◆",""))</f>
        <v/>
      </c>
      <c r="AR61" s="8" t="str">
        <f>IF(OR($A61="",$C61="",$D61="",$C61&gt;AR$6,$D61&lt;AR$9),"",IF($J61="里程碑","◆",""))</f>
        <v/>
      </c>
      <c r="AS61" s="8" t="str">
        <f>IF(OR($A61="",$C61="",$D61="",$C61&gt;AS$6,$D61&lt;AS$9),"",IF($J61="里程碑","◆",""))</f>
        <v/>
      </c>
      <c r="AT61" s="8" t="str">
        <f>IF(OR($A61="",$C61="",$D61="",$C61&gt;AT$6,$D61&lt;AT$9),"",IF($J61="里程碑","◆",""))</f>
        <v/>
      </c>
      <c r="AU61" s="8" t="str">
        <f>IF(OR($A61="",$C61="",$D61="",$C61&gt;AU$6,$D61&lt;AU$9),"",IF($J61="里程碑","◆",""))</f>
        <v/>
      </c>
      <c r="AV61" s="8" t="str">
        <f>IF(OR($A61="",$C61="",$D61="",$C61&gt;AV$6,$D61&lt;AV$9),"",IF($J61="里程碑","◆",""))</f>
        <v/>
      </c>
      <c r="AW61" s="8" t="str">
        <f>IF(OR($A61="",$C61="",$D61="",$C61&gt;AW$6,$D61&lt;AW$9),"",IF($J61="里程碑","◆",""))</f>
        <v/>
      </c>
      <c r="AX61" s="8" t="str">
        <f>IF(OR($A61="",$C61="",$D61="",$C61&gt;AX$6,$D61&lt;AX$9),"",IF($J61="里程碑","◆",""))</f>
        <v/>
      </c>
      <c r="AY61" s="8" t="str">
        <f>IF(OR($A61="",$C61="",$D61="",$C61&gt;AY$6,$D61&lt;AY$9),"",IF($J61="里程碑","◆",""))</f>
        <v/>
      </c>
      <c r="AZ61" s="8" t="str">
        <f>IF(OR($A61="",$C61="",$D61="",$C61&gt;AZ$6,$D61&lt;AZ$9),"",IF($J61="里程碑","◆",""))</f>
        <v/>
      </c>
      <c r="BA61" s="8" t="str">
        <f>IF(OR($A61="",$C61="",$D61="",$C61&gt;BA$6,$D61&lt;BA$9),"",IF($J61="里程碑","◆",""))</f>
        <v/>
      </c>
      <c r="BB61" s="8" t="str">
        <f>IF(OR($A61="",$C61="",$D61="",$C61&gt;BB$6,$D61&lt;BB$9),"",IF($J61="里程碑","◆",""))</f>
        <v/>
      </c>
      <c r="BC61" s="8" t="str">
        <f>IF(OR($A61="",$C61="",$D61="",$C61&gt;BC$6,$D61&lt;BC$9),"",IF($J61="里程碑","◆",""))</f>
        <v/>
      </c>
      <c r="BD61" s="8" t="str">
        <f>IF(OR($A61="",$C61="",$D61="",$C61&gt;BD$6,$D61&lt;BD$9),"",IF($J61="里程碑","◆",""))</f>
        <v/>
      </c>
      <c r="BE61" s="8" t="str">
        <f>IF(OR($A61="",$C61="",$D61="",$C61&gt;BE$6,$D61&lt;BE$9),"",IF($J61="里程碑","◆",""))</f>
        <v/>
      </c>
      <c r="BF61" s="8" t="str">
        <f>IF(OR($A61="",$C61="",$D61="",$C61&gt;BF$6,$D61&lt;BF$9),"",IF($J61="里程碑","◆",""))</f>
        <v/>
      </c>
      <c r="BG61" s="8" t="str">
        <f>IF(OR($A61="",$C61="",$D61="",$C61&gt;BG$6,$D61&lt;BG$9),"",IF($J61="里程碑","◆",""))</f>
        <v/>
      </c>
      <c r="BH61" s="8" t="str">
        <f>IF(OR($A61="",$C61="",$D61="",$C61&gt;BH$6,$D61&lt;BH$9),"",IF($J61="里程碑","◆",""))</f>
        <v/>
      </c>
      <c r="BI61" s="8" t="str">
        <f>IF(OR($A61="",$C61="",$D61="",$C61&gt;BI$6,$D61&lt;BI$9),"",IF($J61="里程碑","◆",""))</f>
        <v/>
      </c>
      <c r="BJ61" s="8" t="str">
        <f>IF(OR($A61="",$C61="",$D61="",$C61&gt;BJ$6,$D61&lt;BJ$9),"",IF($J61="里程碑","◆",""))</f>
        <v/>
      </c>
      <c r="BK61" s="8" t="str">
        <f>IF(OR($A61="",$C61="",$D61="",$C61&gt;BK$6,$D61&lt;BK$9),"",IF($J61="里程碑","◆",""))</f>
        <v/>
      </c>
      <c r="BL61" s="8" t="str">
        <f>IF(OR($A61="",$C61="",$D61="",$C61&gt;BL$6,$D61&lt;BL$9),"",IF($J61="里程碑","◆",""))</f>
        <v/>
      </c>
      <c r="BM61" s="8" t="str">
        <f>IF(OR($A61="",$C61="",$D61="",$C61&gt;BM$6,$D61&lt;BM$9),"",IF($J61="里程碑","◆",""))</f>
        <v/>
      </c>
      <c r="BN61" s="8" t="str">
        <f>IF(OR($A61="",$C61="",$D61="",$C61&gt;BN$6,$D61&lt;BN$9),"",IF($J61="里程碑","◆",""))</f>
        <v/>
      </c>
      <c r="BO61" s="8" t="str">
        <f>IF(OR($A61="",$C61="",$D61="",$C61&gt;BO$6,$D61&lt;BO$9),"",IF($J61="里程碑","◆",""))</f>
        <v/>
      </c>
      <c r="BP61" s="8" t="str">
        <f>IF(OR($A61="",$C61="",$D61="",$C61&gt;BP$6,$D61&lt;BP$9),"",IF($J61="里程碑","◆",""))</f>
        <v/>
      </c>
      <c r="BQ61" s="8" t="str">
        <f>IF(OR($A61="",$C61="",$D61="",$C61&gt;BQ$6,$D61&lt;BQ$9),"",IF($J61="里程碑","◆",""))</f>
        <v/>
      </c>
      <c r="BR61" s="8" t="str">
        <f>IF(OR($A61="",$C61="",$D61="",$C61&gt;BR$6,$D61&lt;BR$9),"",IF($J61="里程碑","◆",""))</f>
        <v/>
      </c>
      <c r="BS61" s="8" t="str">
        <f>IF(OR($A61="",$C61="",$D61="",$C61&gt;BS$6,$D61&lt;BS$9),"",IF($J61="里程碑","◆",""))</f>
        <v/>
      </c>
      <c r="BT61" s="8" t="str">
        <f>IF(OR($A61="",$C61="",$D61="",$C61&gt;BT$6,$D61&lt;BT$9),"",IF($J61="里程碑","◆",""))</f>
        <v/>
      </c>
      <c r="BU61" s="8" t="str">
        <f>IF(OR($A61="",$C61="",$D61="",$C61&gt;BU$6,$D61&lt;BU$9),"",IF($J61="里程碑","◆",""))</f>
        <v/>
      </c>
      <c r="BV61" s="8" t="str">
        <f>IF(OR($A61="",$C61="",$D61="",$C61&gt;BV$6,$D61&lt;BV$9),"",IF($J61="里程碑","◆",""))</f>
        <v/>
      </c>
      <c r="BW61" s="8" t="str">
        <f>IF(OR($A61="",$C61="",$D61="",$C61&gt;BW$6,$D61&lt;BW$9),"",IF($J61="里程碑","◆",""))</f>
        <v/>
      </c>
      <c r="BX61" s="8" t="str">
        <f>IF(OR($A61="",$C61="",$D61="",$C61&gt;BX$6,$D61&lt;BX$9),"",IF($J61="里程碑","◆",""))</f>
        <v/>
      </c>
      <c r="BY61" s="8" t="str">
        <f>IF(OR($A61="",$C61="",$D61="",$C61&gt;BY$6,$D61&lt;BY$9),"",IF($J61="里程碑","◆",""))</f>
        <v/>
      </c>
      <c r="BZ61" s="8" t="str">
        <f>IF(OR($A61="",$C61="",$D61="",$C61&gt;BZ$6,$D61&lt;BZ$9),"",IF($J61="里程碑","◆",""))</f>
        <v/>
      </c>
      <c r="CA61" s="8" t="str">
        <f>IF(OR($A61="",$C61="",$D61="",$C61&gt;CA$6,$D61&lt;CA$9),"",IF($J61="里程碑","◆",""))</f>
        <v/>
      </c>
      <c r="CB61" s="8" t="str">
        <f>IF(OR($A61="",$C61="",$D61="",$C61&gt;CB$6,$D61&lt;CB$9),"",IF($J61="里程碑","◆",""))</f>
        <v/>
      </c>
      <c r="CC61" s="8" t="str">
        <f>IF(OR($A61="",$C61="",$D61="",$C61&gt;CC$6,$D61&lt;CC$9),"",IF($J61="里程碑","◆",""))</f>
        <v/>
      </c>
      <c r="CD61" s="8" t="str">
        <f>IF(OR($A61="",$C61="",$D61="",$C61&gt;CD$6,$D61&lt;CD$9),"",IF($J61="里程碑","◆",""))</f>
        <v/>
      </c>
      <c r="CE61" s="8" t="str">
        <f>IF(OR($A61="",$C61="",$D61="",$C61&gt;CE$6,$D61&lt;CE$9),"",IF($J61="里程碑","◆",""))</f>
        <v/>
      </c>
      <c r="CF61" s="8" t="str">
        <f>IF(OR($A61="",$C61="",$D61="",$C61&gt;CF$6,$D61&lt;CF$9),"",IF($J61="里程碑","◆",""))</f>
        <v/>
      </c>
      <c r="CG61" s="8" t="str">
        <f>IF(OR($A61="",$C61="",$D61="",$C61&gt;CG$6,$D61&lt;CG$9),"",IF($J61="里程碑","◆",""))</f>
        <v/>
      </c>
      <c r="CH61" s="8" t="str">
        <f>IF(OR($A61="",$C61="",$D61="",$C61&gt;CH$6,$D61&lt;CH$9),"",IF($J61="里程碑","◆",""))</f>
        <v/>
      </c>
      <c r="CI61" s="8" t="str">
        <f>IF(OR($A61="",$C61="",$D61="",$C61&gt;CI$6,$D61&lt;CI$9),"",IF($J61="里程碑","◆",""))</f>
        <v/>
      </c>
      <c r="CJ61" s="8" t="str">
        <f>IF(OR($A61="",$C61="",$D61="",$C61&gt;CJ$6,$D61&lt;CJ$9),"",IF($J61="里程碑","◆",""))</f>
        <v/>
      </c>
      <c r="CK61" s="8" t="str">
        <f>IF(OR($A61="",$C61="",$D61="",$C61&gt;CK$6,$D61&lt;CK$9),"",IF($J61="里程碑","◆",""))</f>
        <v/>
      </c>
      <c r="CL61" s="8" t="str">
        <f>IF(OR($A61="",$C61="",$D61="",$C61&gt;CL$6,$D61&lt;CL$9),"",IF($J61="里程碑","◆",""))</f>
        <v/>
      </c>
      <c r="CM61" s="8" t="str">
        <f>IF(OR($A61="",$C61="",$D61="",$C61&gt;CM$6,$D61&lt;CM$9),"",IF($J61="里程碑","◆",""))</f>
        <v/>
      </c>
      <c r="CN61" s="8" t="str">
        <f>IF(OR($A61="",$C61="",$D61="",$C61&gt;CN$6,$D61&lt;CN$9),"",IF($J61="里程碑","◆",""))</f>
        <v/>
      </c>
      <c r="CO61" s="8" t="str">
        <f>IF(OR($A61="",$C61="",$D61="",$C61&gt;CO$6,$D61&lt;CO$9),"",IF($J61="里程碑","◆",""))</f>
        <v/>
      </c>
      <c r="CP61" s="8" t="str">
        <f>IF(OR($A61="",$C61="",$D61="",$C61&gt;CP$6,$D61&lt;CP$9),"",IF($J61="里程碑","◆",""))</f>
        <v/>
      </c>
      <c r="CQ61" s="8" t="str">
        <f>IF(OR($A61="",$C61="",$D61="",$C61&gt;CQ$6,$D61&lt;CQ$9),"",IF($J61="里程碑","◆",""))</f>
        <v/>
      </c>
      <c r="CR61" s="8" t="str">
        <f>IF(OR($A61="",$C61="",$D61="",$C61&gt;CR$6,$D61&lt;CR$9),"",IF($J61="里程碑","◆",""))</f>
        <v/>
      </c>
      <c r="CS61" s="8" t="str">
        <f>IF(OR($A61="",$C61="",$D61="",$C61&gt;CS$6,$D61&lt;CS$9),"",IF($J61="里程碑","◆",""))</f>
        <v/>
      </c>
      <c r="CT61" s="8" t="str">
        <f>IF(OR($A61="",$C61="",$D61="",$C61&gt;CT$6,$D61&lt;CT$9),"",IF($J61="里程碑","◆",""))</f>
        <v/>
      </c>
      <c r="CU61" s="8" t="str">
        <f>IF(OR($A61="",$C61="",$D61="",$C61&gt;CU$6,$D61&lt;CU$9),"",IF($J61="里程碑","◆",""))</f>
        <v/>
      </c>
      <c r="CV61" s="8" t="str">
        <f>IF(OR($A61="",$C61="",$D61="",$C61&gt;CV$6,$D61&lt;CV$9),"",IF($J61="里程碑","◆",""))</f>
        <v/>
      </c>
      <c r="CW61" s="8" t="str">
        <f>IF(OR($A61="",$C61="",$D61="",$C61&gt;CW$6,$D61&lt;CW$9),"",IF($J61="里程碑","◆",""))</f>
        <v/>
      </c>
      <c r="CX61" s="8" t="str">
        <f>IF(OR($A61="",$C61="",$D61="",$C61&gt;CX$6,$D61&lt;CX$9),"",IF($J61="里程碑","◆",""))</f>
        <v/>
      </c>
      <c r="CY61" s="8" t="str">
        <f>IF(OR($A61="",$C61="",$D61="",$C61&gt;CY$6,$D61&lt;CY$9),"",IF($J61="里程碑","◆",""))</f>
        <v/>
      </c>
      <c r="CZ61" s="8" t="str">
        <f>IF(OR($A61="",$C61="",$D61="",$C61&gt;CZ$6,$D61&lt;CZ$9),"",IF($J61="里程碑","◆",""))</f>
        <v/>
      </c>
      <c r="DA61" s="8" t="str">
        <f>IF(OR($A61="",$C61="",$D61="",$C61&gt;DA$6,$D61&lt;DA$9),"",IF($J61="里程碑","◆",""))</f>
        <v/>
      </c>
      <c r="DB61" s="8" t="str">
        <f>IF(OR($A61="",$C61="",$D61="",$C61&gt;DB$6,$D61&lt;DB$9),"",IF($J61="里程碑","◆",""))</f>
        <v/>
      </c>
      <c r="DC61" s="1" t="str">
        <f>IF(ROW()-9&gt;$DH$3,"",MATCH(ROW()-9,排期计算!$U$10:$U$109,0))</f>
        <v/>
      </c>
      <c r="DD61" s="1" t="str">
        <f>IF($DC61="","",INDEX(排期计算!$L$10:$L$109,$DC61))</f>
        <v/>
      </c>
      <c r="DE61" s="1"/>
      <c r="DF61" s="1"/>
      <c r="DG61" s="1"/>
      <c r="DH61" s="1"/>
      <c r="DI61" s="1"/>
      <c r="DJ61" s="1"/>
      <c r="DK61" s="1"/>
    </row>
    <row r="62" spans="1:115" ht="24.95" customHeight="1">
      <c r="A62" s="9" t="str">
        <f>IF($DC62="","",IF(AND(INDEX(排期计算!$A$10:$A$109,$DC62)="",NOT(ISNUMBER(INDEX(排期计算!$A$10:$A$109,$DC62)))),"",INDEX(排期计算!$A$10:$A$109,$DC62)))</f>
        <v/>
      </c>
      <c r="B62" s="1" t="str">
        <f>IF($DC62="","",REPT("　",$DD62-1)&amp;INDEX(排期计算!$B$10:$B$109,$DC62))</f>
        <v/>
      </c>
      <c r="C62" s="3" t="str">
        <f>IF($DC62="","",IF(AND(INDEX(排期计算!$M$10:$M$109,$DC62)="",NOT(ISNUMBER(INDEX(排期计算!$M$10:$M$109,$DC62)))),"",INDEX(排期计算!$M$10:$M$109,$DC62)))</f>
        <v/>
      </c>
      <c r="D62" s="3" t="str">
        <f>IF($DC62="","",IF(AND(INDEX(排期计算!$N$10:$N$109,$DC62)="",NOT(ISNUMBER(INDEX(排期计算!$N$10:$N$109,$DC62)))),"",INDEX(排期计算!$N$10:$N$109,$DC62)))</f>
        <v/>
      </c>
      <c r="E62" s="1" t="str">
        <f>IF(OR($C62="",$D62=""),"",IF($J62="里程碑",0,NETWORKDAYS($C62,$D62)))</f>
        <v/>
      </c>
      <c r="F62" s="7" t="str">
        <f>IF($DC62="","",IF(AND(INDEX(排期计算!$O$10:$O$109,$DC62)="",NOT(ISNUMBER(INDEX(排期计算!$O$10:$O$109,$DC62)))),"",INDEX(排期计算!$O$10:$O$109,$DC62)))</f>
        <v/>
      </c>
      <c r="G62" s="8" t="str">
        <f>IF($A62="","",IF(OR($C62="",$D62=""),"未排期",IF($F62&gt;=1,"已完成",IF($D62&lt;$B$4,"逾期",IF($C62&gt;$B$4,"未开始","进行中")))))</f>
        <v/>
      </c>
      <c r="H62" s="1" t="str">
        <f>IF($DC62="","",IF(AND(INDEX(排期计算!$C$10:$C$109,$DC62)="",NOT(ISNUMBER(INDEX(排期计算!$C$10:$C$109,$DC62)))),"",INDEX(排期计算!$C$10:$C$109,$DC62)))</f>
        <v/>
      </c>
      <c r="I62" s="1" t="str">
        <f>IF($DC62="","",IF(AND(INDEX(排期计算!$H$10:$H$109,$DC62)="",NOT(ISNUMBER(INDEX(排期计算!$H$10:$H$109,$DC62)))),"",INDEX(排期计算!$H$10:$H$109,$DC62)))</f>
        <v/>
      </c>
      <c r="J62" s="1" t="str">
        <f>IF($DC62="","",IF(AND(INDEX(排期计算!$K$10:$K$109,$DC62)="",NOT(ISNUMBER(INDEX(排期计算!$K$10:$K$109,$DC62)))),"",INDEX(排期计算!$K$10:$K$109,$DC62)))</f>
        <v/>
      </c>
      <c r="K62" s="8" t="str">
        <f>IF(OR($A62="",$C62="",$D62="",$C62&gt;K$6,$D62&lt;K$9),"",IF($J62="里程碑","◆",""))</f>
        <v/>
      </c>
      <c r="L62" s="8" t="str">
        <f>IF(OR($A62="",$C62="",$D62="",$C62&gt;L$6,$D62&lt;L$9),"",IF($J62="里程碑","◆",""))</f>
        <v/>
      </c>
      <c r="M62" s="8" t="str">
        <f>IF(OR($A62="",$C62="",$D62="",$C62&gt;M$6,$D62&lt;M$9),"",IF($J62="里程碑","◆",""))</f>
        <v/>
      </c>
      <c r="N62" s="8" t="str">
        <f>IF(OR($A62="",$C62="",$D62="",$C62&gt;N$6,$D62&lt;N$9),"",IF($J62="里程碑","◆",""))</f>
        <v/>
      </c>
      <c r="O62" s="8" t="str">
        <f>IF(OR($A62="",$C62="",$D62="",$C62&gt;O$6,$D62&lt;O$9),"",IF($J62="里程碑","◆",""))</f>
        <v/>
      </c>
      <c r="P62" s="8" t="str">
        <f>IF(OR($A62="",$C62="",$D62="",$C62&gt;P$6,$D62&lt;P$9),"",IF($J62="里程碑","◆",""))</f>
        <v/>
      </c>
      <c r="Q62" s="8" t="str">
        <f>IF(OR($A62="",$C62="",$D62="",$C62&gt;Q$6,$D62&lt;Q$9),"",IF($J62="里程碑","◆",""))</f>
        <v/>
      </c>
      <c r="R62" s="8" t="str">
        <f>IF(OR($A62="",$C62="",$D62="",$C62&gt;R$6,$D62&lt;R$9),"",IF($J62="里程碑","◆",""))</f>
        <v/>
      </c>
      <c r="S62" s="8" t="str">
        <f>IF(OR($A62="",$C62="",$D62="",$C62&gt;S$6,$D62&lt;S$9),"",IF($J62="里程碑","◆",""))</f>
        <v/>
      </c>
      <c r="T62" s="8" t="str">
        <f>IF(OR($A62="",$C62="",$D62="",$C62&gt;T$6,$D62&lt;T$9),"",IF($J62="里程碑","◆",""))</f>
        <v/>
      </c>
      <c r="U62" s="8" t="str">
        <f>IF(OR($A62="",$C62="",$D62="",$C62&gt;U$6,$D62&lt;U$9),"",IF($J62="里程碑","◆",""))</f>
        <v/>
      </c>
      <c r="V62" s="8" t="str">
        <f>IF(OR($A62="",$C62="",$D62="",$C62&gt;V$6,$D62&lt;V$9),"",IF($J62="里程碑","◆",""))</f>
        <v/>
      </c>
      <c r="W62" s="8" t="str">
        <f>IF(OR($A62="",$C62="",$D62="",$C62&gt;W$6,$D62&lt;W$9),"",IF($J62="里程碑","◆",""))</f>
        <v/>
      </c>
      <c r="X62" s="8" t="str">
        <f>IF(OR($A62="",$C62="",$D62="",$C62&gt;X$6,$D62&lt;X$9),"",IF($J62="里程碑","◆",""))</f>
        <v/>
      </c>
      <c r="Y62" s="8" t="str">
        <f>IF(OR($A62="",$C62="",$D62="",$C62&gt;Y$6,$D62&lt;Y$9),"",IF($J62="里程碑","◆",""))</f>
        <v/>
      </c>
      <c r="Z62" s="8" t="str">
        <f>IF(OR($A62="",$C62="",$D62="",$C62&gt;Z$6,$D62&lt;Z$9),"",IF($J62="里程碑","◆",""))</f>
        <v/>
      </c>
      <c r="AA62" s="8" t="str">
        <f>IF(OR($A62="",$C62="",$D62="",$C62&gt;AA$6,$D62&lt;AA$9),"",IF($J62="里程碑","◆",""))</f>
        <v/>
      </c>
      <c r="AB62" s="8" t="str">
        <f>IF(OR($A62="",$C62="",$D62="",$C62&gt;AB$6,$D62&lt;AB$9),"",IF($J62="里程碑","◆",""))</f>
        <v/>
      </c>
      <c r="AC62" s="8" t="str">
        <f>IF(OR($A62="",$C62="",$D62="",$C62&gt;AC$6,$D62&lt;AC$9),"",IF($J62="里程碑","◆",""))</f>
        <v/>
      </c>
      <c r="AD62" s="8" t="str">
        <f>IF(OR($A62="",$C62="",$D62="",$C62&gt;AD$6,$D62&lt;AD$9),"",IF($J62="里程碑","◆",""))</f>
        <v/>
      </c>
      <c r="AE62" s="8" t="str">
        <f>IF(OR($A62="",$C62="",$D62="",$C62&gt;AE$6,$D62&lt;AE$9),"",IF($J62="里程碑","◆",""))</f>
        <v/>
      </c>
      <c r="AF62" s="8" t="str">
        <f>IF(OR($A62="",$C62="",$D62="",$C62&gt;AF$6,$D62&lt;AF$9),"",IF($J62="里程碑","◆",""))</f>
        <v/>
      </c>
      <c r="AG62" s="8" t="str">
        <f>IF(OR($A62="",$C62="",$D62="",$C62&gt;AG$6,$D62&lt;AG$9),"",IF($J62="里程碑","◆",""))</f>
        <v/>
      </c>
      <c r="AH62" s="8" t="str">
        <f>IF(OR($A62="",$C62="",$D62="",$C62&gt;AH$6,$D62&lt;AH$9),"",IF($J62="里程碑","◆",""))</f>
        <v/>
      </c>
      <c r="AI62" s="8" t="str">
        <f>IF(OR($A62="",$C62="",$D62="",$C62&gt;AI$6,$D62&lt;AI$9),"",IF($J62="里程碑","◆",""))</f>
        <v/>
      </c>
      <c r="AJ62" s="8" t="str">
        <f>IF(OR($A62="",$C62="",$D62="",$C62&gt;AJ$6,$D62&lt;AJ$9),"",IF($J62="里程碑","◆",""))</f>
        <v/>
      </c>
      <c r="AK62" s="8" t="str">
        <f>IF(OR($A62="",$C62="",$D62="",$C62&gt;AK$6,$D62&lt;AK$9),"",IF($J62="里程碑","◆",""))</f>
        <v/>
      </c>
      <c r="AL62" s="8" t="str">
        <f>IF(OR($A62="",$C62="",$D62="",$C62&gt;AL$6,$D62&lt;AL$9),"",IF($J62="里程碑","◆",""))</f>
        <v/>
      </c>
      <c r="AM62" s="8" t="str">
        <f>IF(OR($A62="",$C62="",$D62="",$C62&gt;AM$6,$D62&lt;AM$9),"",IF($J62="里程碑","◆",""))</f>
        <v/>
      </c>
      <c r="AN62" s="8" t="str">
        <f>IF(OR($A62="",$C62="",$D62="",$C62&gt;AN$6,$D62&lt;AN$9),"",IF($J62="里程碑","◆",""))</f>
        <v/>
      </c>
      <c r="AO62" s="8" t="str">
        <f>IF(OR($A62="",$C62="",$D62="",$C62&gt;AO$6,$D62&lt;AO$9),"",IF($J62="里程碑","◆",""))</f>
        <v/>
      </c>
      <c r="AP62" s="8" t="str">
        <f>IF(OR($A62="",$C62="",$D62="",$C62&gt;AP$6,$D62&lt;AP$9),"",IF($J62="里程碑","◆",""))</f>
        <v/>
      </c>
      <c r="AQ62" s="8" t="str">
        <f>IF(OR($A62="",$C62="",$D62="",$C62&gt;AQ$6,$D62&lt;AQ$9),"",IF($J62="里程碑","◆",""))</f>
        <v/>
      </c>
      <c r="AR62" s="8" t="str">
        <f>IF(OR($A62="",$C62="",$D62="",$C62&gt;AR$6,$D62&lt;AR$9),"",IF($J62="里程碑","◆",""))</f>
        <v/>
      </c>
      <c r="AS62" s="8" t="str">
        <f>IF(OR($A62="",$C62="",$D62="",$C62&gt;AS$6,$D62&lt;AS$9),"",IF($J62="里程碑","◆",""))</f>
        <v/>
      </c>
      <c r="AT62" s="8" t="str">
        <f>IF(OR($A62="",$C62="",$D62="",$C62&gt;AT$6,$D62&lt;AT$9),"",IF($J62="里程碑","◆",""))</f>
        <v/>
      </c>
      <c r="AU62" s="8" t="str">
        <f>IF(OR($A62="",$C62="",$D62="",$C62&gt;AU$6,$D62&lt;AU$9),"",IF($J62="里程碑","◆",""))</f>
        <v/>
      </c>
      <c r="AV62" s="8" t="str">
        <f>IF(OR($A62="",$C62="",$D62="",$C62&gt;AV$6,$D62&lt;AV$9),"",IF($J62="里程碑","◆",""))</f>
        <v/>
      </c>
      <c r="AW62" s="8" t="str">
        <f>IF(OR($A62="",$C62="",$D62="",$C62&gt;AW$6,$D62&lt;AW$9),"",IF($J62="里程碑","◆",""))</f>
        <v/>
      </c>
      <c r="AX62" s="8" t="str">
        <f>IF(OR($A62="",$C62="",$D62="",$C62&gt;AX$6,$D62&lt;AX$9),"",IF($J62="里程碑","◆",""))</f>
        <v/>
      </c>
      <c r="AY62" s="8" t="str">
        <f>IF(OR($A62="",$C62="",$D62="",$C62&gt;AY$6,$D62&lt;AY$9),"",IF($J62="里程碑","◆",""))</f>
        <v/>
      </c>
      <c r="AZ62" s="8" t="str">
        <f>IF(OR($A62="",$C62="",$D62="",$C62&gt;AZ$6,$D62&lt;AZ$9),"",IF($J62="里程碑","◆",""))</f>
        <v/>
      </c>
      <c r="BA62" s="8" t="str">
        <f>IF(OR($A62="",$C62="",$D62="",$C62&gt;BA$6,$D62&lt;BA$9),"",IF($J62="里程碑","◆",""))</f>
        <v/>
      </c>
      <c r="BB62" s="8" t="str">
        <f>IF(OR($A62="",$C62="",$D62="",$C62&gt;BB$6,$D62&lt;BB$9),"",IF($J62="里程碑","◆",""))</f>
        <v/>
      </c>
      <c r="BC62" s="8" t="str">
        <f>IF(OR($A62="",$C62="",$D62="",$C62&gt;BC$6,$D62&lt;BC$9),"",IF($J62="里程碑","◆",""))</f>
        <v/>
      </c>
      <c r="BD62" s="8" t="str">
        <f>IF(OR($A62="",$C62="",$D62="",$C62&gt;BD$6,$D62&lt;BD$9),"",IF($J62="里程碑","◆",""))</f>
        <v/>
      </c>
      <c r="BE62" s="8" t="str">
        <f>IF(OR($A62="",$C62="",$D62="",$C62&gt;BE$6,$D62&lt;BE$9),"",IF($J62="里程碑","◆",""))</f>
        <v/>
      </c>
      <c r="BF62" s="8" t="str">
        <f>IF(OR($A62="",$C62="",$D62="",$C62&gt;BF$6,$D62&lt;BF$9),"",IF($J62="里程碑","◆",""))</f>
        <v/>
      </c>
      <c r="BG62" s="8" t="str">
        <f>IF(OR($A62="",$C62="",$D62="",$C62&gt;BG$6,$D62&lt;BG$9),"",IF($J62="里程碑","◆",""))</f>
        <v/>
      </c>
      <c r="BH62" s="8" t="str">
        <f>IF(OR($A62="",$C62="",$D62="",$C62&gt;BH$6,$D62&lt;BH$9),"",IF($J62="里程碑","◆",""))</f>
        <v/>
      </c>
      <c r="BI62" s="8" t="str">
        <f>IF(OR($A62="",$C62="",$D62="",$C62&gt;BI$6,$D62&lt;BI$9),"",IF($J62="里程碑","◆",""))</f>
        <v/>
      </c>
      <c r="BJ62" s="8" t="str">
        <f>IF(OR($A62="",$C62="",$D62="",$C62&gt;BJ$6,$D62&lt;BJ$9),"",IF($J62="里程碑","◆",""))</f>
        <v/>
      </c>
      <c r="BK62" s="8" t="str">
        <f>IF(OR($A62="",$C62="",$D62="",$C62&gt;BK$6,$D62&lt;BK$9),"",IF($J62="里程碑","◆",""))</f>
        <v/>
      </c>
      <c r="BL62" s="8" t="str">
        <f>IF(OR($A62="",$C62="",$D62="",$C62&gt;BL$6,$D62&lt;BL$9),"",IF($J62="里程碑","◆",""))</f>
        <v/>
      </c>
      <c r="BM62" s="8" t="str">
        <f>IF(OR($A62="",$C62="",$D62="",$C62&gt;BM$6,$D62&lt;BM$9),"",IF($J62="里程碑","◆",""))</f>
        <v/>
      </c>
      <c r="BN62" s="8" t="str">
        <f>IF(OR($A62="",$C62="",$D62="",$C62&gt;BN$6,$D62&lt;BN$9),"",IF($J62="里程碑","◆",""))</f>
        <v/>
      </c>
      <c r="BO62" s="8" t="str">
        <f>IF(OR($A62="",$C62="",$D62="",$C62&gt;BO$6,$D62&lt;BO$9),"",IF($J62="里程碑","◆",""))</f>
        <v/>
      </c>
      <c r="BP62" s="8" t="str">
        <f>IF(OR($A62="",$C62="",$D62="",$C62&gt;BP$6,$D62&lt;BP$9),"",IF($J62="里程碑","◆",""))</f>
        <v/>
      </c>
      <c r="BQ62" s="8" t="str">
        <f>IF(OR($A62="",$C62="",$D62="",$C62&gt;BQ$6,$D62&lt;BQ$9),"",IF($J62="里程碑","◆",""))</f>
        <v/>
      </c>
      <c r="BR62" s="8" t="str">
        <f>IF(OR($A62="",$C62="",$D62="",$C62&gt;BR$6,$D62&lt;BR$9),"",IF($J62="里程碑","◆",""))</f>
        <v/>
      </c>
      <c r="BS62" s="8" t="str">
        <f>IF(OR($A62="",$C62="",$D62="",$C62&gt;BS$6,$D62&lt;BS$9),"",IF($J62="里程碑","◆",""))</f>
        <v/>
      </c>
      <c r="BT62" s="8" t="str">
        <f>IF(OR($A62="",$C62="",$D62="",$C62&gt;BT$6,$D62&lt;BT$9),"",IF($J62="里程碑","◆",""))</f>
        <v/>
      </c>
      <c r="BU62" s="8" t="str">
        <f>IF(OR($A62="",$C62="",$D62="",$C62&gt;BU$6,$D62&lt;BU$9),"",IF($J62="里程碑","◆",""))</f>
        <v/>
      </c>
      <c r="BV62" s="8" t="str">
        <f>IF(OR($A62="",$C62="",$D62="",$C62&gt;BV$6,$D62&lt;BV$9),"",IF($J62="里程碑","◆",""))</f>
        <v/>
      </c>
      <c r="BW62" s="8" t="str">
        <f>IF(OR($A62="",$C62="",$D62="",$C62&gt;BW$6,$D62&lt;BW$9),"",IF($J62="里程碑","◆",""))</f>
        <v/>
      </c>
      <c r="BX62" s="8" t="str">
        <f>IF(OR($A62="",$C62="",$D62="",$C62&gt;BX$6,$D62&lt;BX$9),"",IF($J62="里程碑","◆",""))</f>
        <v/>
      </c>
      <c r="BY62" s="8" t="str">
        <f>IF(OR($A62="",$C62="",$D62="",$C62&gt;BY$6,$D62&lt;BY$9),"",IF($J62="里程碑","◆",""))</f>
        <v/>
      </c>
      <c r="BZ62" s="8" t="str">
        <f>IF(OR($A62="",$C62="",$D62="",$C62&gt;BZ$6,$D62&lt;BZ$9),"",IF($J62="里程碑","◆",""))</f>
        <v/>
      </c>
      <c r="CA62" s="8" t="str">
        <f>IF(OR($A62="",$C62="",$D62="",$C62&gt;CA$6,$D62&lt;CA$9),"",IF($J62="里程碑","◆",""))</f>
        <v/>
      </c>
      <c r="CB62" s="8" t="str">
        <f>IF(OR($A62="",$C62="",$D62="",$C62&gt;CB$6,$D62&lt;CB$9),"",IF($J62="里程碑","◆",""))</f>
        <v/>
      </c>
      <c r="CC62" s="8" t="str">
        <f>IF(OR($A62="",$C62="",$D62="",$C62&gt;CC$6,$D62&lt;CC$9),"",IF($J62="里程碑","◆",""))</f>
        <v/>
      </c>
      <c r="CD62" s="8" t="str">
        <f>IF(OR($A62="",$C62="",$D62="",$C62&gt;CD$6,$D62&lt;CD$9),"",IF($J62="里程碑","◆",""))</f>
        <v/>
      </c>
      <c r="CE62" s="8" t="str">
        <f>IF(OR($A62="",$C62="",$D62="",$C62&gt;CE$6,$D62&lt;CE$9),"",IF($J62="里程碑","◆",""))</f>
        <v/>
      </c>
      <c r="CF62" s="8" t="str">
        <f>IF(OR($A62="",$C62="",$D62="",$C62&gt;CF$6,$D62&lt;CF$9),"",IF($J62="里程碑","◆",""))</f>
        <v/>
      </c>
      <c r="CG62" s="8" t="str">
        <f>IF(OR($A62="",$C62="",$D62="",$C62&gt;CG$6,$D62&lt;CG$9),"",IF($J62="里程碑","◆",""))</f>
        <v/>
      </c>
      <c r="CH62" s="8" t="str">
        <f>IF(OR($A62="",$C62="",$D62="",$C62&gt;CH$6,$D62&lt;CH$9),"",IF($J62="里程碑","◆",""))</f>
        <v/>
      </c>
      <c r="CI62" s="8" t="str">
        <f>IF(OR($A62="",$C62="",$D62="",$C62&gt;CI$6,$D62&lt;CI$9),"",IF($J62="里程碑","◆",""))</f>
        <v/>
      </c>
      <c r="CJ62" s="8" t="str">
        <f>IF(OR($A62="",$C62="",$D62="",$C62&gt;CJ$6,$D62&lt;CJ$9),"",IF($J62="里程碑","◆",""))</f>
        <v/>
      </c>
      <c r="CK62" s="8" t="str">
        <f>IF(OR($A62="",$C62="",$D62="",$C62&gt;CK$6,$D62&lt;CK$9),"",IF($J62="里程碑","◆",""))</f>
        <v/>
      </c>
      <c r="CL62" s="8" t="str">
        <f>IF(OR($A62="",$C62="",$D62="",$C62&gt;CL$6,$D62&lt;CL$9),"",IF($J62="里程碑","◆",""))</f>
        <v/>
      </c>
      <c r="CM62" s="8" t="str">
        <f>IF(OR($A62="",$C62="",$D62="",$C62&gt;CM$6,$D62&lt;CM$9),"",IF($J62="里程碑","◆",""))</f>
        <v/>
      </c>
      <c r="CN62" s="8" t="str">
        <f>IF(OR($A62="",$C62="",$D62="",$C62&gt;CN$6,$D62&lt;CN$9),"",IF($J62="里程碑","◆",""))</f>
        <v/>
      </c>
      <c r="CO62" s="8" t="str">
        <f>IF(OR($A62="",$C62="",$D62="",$C62&gt;CO$6,$D62&lt;CO$9),"",IF($J62="里程碑","◆",""))</f>
        <v/>
      </c>
      <c r="CP62" s="8" t="str">
        <f>IF(OR($A62="",$C62="",$D62="",$C62&gt;CP$6,$D62&lt;CP$9),"",IF($J62="里程碑","◆",""))</f>
        <v/>
      </c>
      <c r="CQ62" s="8" t="str">
        <f>IF(OR($A62="",$C62="",$D62="",$C62&gt;CQ$6,$D62&lt;CQ$9),"",IF($J62="里程碑","◆",""))</f>
        <v/>
      </c>
      <c r="CR62" s="8" t="str">
        <f>IF(OR($A62="",$C62="",$D62="",$C62&gt;CR$6,$D62&lt;CR$9),"",IF($J62="里程碑","◆",""))</f>
        <v/>
      </c>
      <c r="CS62" s="8" t="str">
        <f>IF(OR($A62="",$C62="",$D62="",$C62&gt;CS$6,$D62&lt;CS$9),"",IF($J62="里程碑","◆",""))</f>
        <v/>
      </c>
      <c r="CT62" s="8" t="str">
        <f>IF(OR($A62="",$C62="",$D62="",$C62&gt;CT$6,$D62&lt;CT$9),"",IF($J62="里程碑","◆",""))</f>
        <v/>
      </c>
      <c r="CU62" s="8" t="str">
        <f>IF(OR($A62="",$C62="",$D62="",$C62&gt;CU$6,$D62&lt;CU$9),"",IF($J62="里程碑","◆",""))</f>
        <v/>
      </c>
      <c r="CV62" s="8" t="str">
        <f>IF(OR($A62="",$C62="",$D62="",$C62&gt;CV$6,$D62&lt;CV$9),"",IF($J62="里程碑","◆",""))</f>
        <v/>
      </c>
      <c r="CW62" s="8" t="str">
        <f>IF(OR($A62="",$C62="",$D62="",$C62&gt;CW$6,$D62&lt;CW$9),"",IF($J62="里程碑","◆",""))</f>
        <v/>
      </c>
      <c r="CX62" s="8" t="str">
        <f>IF(OR($A62="",$C62="",$D62="",$C62&gt;CX$6,$D62&lt;CX$9),"",IF($J62="里程碑","◆",""))</f>
        <v/>
      </c>
      <c r="CY62" s="8" t="str">
        <f>IF(OR($A62="",$C62="",$D62="",$C62&gt;CY$6,$D62&lt;CY$9),"",IF($J62="里程碑","◆",""))</f>
        <v/>
      </c>
      <c r="CZ62" s="8" t="str">
        <f>IF(OR($A62="",$C62="",$D62="",$C62&gt;CZ$6,$D62&lt;CZ$9),"",IF($J62="里程碑","◆",""))</f>
        <v/>
      </c>
      <c r="DA62" s="8" t="str">
        <f>IF(OR($A62="",$C62="",$D62="",$C62&gt;DA$6,$D62&lt;DA$9),"",IF($J62="里程碑","◆",""))</f>
        <v/>
      </c>
      <c r="DB62" s="8" t="str">
        <f>IF(OR($A62="",$C62="",$D62="",$C62&gt;DB$6,$D62&lt;DB$9),"",IF($J62="里程碑","◆",""))</f>
        <v/>
      </c>
      <c r="DC62" s="1" t="str">
        <f>IF(ROW()-9&gt;$DH$3,"",MATCH(ROW()-9,排期计算!$U$10:$U$109,0))</f>
        <v/>
      </c>
      <c r="DD62" s="1" t="str">
        <f>IF($DC62="","",INDEX(排期计算!$L$10:$L$109,$DC62))</f>
        <v/>
      </c>
      <c r="DE62" s="1"/>
      <c r="DF62" s="1"/>
      <c r="DG62" s="1"/>
      <c r="DH62" s="1"/>
      <c r="DI62" s="1"/>
      <c r="DJ62" s="1"/>
      <c r="DK62" s="1"/>
    </row>
    <row r="63" spans="1:115" ht="24.95" customHeight="1">
      <c r="A63" s="9" t="str">
        <f>IF($DC63="","",IF(AND(INDEX(排期计算!$A$10:$A$109,$DC63)="",NOT(ISNUMBER(INDEX(排期计算!$A$10:$A$109,$DC63)))),"",INDEX(排期计算!$A$10:$A$109,$DC63)))</f>
        <v/>
      </c>
      <c r="B63" s="1" t="str">
        <f>IF($DC63="","",REPT("　",$DD63-1)&amp;INDEX(排期计算!$B$10:$B$109,$DC63))</f>
        <v/>
      </c>
      <c r="C63" s="3" t="str">
        <f>IF($DC63="","",IF(AND(INDEX(排期计算!$M$10:$M$109,$DC63)="",NOT(ISNUMBER(INDEX(排期计算!$M$10:$M$109,$DC63)))),"",INDEX(排期计算!$M$10:$M$109,$DC63)))</f>
        <v/>
      </c>
      <c r="D63" s="3" t="str">
        <f>IF($DC63="","",IF(AND(INDEX(排期计算!$N$10:$N$109,$DC63)="",NOT(ISNUMBER(INDEX(排期计算!$N$10:$N$109,$DC63)))),"",INDEX(排期计算!$N$10:$N$109,$DC63)))</f>
        <v/>
      </c>
      <c r="E63" s="1" t="str">
        <f>IF(OR($C63="",$D63=""),"",IF($J63="里程碑",0,NETWORKDAYS($C63,$D63)))</f>
        <v/>
      </c>
      <c r="F63" s="7" t="str">
        <f>IF($DC63="","",IF(AND(INDEX(排期计算!$O$10:$O$109,$DC63)="",NOT(ISNUMBER(INDEX(排期计算!$O$10:$O$109,$DC63)))),"",INDEX(排期计算!$O$10:$O$109,$DC63)))</f>
        <v/>
      </c>
      <c r="G63" s="8" t="str">
        <f>IF($A63="","",IF(OR($C63="",$D63=""),"未排期",IF($F63&gt;=1,"已完成",IF($D63&lt;$B$4,"逾期",IF($C63&gt;$B$4,"未开始","进行中")))))</f>
        <v/>
      </c>
      <c r="H63" s="1" t="str">
        <f>IF($DC63="","",IF(AND(INDEX(排期计算!$C$10:$C$109,$DC63)="",NOT(ISNUMBER(INDEX(排期计算!$C$10:$C$109,$DC63)))),"",INDEX(排期计算!$C$10:$C$109,$DC63)))</f>
        <v/>
      </c>
      <c r="I63" s="1" t="str">
        <f>IF($DC63="","",IF(AND(INDEX(排期计算!$H$10:$H$109,$DC63)="",NOT(ISNUMBER(INDEX(排期计算!$H$10:$H$109,$DC63)))),"",INDEX(排期计算!$H$10:$H$109,$DC63)))</f>
        <v/>
      </c>
      <c r="J63" s="1" t="str">
        <f>IF($DC63="","",IF(AND(INDEX(排期计算!$K$10:$K$109,$DC63)="",NOT(ISNUMBER(INDEX(排期计算!$K$10:$K$109,$DC63)))),"",INDEX(排期计算!$K$10:$K$109,$DC63)))</f>
        <v/>
      </c>
      <c r="K63" s="8" t="str">
        <f>IF(OR($A63="",$C63="",$D63="",$C63&gt;K$6,$D63&lt;K$9),"",IF($J63="里程碑","◆",""))</f>
        <v/>
      </c>
      <c r="L63" s="8" t="str">
        <f>IF(OR($A63="",$C63="",$D63="",$C63&gt;L$6,$D63&lt;L$9),"",IF($J63="里程碑","◆",""))</f>
        <v/>
      </c>
      <c r="M63" s="8" t="str">
        <f>IF(OR($A63="",$C63="",$D63="",$C63&gt;M$6,$D63&lt;M$9),"",IF($J63="里程碑","◆",""))</f>
        <v/>
      </c>
      <c r="N63" s="8" t="str">
        <f>IF(OR($A63="",$C63="",$D63="",$C63&gt;N$6,$D63&lt;N$9),"",IF($J63="里程碑","◆",""))</f>
        <v/>
      </c>
      <c r="O63" s="8" t="str">
        <f>IF(OR($A63="",$C63="",$D63="",$C63&gt;O$6,$D63&lt;O$9),"",IF($J63="里程碑","◆",""))</f>
        <v/>
      </c>
      <c r="P63" s="8" t="str">
        <f>IF(OR($A63="",$C63="",$D63="",$C63&gt;P$6,$D63&lt;P$9),"",IF($J63="里程碑","◆",""))</f>
        <v/>
      </c>
      <c r="Q63" s="8" t="str">
        <f>IF(OR($A63="",$C63="",$D63="",$C63&gt;Q$6,$D63&lt;Q$9),"",IF($J63="里程碑","◆",""))</f>
        <v/>
      </c>
      <c r="R63" s="8" t="str">
        <f>IF(OR($A63="",$C63="",$D63="",$C63&gt;R$6,$D63&lt;R$9),"",IF($J63="里程碑","◆",""))</f>
        <v/>
      </c>
      <c r="S63" s="8" t="str">
        <f>IF(OR($A63="",$C63="",$D63="",$C63&gt;S$6,$D63&lt;S$9),"",IF($J63="里程碑","◆",""))</f>
        <v/>
      </c>
      <c r="T63" s="8" t="str">
        <f>IF(OR($A63="",$C63="",$D63="",$C63&gt;T$6,$D63&lt;T$9),"",IF($J63="里程碑","◆",""))</f>
        <v/>
      </c>
      <c r="U63" s="8" t="str">
        <f>IF(OR($A63="",$C63="",$D63="",$C63&gt;U$6,$D63&lt;U$9),"",IF($J63="里程碑","◆",""))</f>
        <v/>
      </c>
      <c r="V63" s="8" t="str">
        <f>IF(OR($A63="",$C63="",$D63="",$C63&gt;V$6,$D63&lt;V$9),"",IF($J63="里程碑","◆",""))</f>
        <v/>
      </c>
      <c r="W63" s="8" t="str">
        <f>IF(OR($A63="",$C63="",$D63="",$C63&gt;W$6,$D63&lt;W$9),"",IF($J63="里程碑","◆",""))</f>
        <v/>
      </c>
      <c r="X63" s="8" t="str">
        <f>IF(OR($A63="",$C63="",$D63="",$C63&gt;X$6,$D63&lt;X$9),"",IF($J63="里程碑","◆",""))</f>
        <v/>
      </c>
      <c r="Y63" s="8" t="str">
        <f>IF(OR($A63="",$C63="",$D63="",$C63&gt;Y$6,$D63&lt;Y$9),"",IF($J63="里程碑","◆",""))</f>
        <v/>
      </c>
      <c r="Z63" s="8" t="str">
        <f>IF(OR($A63="",$C63="",$D63="",$C63&gt;Z$6,$D63&lt;Z$9),"",IF($J63="里程碑","◆",""))</f>
        <v/>
      </c>
      <c r="AA63" s="8" t="str">
        <f>IF(OR($A63="",$C63="",$D63="",$C63&gt;AA$6,$D63&lt;AA$9),"",IF($J63="里程碑","◆",""))</f>
        <v/>
      </c>
      <c r="AB63" s="8" t="str">
        <f>IF(OR($A63="",$C63="",$D63="",$C63&gt;AB$6,$D63&lt;AB$9),"",IF($J63="里程碑","◆",""))</f>
        <v/>
      </c>
      <c r="AC63" s="8" t="str">
        <f>IF(OR($A63="",$C63="",$D63="",$C63&gt;AC$6,$D63&lt;AC$9),"",IF($J63="里程碑","◆",""))</f>
        <v/>
      </c>
      <c r="AD63" s="8" t="str">
        <f>IF(OR($A63="",$C63="",$D63="",$C63&gt;AD$6,$D63&lt;AD$9),"",IF($J63="里程碑","◆",""))</f>
        <v/>
      </c>
      <c r="AE63" s="8" t="str">
        <f>IF(OR($A63="",$C63="",$D63="",$C63&gt;AE$6,$D63&lt;AE$9),"",IF($J63="里程碑","◆",""))</f>
        <v/>
      </c>
      <c r="AF63" s="8" t="str">
        <f>IF(OR($A63="",$C63="",$D63="",$C63&gt;AF$6,$D63&lt;AF$9),"",IF($J63="里程碑","◆",""))</f>
        <v/>
      </c>
      <c r="AG63" s="8" t="str">
        <f>IF(OR($A63="",$C63="",$D63="",$C63&gt;AG$6,$D63&lt;AG$9),"",IF($J63="里程碑","◆",""))</f>
        <v/>
      </c>
      <c r="AH63" s="8" t="str">
        <f>IF(OR($A63="",$C63="",$D63="",$C63&gt;AH$6,$D63&lt;AH$9),"",IF($J63="里程碑","◆",""))</f>
        <v/>
      </c>
      <c r="AI63" s="8" t="str">
        <f>IF(OR($A63="",$C63="",$D63="",$C63&gt;AI$6,$D63&lt;AI$9),"",IF($J63="里程碑","◆",""))</f>
        <v/>
      </c>
      <c r="AJ63" s="8" t="str">
        <f>IF(OR($A63="",$C63="",$D63="",$C63&gt;AJ$6,$D63&lt;AJ$9),"",IF($J63="里程碑","◆",""))</f>
        <v/>
      </c>
      <c r="AK63" s="8" t="str">
        <f>IF(OR($A63="",$C63="",$D63="",$C63&gt;AK$6,$D63&lt;AK$9),"",IF($J63="里程碑","◆",""))</f>
        <v/>
      </c>
      <c r="AL63" s="8" t="str">
        <f>IF(OR($A63="",$C63="",$D63="",$C63&gt;AL$6,$D63&lt;AL$9),"",IF($J63="里程碑","◆",""))</f>
        <v/>
      </c>
      <c r="AM63" s="8" t="str">
        <f>IF(OR($A63="",$C63="",$D63="",$C63&gt;AM$6,$D63&lt;AM$9),"",IF($J63="里程碑","◆",""))</f>
        <v/>
      </c>
      <c r="AN63" s="8" t="str">
        <f>IF(OR($A63="",$C63="",$D63="",$C63&gt;AN$6,$D63&lt;AN$9),"",IF($J63="里程碑","◆",""))</f>
        <v/>
      </c>
      <c r="AO63" s="8" t="str">
        <f>IF(OR($A63="",$C63="",$D63="",$C63&gt;AO$6,$D63&lt;AO$9),"",IF($J63="里程碑","◆",""))</f>
        <v/>
      </c>
      <c r="AP63" s="8" t="str">
        <f>IF(OR($A63="",$C63="",$D63="",$C63&gt;AP$6,$D63&lt;AP$9),"",IF($J63="里程碑","◆",""))</f>
        <v/>
      </c>
      <c r="AQ63" s="8" t="str">
        <f>IF(OR($A63="",$C63="",$D63="",$C63&gt;AQ$6,$D63&lt;AQ$9),"",IF($J63="里程碑","◆",""))</f>
        <v/>
      </c>
      <c r="AR63" s="8" t="str">
        <f>IF(OR($A63="",$C63="",$D63="",$C63&gt;AR$6,$D63&lt;AR$9),"",IF($J63="里程碑","◆",""))</f>
        <v/>
      </c>
      <c r="AS63" s="8" t="str">
        <f>IF(OR($A63="",$C63="",$D63="",$C63&gt;AS$6,$D63&lt;AS$9),"",IF($J63="里程碑","◆",""))</f>
        <v/>
      </c>
      <c r="AT63" s="8" t="str">
        <f>IF(OR($A63="",$C63="",$D63="",$C63&gt;AT$6,$D63&lt;AT$9),"",IF($J63="里程碑","◆",""))</f>
        <v/>
      </c>
      <c r="AU63" s="8" t="str">
        <f>IF(OR($A63="",$C63="",$D63="",$C63&gt;AU$6,$D63&lt;AU$9),"",IF($J63="里程碑","◆",""))</f>
        <v/>
      </c>
      <c r="AV63" s="8" t="str">
        <f>IF(OR($A63="",$C63="",$D63="",$C63&gt;AV$6,$D63&lt;AV$9),"",IF($J63="里程碑","◆",""))</f>
        <v/>
      </c>
      <c r="AW63" s="8" t="str">
        <f>IF(OR($A63="",$C63="",$D63="",$C63&gt;AW$6,$D63&lt;AW$9),"",IF($J63="里程碑","◆",""))</f>
        <v/>
      </c>
      <c r="AX63" s="8" t="str">
        <f>IF(OR($A63="",$C63="",$D63="",$C63&gt;AX$6,$D63&lt;AX$9),"",IF($J63="里程碑","◆",""))</f>
        <v/>
      </c>
      <c r="AY63" s="8" t="str">
        <f>IF(OR($A63="",$C63="",$D63="",$C63&gt;AY$6,$D63&lt;AY$9),"",IF($J63="里程碑","◆",""))</f>
        <v/>
      </c>
      <c r="AZ63" s="8" t="str">
        <f>IF(OR($A63="",$C63="",$D63="",$C63&gt;AZ$6,$D63&lt;AZ$9),"",IF($J63="里程碑","◆",""))</f>
        <v/>
      </c>
      <c r="BA63" s="8" t="str">
        <f>IF(OR($A63="",$C63="",$D63="",$C63&gt;BA$6,$D63&lt;BA$9),"",IF($J63="里程碑","◆",""))</f>
        <v/>
      </c>
      <c r="BB63" s="8" t="str">
        <f>IF(OR($A63="",$C63="",$D63="",$C63&gt;BB$6,$D63&lt;BB$9),"",IF($J63="里程碑","◆",""))</f>
        <v/>
      </c>
      <c r="BC63" s="8" t="str">
        <f>IF(OR($A63="",$C63="",$D63="",$C63&gt;BC$6,$D63&lt;BC$9),"",IF($J63="里程碑","◆",""))</f>
        <v/>
      </c>
      <c r="BD63" s="8" t="str">
        <f>IF(OR($A63="",$C63="",$D63="",$C63&gt;BD$6,$D63&lt;BD$9),"",IF($J63="里程碑","◆",""))</f>
        <v/>
      </c>
      <c r="BE63" s="8" t="str">
        <f>IF(OR($A63="",$C63="",$D63="",$C63&gt;BE$6,$D63&lt;BE$9),"",IF($J63="里程碑","◆",""))</f>
        <v/>
      </c>
      <c r="BF63" s="8" t="str">
        <f>IF(OR($A63="",$C63="",$D63="",$C63&gt;BF$6,$D63&lt;BF$9),"",IF($J63="里程碑","◆",""))</f>
        <v/>
      </c>
      <c r="BG63" s="8" t="str">
        <f>IF(OR($A63="",$C63="",$D63="",$C63&gt;BG$6,$D63&lt;BG$9),"",IF($J63="里程碑","◆",""))</f>
        <v/>
      </c>
      <c r="BH63" s="8" t="str">
        <f>IF(OR($A63="",$C63="",$D63="",$C63&gt;BH$6,$D63&lt;BH$9),"",IF($J63="里程碑","◆",""))</f>
        <v/>
      </c>
      <c r="BI63" s="8" t="str">
        <f>IF(OR($A63="",$C63="",$D63="",$C63&gt;BI$6,$D63&lt;BI$9),"",IF($J63="里程碑","◆",""))</f>
        <v/>
      </c>
      <c r="BJ63" s="8" t="str">
        <f>IF(OR($A63="",$C63="",$D63="",$C63&gt;BJ$6,$D63&lt;BJ$9),"",IF($J63="里程碑","◆",""))</f>
        <v/>
      </c>
      <c r="BK63" s="8" t="str">
        <f>IF(OR($A63="",$C63="",$D63="",$C63&gt;BK$6,$D63&lt;BK$9),"",IF($J63="里程碑","◆",""))</f>
        <v/>
      </c>
      <c r="BL63" s="8" t="str">
        <f>IF(OR($A63="",$C63="",$D63="",$C63&gt;BL$6,$D63&lt;BL$9),"",IF($J63="里程碑","◆",""))</f>
        <v/>
      </c>
      <c r="BM63" s="8" t="str">
        <f>IF(OR($A63="",$C63="",$D63="",$C63&gt;BM$6,$D63&lt;BM$9),"",IF($J63="里程碑","◆",""))</f>
        <v/>
      </c>
      <c r="BN63" s="8" t="str">
        <f>IF(OR($A63="",$C63="",$D63="",$C63&gt;BN$6,$D63&lt;BN$9),"",IF($J63="里程碑","◆",""))</f>
        <v/>
      </c>
      <c r="BO63" s="8" t="str">
        <f>IF(OR($A63="",$C63="",$D63="",$C63&gt;BO$6,$D63&lt;BO$9),"",IF($J63="里程碑","◆",""))</f>
        <v/>
      </c>
      <c r="BP63" s="8" t="str">
        <f>IF(OR($A63="",$C63="",$D63="",$C63&gt;BP$6,$D63&lt;BP$9),"",IF($J63="里程碑","◆",""))</f>
        <v/>
      </c>
      <c r="BQ63" s="8" t="str">
        <f>IF(OR($A63="",$C63="",$D63="",$C63&gt;BQ$6,$D63&lt;BQ$9),"",IF($J63="里程碑","◆",""))</f>
        <v/>
      </c>
      <c r="BR63" s="8" t="str">
        <f>IF(OR($A63="",$C63="",$D63="",$C63&gt;BR$6,$D63&lt;BR$9),"",IF($J63="里程碑","◆",""))</f>
        <v/>
      </c>
      <c r="BS63" s="8" t="str">
        <f>IF(OR($A63="",$C63="",$D63="",$C63&gt;BS$6,$D63&lt;BS$9),"",IF($J63="里程碑","◆",""))</f>
        <v/>
      </c>
      <c r="BT63" s="8" t="str">
        <f>IF(OR($A63="",$C63="",$D63="",$C63&gt;BT$6,$D63&lt;BT$9),"",IF($J63="里程碑","◆",""))</f>
        <v/>
      </c>
      <c r="BU63" s="8" t="str">
        <f>IF(OR($A63="",$C63="",$D63="",$C63&gt;BU$6,$D63&lt;BU$9),"",IF($J63="里程碑","◆",""))</f>
        <v/>
      </c>
      <c r="BV63" s="8" t="str">
        <f>IF(OR($A63="",$C63="",$D63="",$C63&gt;BV$6,$D63&lt;BV$9),"",IF($J63="里程碑","◆",""))</f>
        <v/>
      </c>
      <c r="BW63" s="8" t="str">
        <f>IF(OR($A63="",$C63="",$D63="",$C63&gt;BW$6,$D63&lt;BW$9),"",IF($J63="里程碑","◆",""))</f>
        <v/>
      </c>
      <c r="BX63" s="8" t="str">
        <f>IF(OR($A63="",$C63="",$D63="",$C63&gt;BX$6,$D63&lt;BX$9),"",IF($J63="里程碑","◆",""))</f>
        <v/>
      </c>
      <c r="BY63" s="8" t="str">
        <f>IF(OR($A63="",$C63="",$D63="",$C63&gt;BY$6,$D63&lt;BY$9),"",IF($J63="里程碑","◆",""))</f>
        <v/>
      </c>
      <c r="BZ63" s="8" t="str">
        <f>IF(OR($A63="",$C63="",$D63="",$C63&gt;BZ$6,$D63&lt;BZ$9),"",IF($J63="里程碑","◆",""))</f>
        <v/>
      </c>
      <c r="CA63" s="8" t="str">
        <f>IF(OR($A63="",$C63="",$D63="",$C63&gt;CA$6,$D63&lt;CA$9),"",IF($J63="里程碑","◆",""))</f>
        <v/>
      </c>
      <c r="CB63" s="8" t="str">
        <f>IF(OR($A63="",$C63="",$D63="",$C63&gt;CB$6,$D63&lt;CB$9),"",IF($J63="里程碑","◆",""))</f>
        <v/>
      </c>
      <c r="CC63" s="8" t="str">
        <f>IF(OR($A63="",$C63="",$D63="",$C63&gt;CC$6,$D63&lt;CC$9),"",IF($J63="里程碑","◆",""))</f>
        <v/>
      </c>
      <c r="CD63" s="8" t="str">
        <f>IF(OR($A63="",$C63="",$D63="",$C63&gt;CD$6,$D63&lt;CD$9),"",IF($J63="里程碑","◆",""))</f>
        <v/>
      </c>
      <c r="CE63" s="8" t="str">
        <f>IF(OR($A63="",$C63="",$D63="",$C63&gt;CE$6,$D63&lt;CE$9),"",IF($J63="里程碑","◆",""))</f>
        <v/>
      </c>
      <c r="CF63" s="8" t="str">
        <f>IF(OR($A63="",$C63="",$D63="",$C63&gt;CF$6,$D63&lt;CF$9),"",IF($J63="里程碑","◆",""))</f>
        <v/>
      </c>
      <c r="CG63" s="8" t="str">
        <f>IF(OR($A63="",$C63="",$D63="",$C63&gt;CG$6,$D63&lt;CG$9),"",IF($J63="里程碑","◆",""))</f>
        <v/>
      </c>
      <c r="CH63" s="8" t="str">
        <f>IF(OR($A63="",$C63="",$D63="",$C63&gt;CH$6,$D63&lt;CH$9),"",IF($J63="里程碑","◆",""))</f>
        <v/>
      </c>
      <c r="CI63" s="8" t="str">
        <f>IF(OR($A63="",$C63="",$D63="",$C63&gt;CI$6,$D63&lt;CI$9),"",IF($J63="里程碑","◆",""))</f>
        <v/>
      </c>
      <c r="CJ63" s="8" t="str">
        <f>IF(OR($A63="",$C63="",$D63="",$C63&gt;CJ$6,$D63&lt;CJ$9),"",IF($J63="里程碑","◆",""))</f>
        <v/>
      </c>
      <c r="CK63" s="8" t="str">
        <f>IF(OR($A63="",$C63="",$D63="",$C63&gt;CK$6,$D63&lt;CK$9),"",IF($J63="里程碑","◆",""))</f>
        <v/>
      </c>
      <c r="CL63" s="8" t="str">
        <f>IF(OR($A63="",$C63="",$D63="",$C63&gt;CL$6,$D63&lt;CL$9),"",IF($J63="里程碑","◆",""))</f>
        <v/>
      </c>
      <c r="CM63" s="8" t="str">
        <f>IF(OR($A63="",$C63="",$D63="",$C63&gt;CM$6,$D63&lt;CM$9),"",IF($J63="里程碑","◆",""))</f>
        <v/>
      </c>
      <c r="CN63" s="8" t="str">
        <f>IF(OR($A63="",$C63="",$D63="",$C63&gt;CN$6,$D63&lt;CN$9),"",IF($J63="里程碑","◆",""))</f>
        <v/>
      </c>
      <c r="CO63" s="8" t="str">
        <f>IF(OR($A63="",$C63="",$D63="",$C63&gt;CO$6,$D63&lt;CO$9),"",IF($J63="里程碑","◆",""))</f>
        <v/>
      </c>
      <c r="CP63" s="8" t="str">
        <f>IF(OR($A63="",$C63="",$D63="",$C63&gt;CP$6,$D63&lt;CP$9),"",IF($J63="里程碑","◆",""))</f>
        <v/>
      </c>
      <c r="CQ63" s="8" t="str">
        <f>IF(OR($A63="",$C63="",$D63="",$C63&gt;CQ$6,$D63&lt;CQ$9),"",IF($J63="里程碑","◆",""))</f>
        <v/>
      </c>
      <c r="CR63" s="8" t="str">
        <f>IF(OR($A63="",$C63="",$D63="",$C63&gt;CR$6,$D63&lt;CR$9),"",IF($J63="里程碑","◆",""))</f>
        <v/>
      </c>
      <c r="CS63" s="8" t="str">
        <f>IF(OR($A63="",$C63="",$D63="",$C63&gt;CS$6,$D63&lt;CS$9),"",IF($J63="里程碑","◆",""))</f>
        <v/>
      </c>
      <c r="CT63" s="8" t="str">
        <f>IF(OR($A63="",$C63="",$D63="",$C63&gt;CT$6,$D63&lt;CT$9),"",IF($J63="里程碑","◆",""))</f>
        <v/>
      </c>
      <c r="CU63" s="8" t="str">
        <f>IF(OR($A63="",$C63="",$D63="",$C63&gt;CU$6,$D63&lt;CU$9),"",IF($J63="里程碑","◆",""))</f>
        <v/>
      </c>
      <c r="CV63" s="8" t="str">
        <f>IF(OR($A63="",$C63="",$D63="",$C63&gt;CV$6,$D63&lt;CV$9),"",IF($J63="里程碑","◆",""))</f>
        <v/>
      </c>
      <c r="CW63" s="8" t="str">
        <f>IF(OR($A63="",$C63="",$D63="",$C63&gt;CW$6,$D63&lt;CW$9),"",IF($J63="里程碑","◆",""))</f>
        <v/>
      </c>
      <c r="CX63" s="8" t="str">
        <f>IF(OR($A63="",$C63="",$D63="",$C63&gt;CX$6,$D63&lt;CX$9),"",IF($J63="里程碑","◆",""))</f>
        <v/>
      </c>
      <c r="CY63" s="8" t="str">
        <f>IF(OR($A63="",$C63="",$D63="",$C63&gt;CY$6,$D63&lt;CY$9),"",IF($J63="里程碑","◆",""))</f>
        <v/>
      </c>
      <c r="CZ63" s="8" t="str">
        <f>IF(OR($A63="",$C63="",$D63="",$C63&gt;CZ$6,$D63&lt;CZ$9),"",IF($J63="里程碑","◆",""))</f>
        <v/>
      </c>
      <c r="DA63" s="8" t="str">
        <f>IF(OR($A63="",$C63="",$D63="",$C63&gt;DA$6,$D63&lt;DA$9),"",IF($J63="里程碑","◆",""))</f>
        <v/>
      </c>
      <c r="DB63" s="8" t="str">
        <f>IF(OR($A63="",$C63="",$D63="",$C63&gt;DB$6,$D63&lt;DB$9),"",IF($J63="里程碑","◆",""))</f>
        <v/>
      </c>
      <c r="DC63" s="1" t="str">
        <f>IF(ROW()-9&gt;$DH$3,"",MATCH(ROW()-9,排期计算!$U$10:$U$109,0))</f>
        <v/>
      </c>
      <c r="DD63" s="1" t="str">
        <f>IF($DC63="","",INDEX(排期计算!$L$10:$L$109,$DC63))</f>
        <v/>
      </c>
      <c r="DE63" s="1"/>
      <c r="DF63" s="1"/>
      <c r="DG63" s="1"/>
      <c r="DH63" s="1"/>
      <c r="DI63" s="1"/>
      <c r="DJ63" s="1"/>
      <c r="DK63" s="1"/>
    </row>
    <row r="64" spans="1:115" ht="24.95" customHeight="1">
      <c r="A64" s="9" t="str">
        <f>IF($DC64="","",IF(AND(INDEX(排期计算!$A$10:$A$109,$DC64)="",NOT(ISNUMBER(INDEX(排期计算!$A$10:$A$109,$DC64)))),"",INDEX(排期计算!$A$10:$A$109,$DC64)))</f>
        <v/>
      </c>
      <c r="B64" s="1" t="str">
        <f>IF($DC64="","",REPT("　",$DD64-1)&amp;INDEX(排期计算!$B$10:$B$109,$DC64))</f>
        <v/>
      </c>
      <c r="C64" s="3" t="str">
        <f>IF($DC64="","",IF(AND(INDEX(排期计算!$M$10:$M$109,$DC64)="",NOT(ISNUMBER(INDEX(排期计算!$M$10:$M$109,$DC64)))),"",INDEX(排期计算!$M$10:$M$109,$DC64)))</f>
        <v/>
      </c>
      <c r="D64" s="3" t="str">
        <f>IF($DC64="","",IF(AND(INDEX(排期计算!$N$10:$N$109,$DC64)="",NOT(ISNUMBER(INDEX(排期计算!$N$10:$N$109,$DC64)))),"",INDEX(排期计算!$N$10:$N$109,$DC64)))</f>
        <v/>
      </c>
      <c r="E64" s="1" t="str">
        <f>IF(OR($C64="",$D64=""),"",IF($J64="里程碑",0,NETWORKDAYS($C64,$D64)))</f>
        <v/>
      </c>
      <c r="F64" s="7" t="str">
        <f>IF($DC64="","",IF(AND(INDEX(排期计算!$O$10:$O$109,$DC64)="",NOT(ISNUMBER(INDEX(排期计算!$O$10:$O$109,$DC64)))),"",INDEX(排期计算!$O$10:$O$109,$DC64)))</f>
        <v/>
      </c>
      <c r="G64" s="8" t="str">
        <f>IF($A64="","",IF(OR($C64="",$D64=""),"未排期",IF($F64&gt;=1,"已完成",IF($D64&lt;$B$4,"逾期",IF($C64&gt;$B$4,"未开始","进行中")))))</f>
        <v/>
      </c>
      <c r="H64" s="1" t="str">
        <f>IF($DC64="","",IF(AND(INDEX(排期计算!$C$10:$C$109,$DC64)="",NOT(ISNUMBER(INDEX(排期计算!$C$10:$C$109,$DC64)))),"",INDEX(排期计算!$C$10:$C$109,$DC64)))</f>
        <v/>
      </c>
      <c r="I64" s="1" t="str">
        <f>IF($DC64="","",IF(AND(INDEX(排期计算!$H$10:$H$109,$DC64)="",NOT(ISNUMBER(INDEX(排期计算!$H$10:$H$109,$DC64)))),"",INDEX(排期计算!$H$10:$H$109,$DC64)))</f>
        <v/>
      </c>
      <c r="J64" s="1" t="str">
        <f>IF($DC64="","",IF(AND(INDEX(排期计算!$K$10:$K$109,$DC64)="",NOT(ISNUMBER(INDEX(排期计算!$K$10:$K$109,$DC64)))),"",INDEX(排期计算!$K$10:$K$109,$DC64)))</f>
        <v/>
      </c>
      <c r="K64" s="8" t="str">
        <f>IF(OR($A64="",$C64="",$D64="",$C64&gt;K$6,$D64&lt;K$9),"",IF($J64="里程碑","◆",""))</f>
        <v/>
      </c>
      <c r="L64" s="8" t="str">
        <f>IF(OR($A64="",$C64="",$D64="",$C64&gt;L$6,$D64&lt;L$9),"",IF($J64="里程碑","◆",""))</f>
        <v/>
      </c>
      <c r="M64" s="8" t="str">
        <f>IF(OR($A64="",$C64="",$D64="",$C64&gt;M$6,$D64&lt;M$9),"",IF($J64="里程碑","◆",""))</f>
        <v/>
      </c>
      <c r="N64" s="8" t="str">
        <f>IF(OR($A64="",$C64="",$D64="",$C64&gt;N$6,$D64&lt;N$9),"",IF($J64="里程碑","◆",""))</f>
        <v/>
      </c>
      <c r="O64" s="8" t="str">
        <f>IF(OR($A64="",$C64="",$D64="",$C64&gt;O$6,$D64&lt;O$9),"",IF($J64="里程碑","◆",""))</f>
        <v/>
      </c>
      <c r="P64" s="8" t="str">
        <f>IF(OR($A64="",$C64="",$D64="",$C64&gt;P$6,$D64&lt;P$9),"",IF($J64="里程碑","◆",""))</f>
        <v/>
      </c>
      <c r="Q64" s="8" t="str">
        <f>IF(OR($A64="",$C64="",$D64="",$C64&gt;Q$6,$D64&lt;Q$9),"",IF($J64="里程碑","◆",""))</f>
        <v/>
      </c>
      <c r="R64" s="8" t="str">
        <f>IF(OR($A64="",$C64="",$D64="",$C64&gt;R$6,$D64&lt;R$9),"",IF($J64="里程碑","◆",""))</f>
        <v/>
      </c>
      <c r="S64" s="8" t="str">
        <f>IF(OR($A64="",$C64="",$D64="",$C64&gt;S$6,$D64&lt;S$9),"",IF($J64="里程碑","◆",""))</f>
        <v/>
      </c>
      <c r="T64" s="8" t="str">
        <f>IF(OR($A64="",$C64="",$D64="",$C64&gt;T$6,$D64&lt;T$9),"",IF($J64="里程碑","◆",""))</f>
        <v/>
      </c>
      <c r="U64" s="8" t="str">
        <f>IF(OR($A64="",$C64="",$D64="",$C64&gt;U$6,$D64&lt;U$9),"",IF($J64="里程碑","◆",""))</f>
        <v/>
      </c>
      <c r="V64" s="8" t="str">
        <f>IF(OR($A64="",$C64="",$D64="",$C64&gt;V$6,$D64&lt;V$9),"",IF($J64="里程碑","◆",""))</f>
        <v/>
      </c>
      <c r="W64" s="8" t="str">
        <f>IF(OR($A64="",$C64="",$D64="",$C64&gt;W$6,$D64&lt;W$9),"",IF($J64="里程碑","◆",""))</f>
        <v/>
      </c>
      <c r="X64" s="8" t="str">
        <f>IF(OR($A64="",$C64="",$D64="",$C64&gt;X$6,$D64&lt;X$9),"",IF($J64="里程碑","◆",""))</f>
        <v/>
      </c>
      <c r="Y64" s="8" t="str">
        <f>IF(OR($A64="",$C64="",$D64="",$C64&gt;Y$6,$D64&lt;Y$9),"",IF($J64="里程碑","◆",""))</f>
        <v/>
      </c>
      <c r="Z64" s="8" t="str">
        <f>IF(OR($A64="",$C64="",$D64="",$C64&gt;Z$6,$D64&lt;Z$9),"",IF($J64="里程碑","◆",""))</f>
        <v/>
      </c>
      <c r="AA64" s="8" t="str">
        <f>IF(OR($A64="",$C64="",$D64="",$C64&gt;AA$6,$D64&lt;AA$9),"",IF($J64="里程碑","◆",""))</f>
        <v/>
      </c>
      <c r="AB64" s="8" t="str">
        <f>IF(OR($A64="",$C64="",$D64="",$C64&gt;AB$6,$D64&lt;AB$9),"",IF($J64="里程碑","◆",""))</f>
        <v/>
      </c>
      <c r="AC64" s="8" t="str">
        <f>IF(OR($A64="",$C64="",$D64="",$C64&gt;AC$6,$D64&lt;AC$9),"",IF($J64="里程碑","◆",""))</f>
        <v/>
      </c>
      <c r="AD64" s="8" t="str">
        <f>IF(OR($A64="",$C64="",$D64="",$C64&gt;AD$6,$D64&lt;AD$9),"",IF($J64="里程碑","◆",""))</f>
        <v/>
      </c>
      <c r="AE64" s="8" t="str">
        <f>IF(OR($A64="",$C64="",$D64="",$C64&gt;AE$6,$D64&lt;AE$9),"",IF($J64="里程碑","◆",""))</f>
        <v/>
      </c>
      <c r="AF64" s="8" t="str">
        <f>IF(OR($A64="",$C64="",$D64="",$C64&gt;AF$6,$D64&lt;AF$9),"",IF($J64="里程碑","◆",""))</f>
        <v/>
      </c>
      <c r="AG64" s="8" t="str">
        <f>IF(OR($A64="",$C64="",$D64="",$C64&gt;AG$6,$D64&lt;AG$9),"",IF($J64="里程碑","◆",""))</f>
        <v/>
      </c>
      <c r="AH64" s="8" t="str">
        <f>IF(OR($A64="",$C64="",$D64="",$C64&gt;AH$6,$D64&lt;AH$9),"",IF($J64="里程碑","◆",""))</f>
        <v/>
      </c>
      <c r="AI64" s="8" t="str">
        <f>IF(OR($A64="",$C64="",$D64="",$C64&gt;AI$6,$D64&lt;AI$9),"",IF($J64="里程碑","◆",""))</f>
        <v/>
      </c>
      <c r="AJ64" s="8" t="str">
        <f>IF(OR($A64="",$C64="",$D64="",$C64&gt;AJ$6,$D64&lt;AJ$9),"",IF($J64="里程碑","◆",""))</f>
        <v/>
      </c>
      <c r="AK64" s="8" t="str">
        <f>IF(OR($A64="",$C64="",$D64="",$C64&gt;AK$6,$D64&lt;AK$9),"",IF($J64="里程碑","◆",""))</f>
        <v/>
      </c>
      <c r="AL64" s="8" t="str">
        <f>IF(OR($A64="",$C64="",$D64="",$C64&gt;AL$6,$D64&lt;AL$9),"",IF($J64="里程碑","◆",""))</f>
        <v/>
      </c>
      <c r="AM64" s="8" t="str">
        <f>IF(OR($A64="",$C64="",$D64="",$C64&gt;AM$6,$D64&lt;AM$9),"",IF($J64="里程碑","◆",""))</f>
        <v/>
      </c>
      <c r="AN64" s="8" t="str">
        <f>IF(OR($A64="",$C64="",$D64="",$C64&gt;AN$6,$D64&lt;AN$9),"",IF($J64="里程碑","◆",""))</f>
        <v/>
      </c>
      <c r="AO64" s="8" t="str">
        <f>IF(OR($A64="",$C64="",$D64="",$C64&gt;AO$6,$D64&lt;AO$9),"",IF($J64="里程碑","◆",""))</f>
        <v/>
      </c>
      <c r="AP64" s="8" t="str">
        <f>IF(OR($A64="",$C64="",$D64="",$C64&gt;AP$6,$D64&lt;AP$9),"",IF($J64="里程碑","◆",""))</f>
        <v/>
      </c>
      <c r="AQ64" s="8" t="str">
        <f>IF(OR($A64="",$C64="",$D64="",$C64&gt;AQ$6,$D64&lt;AQ$9),"",IF($J64="里程碑","◆",""))</f>
        <v/>
      </c>
      <c r="AR64" s="8" t="str">
        <f>IF(OR($A64="",$C64="",$D64="",$C64&gt;AR$6,$D64&lt;AR$9),"",IF($J64="里程碑","◆",""))</f>
        <v/>
      </c>
      <c r="AS64" s="8" t="str">
        <f>IF(OR($A64="",$C64="",$D64="",$C64&gt;AS$6,$D64&lt;AS$9),"",IF($J64="里程碑","◆",""))</f>
        <v/>
      </c>
      <c r="AT64" s="8" t="str">
        <f>IF(OR($A64="",$C64="",$D64="",$C64&gt;AT$6,$D64&lt;AT$9),"",IF($J64="里程碑","◆",""))</f>
        <v/>
      </c>
      <c r="AU64" s="8" t="str">
        <f>IF(OR($A64="",$C64="",$D64="",$C64&gt;AU$6,$D64&lt;AU$9),"",IF($J64="里程碑","◆",""))</f>
        <v/>
      </c>
      <c r="AV64" s="8" t="str">
        <f>IF(OR($A64="",$C64="",$D64="",$C64&gt;AV$6,$D64&lt;AV$9),"",IF($J64="里程碑","◆",""))</f>
        <v/>
      </c>
      <c r="AW64" s="8" t="str">
        <f>IF(OR($A64="",$C64="",$D64="",$C64&gt;AW$6,$D64&lt;AW$9),"",IF($J64="里程碑","◆",""))</f>
        <v/>
      </c>
      <c r="AX64" s="8" t="str">
        <f>IF(OR($A64="",$C64="",$D64="",$C64&gt;AX$6,$D64&lt;AX$9),"",IF($J64="里程碑","◆",""))</f>
        <v/>
      </c>
      <c r="AY64" s="8" t="str">
        <f>IF(OR($A64="",$C64="",$D64="",$C64&gt;AY$6,$D64&lt;AY$9),"",IF($J64="里程碑","◆",""))</f>
        <v/>
      </c>
      <c r="AZ64" s="8" t="str">
        <f>IF(OR($A64="",$C64="",$D64="",$C64&gt;AZ$6,$D64&lt;AZ$9),"",IF($J64="里程碑","◆",""))</f>
        <v/>
      </c>
      <c r="BA64" s="8" t="str">
        <f>IF(OR($A64="",$C64="",$D64="",$C64&gt;BA$6,$D64&lt;BA$9),"",IF($J64="里程碑","◆",""))</f>
        <v/>
      </c>
      <c r="BB64" s="8" t="str">
        <f>IF(OR($A64="",$C64="",$D64="",$C64&gt;BB$6,$D64&lt;BB$9),"",IF($J64="里程碑","◆",""))</f>
        <v/>
      </c>
      <c r="BC64" s="8" t="str">
        <f>IF(OR($A64="",$C64="",$D64="",$C64&gt;BC$6,$D64&lt;BC$9),"",IF($J64="里程碑","◆",""))</f>
        <v/>
      </c>
      <c r="BD64" s="8" t="str">
        <f>IF(OR($A64="",$C64="",$D64="",$C64&gt;BD$6,$D64&lt;BD$9),"",IF($J64="里程碑","◆",""))</f>
        <v/>
      </c>
      <c r="BE64" s="8" t="str">
        <f>IF(OR($A64="",$C64="",$D64="",$C64&gt;BE$6,$D64&lt;BE$9),"",IF($J64="里程碑","◆",""))</f>
        <v/>
      </c>
      <c r="BF64" s="8" t="str">
        <f>IF(OR($A64="",$C64="",$D64="",$C64&gt;BF$6,$D64&lt;BF$9),"",IF($J64="里程碑","◆",""))</f>
        <v/>
      </c>
      <c r="BG64" s="8" t="str">
        <f>IF(OR($A64="",$C64="",$D64="",$C64&gt;BG$6,$D64&lt;BG$9),"",IF($J64="里程碑","◆",""))</f>
        <v/>
      </c>
      <c r="BH64" s="8" t="str">
        <f>IF(OR($A64="",$C64="",$D64="",$C64&gt;BH$6,$D64&lt;BH$9),"",IF($J64="里程碑","◆",""))</f>
        <v/>
      </c>
      <c r="BI64" s="8" t="str">
        <f>IF(OR($A64="",$C64="",$D64="",$C64&gt;BI$6,$D64&lt;BI$9),"",IF($J64="里程碑","◆",""))</f>
        <v/>
      </c>
      <c r="BJ64" s="8" t="str">
        <f>IF(OR($A64="",$C64="",$D64="",$C64&gt;BJ$6,$D64&lt;BJ$9),"",IF($J64="里程碑","◆",""))</f>
        <v/>
      </c>
      <c r="BK64" s="8" t="str">
        <f>IF(OR($A64="",$C64="",$D64="",$C64&gt;BK$6,$D64&lt;BK$9),"",IF($J64="里程碑","◆",""))</f>
        <v/>
      </c>
      <c r="BL64" s="8" t="str">
        <f>IF(OR($A64="",$C64="",$D64="",$C64&gt;BL$6,$D64&lt;BL$9),"",IF($J64="里程碑","◆",""))</f>
        <v/>
      </c>
      <c r="BM64" s="8" t="str">
        <f>IF(OR($A64="",$C64="",$D64="",$C64&gt;BM$6,$D64&lt;BM$9),"",IF($J64="里程碑","◆",""))</f>
        <v/>
      </c>
      <c r="BN64" s="8" t="str">
        <f>IF(OR($A64="",$C64="",$D64="",$C64&gt;BN$6,$D64&lt;BN$9),"",IF($J64="里程碑","◆",""))</f>
        <v/>
      </c>
      <c r="BO64" s="8" t="str">
        <f>IF(OR($A64="",$C64="",$D64="",$C64&gt;BO$6,$D64&lt;BO$9),"",IF($J64="里程碑","◆",""))</f>
        <v/>
      </c>
      <c r="BP64" s="8" t="str">
        <f>IF(OR($A64="",$C64="",$D64="",$C64&gt;BP$6,$D64&lt;BP$9),"",IF($J64="里程碑","◆",""))</f>
        <v/>
      </c>
      <c r="BQ64" s="8" t="str">
        <f>IF(OR($A64="",$C64="",$D64="",$C64&gt;BQ$6,$D64&lt;BQ$9),"",IF($J64="里程碑","◆",""))</f>
        <v/>
      </c>
      <c r="BR64" s="8" t="str">
        <f>IF(OR($A64="",$C64="",$D64="",$C64&gt;BR$6,$D64&lt;BR$9),"",IF($J64="里程碑","◆",""))</f>
        <v/>
      </c>
      <c r="BS64" s="8" t="str">
        <f>IF(OR($A64="",$C64="",$D64="",$C64&gt;BS$6,$D64&lt;BS$9),"",IF($J64="里程碑","◆",""))</f>
        <v/>
      </c>
      <c r="BT64" s="8" t="str">
        <f>IF(OR($A64="",$C64="",$D64="",$C64&gt;BT$6,$D64&lt;BT$9),"",IF($J64="里程碑","◆",""))</f>
        <v/>
      </c>
      <c r="BU64" s="8" t="str">
        <f>IF(OR($A64="",$C64="",$D64="",$C64&gt;BU$6,$D64&lt;BU$9),"",IF($J64="里程碑","◆",""))</f>
        <v/>
      </c>
      <c r="BV64" s="8" t="str">
        <f>IF(OR($A64="",$C64="",$D64="",$C64&gt;BV$6,$D64&lt;BV$9),"",IF($J64="里程碑","◆",""))</f>
        <v/>
      </c>
      <c r="BW64" s="8" t="str">
        <f>IF(OR($A64="",$C64="",$D64="",$C64&gt;BW$6,$D64&lt;BW$9),"",IF($J64="里程碑","◆",""))</f>
        <v/>
      </c>
      <c r="BX64" s="8" t="str">
        <f>IF(OR($A64="",$C64="",$D64="",$C64&gt;BX$6,$D64&lt;BX$9),"",IF($J64="里程碑","◆",""))</f>
        <v/>
      </c>
      <c r="BY64" s="8" t="str">
        <f>IF(OR($A64="",$C64="",$D64="",$C64&gt;BY$6,$D64&lt;BY$9),"",IF($J64="里程碑","◆",""))</f>
        <v/>
      </c>
      <c r="BZ64" s="8" t="str">
        <f>IF(OR($A64="",$C64="",$D64="",$C64&gt;BZ$6,$D64&lt;BZ$9),"",IF($J64="里程碑","◆",""))</f>
        <v/>
      </c>
      <c r="CA64" s="8" t="str">
        <f>IF(OR($A64="",$C64="",$D64="",$C64&gt;CA$6,$D64&lt;CA$9),"",IF($J64="里程碑","◆",""))</f>
        <v/>
      </c>
      <c r="CB64" s="8" t="str">
        <f>IF(OR($A64="",$C64="",$D64="",$C64&gt;CB$6,$D64&lt;CB$9),"",IF($J64="里程碑","◆",""))</f>
        <v/>
      </c>
      <c r="CC64" s="8" t="str">
        <f>IF(OR($A64="",$C64="",$D64="",$C64&gt;CC$6,$D64&lt;CC$9),"",IF($J64="里程碑","◆",""))</f>
        <v/>
      </c>
      <c r="CD64" s="8" t="str">
        <f>IF(OR($A64="",$C64="",$D64="",$C64&gt;CD$6,$D64&lt;CD$9),"",IF($J64="里程碑","◆",""))</f>
        <v/>
      </c>
      <c r="CE64" s="8" t="str">
        <f>IF(OR($A64="",$C64="",$D64="",$C64&gt;CE$6,$D64&lt;CE$9),"",IF($J64="里程碑","◆",""))</f>
        <v/>
      </c>
      <c r="CF64" s="8" t="str">
        <f>IF(OR($A64="",$C64="",$D64="",$C64&gt;CF$6,$D64&lt;CF$9),"",IF($J64="里程碑","◆",""))</f>
        <v/>
      </c>
      <c r="CG64" s="8" t="str">
        <f>IF(OR($A64="",$C64="",$D64="",$C64&gt;CG$6,$D64&lt;CG$9),"",IF($J64="里程碑","◆",""))</f>
        <v/>
      </c>
      <c r="CH64" s="8" t="str">
        <f>IF(OR($A64="",$C64="",$D64="",$C64&gt;CH$6,$D64&lt;CH$9),"",IF($J64="里程碑","◆",""))</f>
        <v/>
      </c>
      <c r="CI64" s="8" t="str">
        <f>IF(OR($A64="",$C64="",$D64="",$C64&gt;CI$6,$D64&lt;CI$9),"",IF($J64="里程碑","◆",""))</f>
        <v/>
      </c>
      <c r="CJ64" s="8" t="str">
        <f>IF(OR($A64="",$C64="",$D64="",$C64&gt;CJ$6,$D64&lt;CJ$9),"",IF($J64="里程碑","◆",""))</f>
        <v/>
      </c>
      <c r="CK64" s="8" t="str">
        <f>IF(OR($A64="",$C64="",$D64="",$C64&gt;CK$6,$D64&lt;CK$9),"",IF($J64="里程碑","◆",""))</f>
        <v/>
      </c>
      <c r="CL64" s="8" t="str">
        <f>IF(OR($A64="",$C64="",$D64="",$C64&gt;CL$6,$D64&lt;CL$9),"",IF($J64="里程碑","◆",""))</f>
        <v/>
      </c>
      <c r="CM64" s="8" t="str">
        <f>IF(OR($A64="",$C64="",$D64="",$C64&gt;CM$6,$D64&lt;CM$9),"",IF($J64="里程碑","◆",""))</f>
        <v/>
      </c>
      <c r="CN64" s="8" t="str">
        <f>IF(OR($A64="",$C64="",$D64="",$C64&gt;CN$6,$D64&lt;CN$9),"",IF($J64="里程碑","◆",""))</f>
        <v/>
      </c>
      <c r="CO64" s="8" t="str">
        <f>IF(OR($A64="",$C64="",$D64="",$C64&gt;CO$6,$D64&lt;CO$9),"",IF($J64="里程碑","◆",""))</f>
        <v/>
      </c>
      <c r="CP64" s="8" t="str">
        <f>IF(OR($A64="",$C64="",$D64="",$C64&gt;CP$6,$D64&lt;CP$9),"",IF($J64="里程碑","◆",""))</f>
        <v/>
      </c>
      <c r="CQ64" s="8" t="str">
        <f>IF(OR($A64="",$C64="",$D64="",$C64&gt;CQ$6,$D64&lt;CQ$9),"",IF($J64="里程碑","◆",""))</f>
        <v/>
      </c>
      <c r="CR64" s="8" t="str">
        <f>IF(OR($A64="",$C64="",$D64="",$C64&gt;CR$6,$D64&lt;CR$9),"",IF($J64="里程碑","◆",""))</f>
        <v/>
      </c>
      <c r="CS64" s="8" t="str">
        <f>IF(OR($A64="",$C64="",$D64="",$C64&gt;CS$6,$D64&lt;CS$9),"",IF($J64="里程碑","◆",""))</f>
        <v/>
      </c>
      <c r="CT64" s="8" t="str">
        <f>IF(OR($A64="",$C64="",$D64="",$C64&gt;CT$6,$D64&lt;CT$9),"",IF($J64="里程碑","◆",""))</f>
        <v/>
      </c>
      <c r="CU64" s="8" t="str">
        <f>IF(OR($A64="",$C64="",$D64="",$C64&gt;CU$6,$D64&lt;CU$9),"",IF($J64="里程碑","◆",""))</f>
        <v/>
      </c>
      <c r="CV64" s="8" t="str">
        <f>IF(OR($A64="",$C64="",$D64="",$C64&gt;CV$6,$D64&lt;CV$9),"",IF($J64="里程碑","◆",""))</f>
        <v/>
      </c>
      <c r="CW64" s="8" t="str">
        <f>IF(OR($A64="",$C64="",$D64="",$C64&gt;CW$6,$D64&lt;CW$9),"",IF($J64="里程碑","◆",""))</f>
        <v/>
      </c>
      <c r="CX64" s="8" t="str">
        <f>IF(OR($A64="",$C64="",$D64="",$C64&gt;CX$6,$D64&lt;CX$9),"",IF($J64="里程碑","◆",""))</f>
        <v/>
      </c>
      <c r="CY64" s="8" t="str">
        <f>IF(OR($A64="",$C64="",$D64="",$C64&gt;CY$6,$D64&lt;CY$9),"",IF($J64="里程碑","◆",""))</f>
        <v/>
      </c>
      <c r="CZ64" s="8" t="str">
        <f>IF(OR($A64="",$C64="",$D64="",$C64&gt;CZ$6,$D64&lt;CZ$9),"",IF($J64="里程碑","◆",""))</f>
        <v/>
      </c>
      <c r="DA64" s="8" t="str">
        <f>IF(OR($A64="",$C64="",$D64="",$C64&gt;DA$6,$D64&lt;DA$9),"",IF($J64="里程碑","◆",""))</f>
        <v/>
      </c>
      <c r="DB64" s="8" t="str">
        <f>IF(OR($A64="",$C64="",$D64="",$C64&gt;DB$6,$D64&lt;DB$9),"",IF($J64="里程碑","◆",""))</f>
        <v/>
      </c>
      <c r="DC64" s="1" t="str">
        <f>IF(ROW()-9&gt;$DH$3,"",MATCH(ROW()-9,排期计算!$U$10:$U$109,0))</f>
        <v/>
      </c>
      <c r="DD64" s="1" t="str">
        <f>IF($DC64="","",INDEX(排期计算!$L$10:$L$109,$DC64))</f>
        <v/>
      </c>
      <c r="DE64" s="1"/>
      <c r="DF64" s="1"/>
      <c r="DG64" s="1"/>
      <c r="DH64" s="1"/>
      <c r="DI64" s="1"/>
      <c r="DJ64" s="1"/>
      <c r="DK64" s="1"/>
    </row>
    <row r="65" spans="1:115" ht="24.95" customHeight="1">
      <c r="A65" s="9" t="str">
        <f>IF($DC65="","",IF(AND(INDEX(排期计算!$A$10:$A$109,$DC65)="",NOT(ISNUMBER(INDEX(排期计算!$A$10:$A$109,$DC65)))),"",INDEX(排期计算!$A$10:$A$109,$DC65)))</f>
        <v/>
      </c>
      <c r="B65" s="1" t="str">
        <f>IF($DC65="","",REPT("　",$DD65-1)&amp;INDEX(排期计算!$B$10:$B$109,$DC65))</f>
        <v/>
      </c>
      <c r="C65" s="3" t="str">
        <f>IF($DC65="","",IF(AND(INDEX(排期计算!$M$10:$M$109,$DC65)="",NOT(ISNUMBER(INDEX(排期计算!$M$10:$M$109,$DC65)))),"",INDEX(排期计算!$M$10:$M$109,$DC65)))</f>
        <v/>
      </c>
      <c r="D65" s="3" t="str">
        <f>IF($DC65="","",IF(AND(INDEX(排期计算!$N$10:$N$109,$DC65)="",NOT(ISNUMBER(INDEX(排期计算!$N$10:$N$109,$DC65)))),"",INDEX(排期计算!$N$10:$N$109,$DC65)))</f>
        <v/>
      </c>
      <c r="E65" s="1" t="str">
        <f>IF(OR($C65="",$D65=""),"",IF($J65="里程碑",0,NETWORKDAYS($C65,$D65)))</f>
        <v/>
      </c>
      <c r="F65" s="7" t="str">
        <f>IF($DC65="","",IF(AND(INDEX(排期计算!$O$10:$O$109,$DC65)="",NOT(ISNUMBER(INDEX(排期计算!$O$10:$O$109,$DC65)))),"",INDEX(排期计算!$O$10:$O$109,$DC65)))</f>
        <v/>
      </c>
      <c r="G65" s="8" t="str">
        <f>IF($A65="","",IF(OR($C65="",$D65=""),"未排期",IF($F65&gt;=1,"已完成",IF($D65&lt;$B$4,"逾期",IF($C65&gt;$B$4,"未开始","进行中")))))</f>
        <v/>
      </c>
      <c r="H65" s="1" t="str">
        <f>IF($DC65="","",IF(AND(INDEX(排期计算!$C$10:$C$109,$DC65)="",NOT(ISNUMBER(INDEX(排期计算!$C$10:$C$109,$DC65)))),"",INDEX(排期计算!$C$10:$C$109,$DC65)))</f>
        <v/>
      </c>
      <c r="I65" s="1" t="str">
        <f>IF($DC65="","",IF(AND(INDEX(排期计算!$H$10:$H$109,$DC65)="",NOT(ISNUMBER(INDEX(排期计算!$H$10:$H$109,$DC65)))),"",INDEX(排期计算!$H$10:$H$109,$DC65)))</f>
        <v/>
      </c>
      <c r="J65" s="1" t="str">
        <f>IF($DC65="","",IF(AND(INDEX(排期计算!$K$10:$K$109,$DC65)="",NOT(ISNUMBER(INDEX(排期计算!$K$10:$K$109,$DC65)))),"",INDEX(排期计算!$K$10:$K$109,$DC65)))</f>
        <v/>
      </c>
      <c r="K65" s="8" t="str">
        <f>IF(OR($A65="",$C65="",$D65="",$C65&gt;K$6,$D65&lt;K$9),"",IF($J65="里程碑","◆",""))</f>
        <v/>
      </c>
      <c r="L65" s="8" t="str">
        <f>IF(OR($A65="",$C65="",$D65="",$C65&gt;L$6,$D65&lt;L$9),"",IF($J65="里程碑","◆",""))</f>
        <v/>
      </c>
      <c r="M65" s="8" t="str">
        <f>IF(OR($A65="",$C65="",$D65="",$C65&gt;M$6,$D65&lt;M$9),"",IF($J65="里程碑","◆",""))</f>
        <v/>
      </c>
      <c r="N65" s="8" t="str">
        <f>IF(OR($A65="",$C65="",$D65="",$C65&gt;N$6,$D65&lt;N$9),"",IF($J65="里程碑","◆",""))</f>
        <v/>
      </c>
      <c r="O65" s="8" t="str">
        <f>IF(OR($A65="",$C65="",$D65="",$C65&gt;O$6,$D65&lt;O$9),"",IF($J65="里程碑","◆",""))</f>
        <v/>
      </c>
      <c r="P65" s="8" t="str">
        <f>IF(OR($A65="",$C65="",$D65="",$C65&gt;P$6,$D65&lt;P$9),"",IF($J65="里程碑","◆",""))</f>
        <v/>
      </c>
      <c r="Q65" s="8" t="str">
        <f>IF(OR($A65="",$C65="",$D65="",$C65&gt;Q$6,$D65&lt;Q$9),"",IF($J65="里程碑","◆",""))</f>
        <v/>
      </c>
      <c r="R65" s="8" t="str">
        <f>IF(OR($A65="",$C65="",$D65="",$C65&gt;R$6,$D65&lt;R$9),"",IF($J65="里程碑","◆",""))</f>
        <v/>
      </c>
      <c r="S65" s="8" t="str">
        <f>IF(OR($A65="",$C65="",$D65="",$C65&gt;S$6,$D65&lt;S$9),"",IF($J65="里程碑","◆",""))</f>
        <v/>
      </c>
      <c r="T65" s="8" t="str">
        <f>IF(OR($A65="",$C65="",$D65="",$C65&gt;T$6,$D65&lt;T$9),"",IF($J65="里程碑","◆",""))</f>
        <v/>
      </c>
      <c r="U65" s="8" t="str">
        <f>IF(OR($A65="",$C65="",$D65="",$C65&gt;U$6,$D65&lt;U$9),"",IF($J65="里程碑","◆",""))</f>
        <v/>
      </c>
      <c r="V65" s="8" t="str">
        <f>IF(OR($A65="",$C65="",$D65="",$C65&gt;V$6,$D65&lt;V$9),"",IF($J65="里程碑","◆",""))</f>
        <v/>
      </c>
      <c r="W65" s="8" t="str">
        <f>IF(OR($A65="",$C65="",$D65="",$C65&gt;W$6,$D65&lt;W$9),"",IF($J65="里程碑","◆",""))</f>
        <v/>
      </c>
      <c r="X65" s="8" t="str">
        <f>IF(OR($A65="",$C65="",$D65="",$C65&gt;X$6,$D65&lt;X$9),"",IF($J65="里程碑","◆",""))</f>
        <v/>
      </c>
      <c r="Y65" s="8" t="str">
        <f>IF(OR($A65="",$C65="",$D65="",$C65&gt;Y$6,$D65&lt;Y$9),"",IF($J65="里程碑","◆",""))</f>
        <v/>
      </c>
      <c r="Z65" s="8" t="str">
        <f>IF(OR($A65="",$C65="",$D65="",$C65&gt;Z$6,$D65&lt;Z$9),"",IF($J65="里程碑","◆",""))</f>
        <v/>
      </c>
      <c r="AA65" s="8" t="str">
        <f>IF(OR($A65="",$C65="",$D65="",$C65&gt;AA$6,$D65&lt;AA$9),"",IF($J65="里程碑","◆",""))</f>
        <v/>
      </c>
      <c r="AB65" s="8" t="str">
        <f>IF(OR($A65="",$C65="",$D65="",$C65&gt;AB$6,$D65&lt;AB$9),"",IF($J65="里程碑","◆",""))</f>
        <v/>
      </c>
      <c r="AC65" s="8" t="str">
        <f>IF(OR($A65="",$C65="",$D65="",$C65&gt;AC$6,$D65&lt;AC$9),"",IF($J65="里程碑","◆",""))</f>
        <v/>
      </c>
      <c r="AD65" s="8" t="str">
        <f>IF(OR($A65="",$C65="",$D65="",$C65&gt;AD$6,$D65&lt;AD$9),"",IF($J65="里程碑","◆",""))</f>
        <v/>
      </c>
      <c r="AE65" s="8" t="str">
        <f>IF(OR($A65="",$C65="",$D65="",$C65&gt;AE$6,$D65&lt;AE$9),"",IF($J65="里程碑","◆",""))</f>
        <v/>
      </c>
      <c r="AF65" s="8" t="str">
        <f>IF(OR($A65="",$C65="",$D65="",$C65&gt;AF$6,$D65&lt;AF$9),"",IF($J65="里程碑","◆",""))</f>
        <v/>
      </c>
      <c r="AG65" s="8" t="str">
        <f>IF(OR($A65="",$C65="",$D65="",$C65&gt;AG$6,$D65&lt;AG$9),"",IF($J65="里程碑","◆",""))</f>
        <v/>
      </c>
      <c r="AH65" s="8" t="str">
        <f>IF(OR($A65="",$C65="",$D65="",$C65&gt;AH$6,$D65&lt;AH$9),"",IF($J65="里程碑","◆",""))</f>
        <v/>
      </c>
      <c r="AI65" s="8" t="str">
        <f>IF(OR($A65="",$C65="",$D65="",$C65&gt;AI$6,$D65&lt;AI$9),"",IF($J65="里程碑","◆",""))</f>
        <v/>
      </c>
      <c r="AJ65" s="8" t="str">
        <f>IF(OR($A65="",$C65="",$D65="",$C65&gt;AJ$6,$D65&lt;AJ$9),"",IF($J65="里程碑","◆",""))</f>
        <v/>
      </c>
      <c r="AK65" s="8" t="str">
        <f>IF(OR($A65="",$C65="",$D65="",$C65&gt;AK$6,$D65&lt;AK$9),"",IF($J65="里程碑","◆",""))</f>
        <v/>
      </c>
      <c r="AL65" s="8" t="str">
        <f>IF(OR($A65="",$C65="",$D65="",$C65&gt;AL$6,$D65&lt;AL$9),"",IF($J65="里程碑","◆",""))</f>
        <v/>
      </c>
      <c r="AM65" s="8" t="str">
        <f>IF(OR($A65="",$C65="",$D65="",$C65&gt;AM$6,$D65&lt;AM$9),"",IF($J65="里程碑","◆",""))</f>
        <v/>
      </c>
      <c r="AN65" s="8" t="str">
        <f>IF(OR($A65="",$C65="",$D65="",$C65&gt;AN$6,$D65&lt;AN$9),"",IF($J65="里程碑","◆",""))</f>
        <v/>
      </c>
      <c r="AO65" s="8" t="str">
        <f>IF(OR($A65="",$C65="",$D65="",$C65&gt;AO$6,$D65&lt;AO$9),"",IF($J65="里程碑","◆",""))</f>
        <v/>
      </c>
      <c r="AP65" s="8" t="str">
        <f>IF(OR($A65="",$C65="",$D65="",$C65&gt;AP$6,$D65&lt;AP$9),"",IF($J65="里程碑","◆",""))</f>
        <v/>
      </c>
      <c r="AQ65" s="8" t="str">
        <f>IF(OR($A65="",$C65="",$D65="",$C65&gt;AQ$6,$D65&lt;AQ$9),"",IF($J65="里程碑","◆",""))</f>
        <v/>
      </c>
      <c r="AR65" s="8" t="str">
        <f>IF(OR($A65="",$C65="",$D65="",$C65&gt;AR$6,$D65&lt;AR$9),"",IF($J65="里程碑","◆",""))</f>
        <v/>
      </c>
      <c r="AS65" s="8" t="str">
        <f>IF(OR($A65="",$C65="",$D65="",$C65&gt;AS$6,$D65&lt;AS$9),"",IF($J65="里程碑","◆",""))</f>
        <v/>
      </c>
      <c r="AT65" s="8" t="str">
        <f>IF(OR($A65="",$C65="",$D65="",$C65&gt;AT$6,$D65&lt;AT$9),"",IF($J65="里程碑","◆",""))</f>
        <v/>
      </c>
      <c r="AU65" s="8" t="str">
        <f>IF(OR($A65="",$C65="",$D65="",$C65&gt;AU$6,$D65&lt;AU$9),"",IF($J65="里程碑","◆",""))</f>
        <v/>
      </c>
      <c r="AV65" s="8" t="str">
        <f>IF(OR($A65="",$C65="",$D65="",$C65&gt;AV$6,$D65&lt;AV$9),"",IF($J65="里程碑","◆",""))</f>
        <v/>
      </c>
      <c r="AW65" s="8" t="str">
        <f>IF(OR($A65="",$C65="",$D65="",$C65&gt;AW$6,$D65&lt;AW$9),"",IF($J65="里程碑","◆",""))</f>
        <v/>
      </c>
      <c r="AX65" s="8" t="str">
        <f>IF(OR($A65="",$C65="",$D65="",$C65&gt;AX$6,$D65&lt;AX$9),"",IF($J65="里程碑","◆",""))</f>
        <v/>
      </c>
      <c r="AY65" s="8" t="str">
        <f>IF(OR($A65="",$C65="",$D65="",$C65&gt;AY$6,$D65&lt;AY$9),"",IF($J65="里程碑","◆",""))</f>
        <v/>
      </c>
      <c r="AZ65" s="8" t="str">
        <f>IF(OR($A65="",$C65="",$D65="",$C65&gt;AZ$6,$D65&lt;AZ$9),"",IF($J65="里程碑","◆",""))</f>
        <v/>
      </c>
      <c r="BA65" s="8" t="str">
        <f>IF(OR($A65="",$C65="",$D65="",$C65&gt;BA$6,$D65&lt;BA$9),"",IF($J65="里程碑","◆",""))</f>
        <v/>
      </c>
      <c r="BB65" s="8" t="str">
        <f>IF(OR($A65="",$C65="",$D65="",$C65&gt;BB$6,$D65&lt;BB$9),"",IF($J65="里程碑","◆",""))</f>
        <v/>
      </c>
      <c r="BC65" s="8" t="str">
        <f>IF(OR($A65="",$C65="",$D65="",$C65&gt;BC$6,$D65&lt;BC$9),"",IF($J65="里程碑","◆",""))</f>
        <v/>
      </c>
      <c r="BD65" s="8" t="str">
        <f>IF(OR($A65="",$C65="",$D65="",$C65&gt;BD$6,$D65&lt;BD$9),"",IF($J65="里程碑","◆",""))</f>
        <v/>
      </c>
      <c r="BE65" s="8" t="str">
        <f>IF(OR($A65="",$C65="",$D65="",$C65&gt;BE$6,$D65&lt;BE$9),"",IF($J65="里程碑","◆",""))</f>
        <v/>
      </c>
      <c r="BF65" s="8" t="str">
        <f>IF(OR($A65="",$C65="",$D65="",$C65&gt;BF$6,$D65&lt;BF$9),"",IF($J65="里程碑","◆",""))</f>
        <v/>
      </c>
      <c r="BG65" s="8" t="str">
        <f>IF(OR($A65="",$C65="",$D65="",$C65&gt;BG$6,$D65&lt;BG$9),"",IF($J65="里程碑","◆",""))</f>
        <v/>
      </c>
      <c r="BH65" s="8" t="str">
        <f>IF(OR($A65="",$C65="",$D65="",$C65&gt;BH$6,$D65&lt;BH$9),"",IF($J65="里程碑","◆",""))</f>
        <v/>
      </c>
      <c r="BI65" s="8" t="str">
        <f>IF(OR($A65="",$C65="",$D65="",$C65&gt;BI$6,$D65&lt;BI$9),"",IF($J65="里程碑","◆",""))</f>
        <v/>
      </c>
      <c r="BJ65" s="8" t="str">
        <f>IF(OR($A65="",$C65="",$D65="",$C65&gt;BJ$6,$D65&lt;BJ$9),"",IF($J65="里程碑","◆",""))</f>
        <v/>
      </c>
      <c r="BK65" s="8" t="str">
        <f>IF(OR($A65="",$C65="",$D65="",$C65&gt;BK$6,$D65&lt;BK$9),"",IF($J65="里程碑","◆",""))</f>
        <v/>
      </c>
      <c r="BL65" s="8" t="str">
        <f>IF(OR($A65="",$C65="",$D65="",$C65&gt;BL$6,$D65&lt;BL$9),"",IF($J65="里程碑","◆",""))</f>
        <v/>
      </c>
      <c r="BM65" s="8" t="str">
        <f>IF(OR($A65="",$C65="",$D65="",$C65&gt;BM$6,$D65&lt;BM$9),"",IF($J65="里程碑","◆",""))</f>
        <v/>
      </c>
      <c r="BN65" s="8" t="str">
        <f>IF(OR($A65="",$C65="",$D65="",$C65&gt;BN$6,$D65&lt;BN$9),"",IF($J65="里程碑","◆",""))</f>
        <v/>
      </c>
      <c r="BO65" s="8" t="str">
        <f>IF(OR($A65="",$C65="",$D65="",$C65&gt;BO$6,$D65&lt;BO$9),"",IF($J65="里程碑","◆",""))</f>
        <v/>
      </c>
      <c r="BP65" s="8" t="str">
        <f>IF(OR($A65="",$C65="",$D65="",$C65&gt;BP$6,$D65&lt;BP$9),"",IF($J65="里程碑","◆",""))</f>
        <v/>
      </c>
      <c r="BQ65" s="8" t="str">
        <f>IF(OR($A65="",$C65="",$D65="",$C65&gt;BQ$6,$D65&lt;BQ$9),"",IF($J65="里程碑","◆",""))</f>
        <v/>
      </c>
      <c r="BR65" s="8" t="str">
        <f>IF(OR($A65="",$C65="",$D65="",$C65&gt;BR$6,$D65&lt;BR$9),"",IF($J65="里程碑","◆",""))</f>
        <v/>
      </c>
      <c r="BS65" s="8" t="str">
        <f>IF(OR($A65="",$C65="",$D65="",$C65&gt;BS$6,$D65&lt;BS$9),"",IF($J65="里程碑","◆",""))</f>
        <v/>
      </c>
      <c r="BT65" s="8" t="str">
        <f>IF(OR($A65="",$C65="",$D65="",$C65&gt;BT$6,$D65&lt;BT$9),"",IF($J65="里程碑","◆",""))</f>
        <v/>
      </c>
      <c r="BU65" s="8" t="str">
        <f>IF(OR($A65="",$C65="",$D65="",$C65&gt;BU$6,$D65&lt;BU$9),"",IF($J65="里程碑","◆",""))</f>
        <v/>
      </c>
      <c r="BV65" s="8" t="str">
        <f>IF(OR($A65="",$C65="",$D65="",$C65&gt;BV$6,$D65&lt;BV$9),"",IF($J65="里程碑","◆",""))</f>
        <v/>
      </c>
      <c r="BW65" s="8" t="str">
        <f>IF(OR($A65="",$C65="",$D65="",$C65&gt;BW$6,$D65&lt;BW$9),"",IF($J65="里程碑","◆",""))</f>
        <v/>
      </c>
      <c r="BX65" s="8" t="str">
        <f>IF(OR($A65="",$C65="",$D65="",$C65&gt;BX$6,$D65&lt;BX$9),"",IF($J65="里程碑","◆",""))</f>
        <v/>
      </c>
      <c r="BY65" s="8" t="str">
        <f>IF(OR($A65="",$C65="",$D65="",$C65&gt;BY$6,$D65&lt;BY$9),"",IF($J65="里程碑","◆",""))</f>
        <v/>
      </c>
      <c r="BZ65" s="8" t="str">
        <f>IF(OR($A65="",$C65="",$D65="",$C65&gt;BZ$6,$D65&lt;BZ$9),"",IF($J65="里程碑","◆",""))</f>
        <v/>
      </c>
      <c r="CA65" s="8" t="str">
        <f>IF(OR($A65="",$C65="",$D65="",$C65&gt;CA$6,$D65&lt;CA$9),"",IF($J65="里程碑","◆",""))</f>
        <v/>
      </c>
      <c r="CB65" s="8" t="str">
        <f>IF(OR($A65="",$C65="",$D65="",$C65&gt;CB$6,$D65&lt;CB$9),"",IF($J65="里程碑","◆",""))</f>
        <v/>
      </c>
      <c r="CC65" s="8" t="str">
        <f>IF(OR($A65="",$C65="",$D65="",$C65&gt;CC$6,$D65&lt;CC$9),"",IF($J65="里程碑","◆",""))</f>
        <v/>
      </c>
      <c r="CD65" s="8" t="str">
        <f>IF(OR($A65="",$C65="",$D65="",$C65&gt;CD$6,$D65&lt;CD$9),"",IF($J65="里程碑","◆",""))</f>
        <v/>
      </c>
      <c r="CE65" s="8" t="str">
        <f>IF(OR($A65="",$C65="",$D65="",$C65&gt;CE$6,$D65&lt;CE$9),"",IF($J65="里程碑","◆",""))</f>
        <v/>
      </c>
      <c r="CF65" s="8" t="str">
        <f>IF(OR($A65="",$C65="",$D65="",$C65&gt;CF$6,$D65&lt;CF$9),"",IF($J65="里程碑","◆",""))</f>
        <v/>
      </c>
      <c r="CG65" s="8" t="str">
        <f>IF(OR($A65="",$C65="",$D65="",$C65&gt;CG$6,$D65&lt;CG$9),"",IF($J65="里程碑","◆",""))</f>
        <v/>
      </c>
      <c r="CH65" s="8" t="str">
        <f>IF(OR($A65="",$C65="",$D65="",$C65&gt;CH$6,$D65&lt;CH$9),"",IF($J65="里程碑","◆",""))</f>
        <v/>
      </c>
      <c r="CI65" s="8" t="str">
        <f>IF(OR($A65="",$C65="",$D65="",$C65&gt;CI$6,$D65&lt;CI$9),"",IF($J65="里程碑","◆",""))</f>
        <v/>
      </c>
      <c r="CJ65" s="8" t="str">
        <f>IF(OR($A65="",$C65="",$D65="",$C65&gt;CJ$6,$D65&lt;CJ$9),"",IF($J65="里程碑","◆",""))</f>
        <v/>
      </c>
      <c r="CK65" s="8" t="str">
        <f>IF(OR($A65="",$C65="",$D65="",$C65&gt;CK$6,$D65&lt;CK$9),"",IF($J65="里程碑","◆",""))</f>
        <v/>
      </c>
      <c r="CL65" s="8" t="str">
        <f>IF(OR($A65="",$C65="",$D65="",$C65&gt;CL$6,$D65&lt;CL$9),"",IF($J65="里程碑","◆",""))</f>
        <v/>
      </c>
      <c r="CM65" s="8" t="str">
        <f>IF(OR($A65="",$C65="",$D65="",$C65&gt;CM$6,$D65&lt;CM$9),"",IF($J65="里程碑","◆",""))</f>
        <v/>
      </c>
      <c r="CN65" s="8" t="str">
        <f>IF(OR($A65="",$C65="",$D65="",$C65&gt;CN$6,$D65&lt;CN$9),"",IF($J65="里程碑","◆",""))</f>
        <v/>
      </c>
      <c r="CO65" s="8" t="str">
        <f>IF(OR($A65="",$C65="",$D65="",$C65&gt;CO$6,$D65&lt;CO$9),"",IF($J65="里程碑","◆",""))</f>
        <v/>
      </c>
      <c r="CP65" s="8" t="str">
        <f>IF(OR($A65="",$C65="",$D65="",$C65&gt;CP$6,$D65&lt;CP$9),"",IF($J65="里程碑","◆",""))</f>
        <v/>
      </c>
      <c r="CQ65" s="8" t="str">
        <f>IF(OR($A65="",$C65="",$D65="",$C65&gt;CQ$6,$D65&lt;CQ$9),"",IF($J65="里程碑","◆",""))</f>
        <v/>
      </c>
      <c r="CR65" s="8" t="str">
        <f>IF(OR($A65="",$C65="",$D65="",$C65&gt;CR$6,$D65&lt;CR$9),"",IF($J65="里程碑","◆",""))</f>
        <v/>
      </c>
      <c r="CS65" s="8" t="str">
        <f>IF(OR($A65="",$C65="",$D65="",$C65&gt;CS$6,$D65&lt;CS$9),"",IF($J65="里程碑","◆",""))</f>
        <v/>
      </c>
      <c r="CT65" s="8" t="str">
        <f>IF(OR($A65="",$C65="",$D65="",$C65&gt;CT$6,$D65&lt;CT$9),"",IF($J65="里程碑","◆",""))</f>
        <v/>
      </c>
      <c r="CU65" s="8" t="str">
        <f>IF(OR($A65="",$C65="",$D65="",$C65&gt;CU$6,$D65&lt;CU$9),"",IF($J65="里程碑","◆",""))</f>
        <v/>
      </c>
      <c r="CV65" s="8" t="str">
        <f>IF(OR($A65="",$C65="",$D65="",$C65&gt;CV$6,$D65&lt;CV$9),"",IF($J65="里程碑","◆",""))</f>
        <v/>
      </c>
      <c r="CW65" s="8" t="str">
        <f>IF(OR($A65="",$C65="",$D65="",$C65&gt;CW$6,$D65&lt;CW$9),"",IF($J65="里程碑","◆",""))</f>
        <v/>
      </c>
      <c r="CX65" s="8" t="str">
        <f>IF(OR($A65="",$C65="",$D65="",$C65&gt;CX$6,$D65&lt;CX$9),"",IF($J65="里程碑","◆",""))</f>
        <v/>
      </c>
      <c r="CY65" s="8" t="str">
        <f>IF(OR($A65="",$C65="",$D65="",$C65&gt;CY$6,$D65&lt;CY$9),"",IF($J65="里程碑","◆",""))</f>
        <v/>
      </c>
      <c r="CZ65" s="8" t="str">
        <f>IF(OR($A65="",$C65="",$D65="",$C65&gt;CZ$6,$D65&lt;CZ$9),"",IF($J65="里程碑","◆",""))</f>
        <v/>
      </c>
      <c r="DA65" s="8" t="str">
        <f>IF(OR($A65="",$C65="",$D65="",$C65&gt;DA$6,$D65&lt;DA$9),"",IF($J65="里程碑","◆",""))</f>
        <v/>
      </c>
      <c r="DB65" s="8" t="str">
        <f>IF(OR($A65="",$C65="",$D65="",$C65&gt;DB$6,$D65&lt;DB$9),"",IF($J65="里程碑","◆",""))</f>
        <v/>
      </c>
      <c r="DC65" s="1" t="str">
        <f>IF(ROW()-9&gt;$DH$3,"",MATCH(ROW()-9,排期计算!$U$10:$U$109,0))</f>
        <v/>
      </c>
      <c r="DD65" s="1" t="str">
        <f>IF($DC65="","",INDEX(排期计算!$L$10:$L$109,$DC65))</f>
        <v/>
      </c>
      <c r="DE65" s="1"/>
      <c r="DF65" s="1"/>
      <c r="DG65" s="1"/>
      <c r="DH65" s="1"/>
      <c r="DI65" s="1"/>
      <c r="DJ65" s="1"/>
      <c r="DK65" s="1"/>
    </row>
    <row r="66" spans="1:115" ht="24.95" customHeight="1">
      <c r="A66" s="9" t="str">
        <f>IF($DC66="","",IF(AND(INDEX(排期计算!$A$10:$A$109,$DC66)="",NOT(ISNUMBER(INDEX(排期计算!$A$10:$A$109,$DC66)))),"",INDEX(排期计算!$A$10:$A$109,$DC66)))</f>
        <v/>
      </c>
      <c r="B66" s="1" t="str">
        <f>IF($DC66="","",REPT("　",$DD66-1)&amp;INDEX(排期计算!$B$10:$B$109,$DC66))</f>
        <v/>
      </c>
      <c r="C66" s="3" t="str">
        <f>IF($DC66="","",IF(AND(INDEX(排期计算!$M$10:$M$109,$DC66)="",NOT(ISNUMBER(INDEX(排期计算!$M$10:$M$109,$DC66)))),"",INDEX(排期计算!$M$10:$M$109,$DC66)))</f>
        <v/>
      </c>
      <c r="D66" s="3" t="str">
        <f>IF($DC66="","",IF(AND(INDEX(排期计算!$N$10:$N$109,$DC66)="",NOT(ISNUMBER(INDEX(排期计算!$N$10:$N$109,$DC66)))),"",INDEX(排期计算!$N$10:$N$109,$DC66)))</f>
        <v/>
      </c>
      <c r="E66" s="1" t="str">
        <f>IF(OR($C66="",$D66=""),"",IF($J66="里程碑",0,NETWORKDAYS($C66,$D66)))</f>
        <v/>
      </c>
      <c r="F66" s="7" t="str">
        <f>IF($DC66="","",IF(AND(INDEX(排期计算!$O$10:$O$109,$DC66)="",NOT(ISNUMBER(INDEX(排期计算!$O$10:$O$109,$DC66)))),"",INDEX(排期计算!$O$10:$O$109,$DC66)))</f>
        <v/>
      </c>
      <c r="G66" s="8" t="str">
        <f>IF($A66="","",IF(OR($C66="",$D66=""),"未排期",IF($F66&gt;=1,"已完成",IF($D66&lt;$B$4,"逾期",IF($C66&gt;$B$4,"未开始","进行中")))))</f>
        <v/>
      </c>
      <c r="H66" s="1" t="str">
        <f>IF($DC66="","",IF(AND(INDEX(排期计算!$C$10:$C$109,$DC66)="",NOT(ISNUMBER(INDEX(排期计算!$C$10:$C$109,$DC66)))),"",INDEX(排期计算!$C$10:$C$109,$DC66)))</f>
        <v/>
      </c>
      <c r="I66" s="1" t="str">
        <f>IF($DC66="","",IF(AND(INDEX(排期计算!$H$10:$H$109,$DC66)="",NOT(ISNUMBER(INDEX(排期计算!$H$10:$H$109,$DC66)))),"",INDEX(排期计算!$H$10:$H$109,$DC66)))</f>
        <v/>
      </c>
      <c r="J66" s="1" t="str">
        <f>IF($DC66="","",IF(AND(INDEX(排期计算!$K$10:$K$109,$DC66)="",NOT(ISNUMBER(INDEX(排期计算!$K$10:$K$109,$DC66)))),"",INDEX(排期计算!$K$10:$K$109,$DC66)))</f>
        <v/>
      </c>
      <c r="K66" s="8" t="str">
        <f>IF(OR($A66="",$C66="",$D66="",$C66&gt;K$6,$D66&lt;K$9),"",IF($J66="里程碑","◆",""))</f>
        <v/>
      </c>
      <c r="L66" s="8" t="str">
        <f>IF(OR($A66="",$C66="",$D66="",$C66&gt;L$6,$D66&lt;L$9),"",IF($J66="里程碑","◆",""))</f>
        <v/>
      </c>
      <c r="M66" s="8" t="str">
        <f>IF(OR($A66="",$C66="",$D66="",$C66&gt;M$6,$D66&lt;M$9),"",IF($J66="里程碑","◆",""))</f>
        <v/>
      </c>
      <c r="N66" s="8" t="str">
        <f>IF(OR($A66="",$C66="",$D66="",$C66&gt;N$6,$D66&lt;N$9),"",IF($J66="里程碑","◆",""))</f>
        <v/>
      </c>
      <c r="O66" s="8" t="str">
        <f>IF(OR($A66="",$C66="",$D66="",$C66&gt;O$6,$D66&lt;O$9),"",IF($J66="里程碑","◆",""))</f>
        <v/>
      </c>
      <c r="P66" s="8" t="str">
        <f>IF(OR($A66="",$C66="",$D66="",$C66&gt;P$6,$D66&lt;P$9),"",IF($J66="里程碑","◆",""))</f>
        <v/>
      </c>
      <c r="Q66" s="8" t="str">
        <f>IF(OR($A66="",$C66="",$D66="",$C66&gt;Q$6,$D66&lt;Q$9),"",IF($J66="里程碑","◆",""))</f>
        <v/>
      </c>
      <c r="R66" s="8" t="str">
        <f>IF(OR($A66="",$C66="",$D66="",$C66&gt;R$6,$D66&lt;R$9),"",IF($J66="里程碑","◆",""))</f>
        <v/>
      </c>
      <c r="S66" s="8" t="str">
        <f>IF(OR($A66="",$C66="",$D66="",$C66&gt;S$6,$D66&lt;S$9),"",IF($J66="里程碑","◆",""))</f>
        <v/>
      </c>
      <c r="T66" s="8" t="str">
        <f>IF(OR($A66="",$C66="",$D66="",$C66&gt;T$6,$D66&lt;T$9),"",IF($J66="里程碑","◆",""))</f>
        <v/>
      </c>
      <c r="U66" s="8" t="str">
        <f>IF(OR($A66="",$C66="",$D66="",$C66&gt;U$6,$D66&lt;U$9),"",IF($J66="里程碑","◆",""))</f>
        <v/>
      </c>
      <c r="V66" s="8" t="str">
        <f>IF(OR($A66="",$C66="",$D66="",$C66&gt;V$6,$D66&lt;V$9),"",IF($J66="里程碑","◆",""))</f>
        <v/>
      </c>
      <c r="W66" s="8" t="str">
        <f>IF(OR($A66="",$C66="",$D66="",$C66&gt;W$6,$D66&lt;W$9),"",IF($J66="里程碑","◆",""))</f>
        <v/>
      </c>
      <c r="X66" s="8" t="str">
        <f>IF(OR($A66="",$C66="",$D66="",$C66&gt;X$6,$D66&lt;X$9),"",IF($J66="里程碑","◆",""))</f>
        <v/>
      </c>
      <c r="Y66" s="8" t="str">
        <f>IF(OR($A66="",$C66="",$D66="",$C66&gt;Y$6,$D66&lt;Y$9),"",IF($J66="里程碑","◆",""))</f>
        <v/>
      </c>
      <c r="Z66" s="8" t="str">
        <f>IF(OR($A66="",$C66="",$D66="",$C66&gt;Z$6,$D66&lt;Z$9),"",IF($J66="里程碑","◆",""))</f>
        <v/>
      </c>
      <c r="AA66" s="8" t="str">
        <f>IF(OR($A66="",$C66="",$D66="",$C66&gt;AA$6,$D66&lt;AA$9),"",IF($J66="里程碑","◆",""))</f>
        <v/>
      </c>
      <c r="AB66" s="8" t="str">
        <f>IF(OR($A66="",$C66="",$D66="",$C66&gt;AB$6,$D66&lt;AB$9),"",IF($J66="里程碑","◆",""))</f>
        <v/>
      </c>
      <c r="AC66" s="8" t="str">
        <f>IF(OR($A66="",$C66="",$D66="",$C66&gt;AC$6,$D66&lt;AC$9),"",IF($J66="里程碑","◆",""))</f>
        <v/>
      </c>
      <c r="AD66" s="8" t="str">
        <f>IF(OR($A66="",$C66="",$D66="",$C66&gt;AD$6,$D66&lt;AD$9),"",IF($J66="里程碑","◆",""))</f>
        <v/>
      </c>
      <c r="AE66" s="8" t="str">
        <f>IF(OR($A66="",$C66="",$D66="",$C66&gt;AE$6,$D66&lt;AE$9),"",IF($J66="里程碑","◆",""))</f>
        <v/>
      </c>
      <c r="AF66" s="8" t="str">
        <f>IF(OR($A66="",$C66="",$D66="",$C66&gt;AF$6,$D66&lt;AF$9),"",IF($J66="里程碑","◆",""))</f>
        <v/>
      </c>
      <c r="AG66" s="8" t="str">
        <f>IF(OR($A66="",$C66="",$D66="",$C66&gt;AG$6,$D66&lt;AG$9),"",IF($J66="里程碑","◆",""))</f>
        <v/>
      </c>
      <c r="AH66" s="8" t="str">
        <f>IF(OR($A66="",$C66="",$D66="",$C66&gt;AH$6,$D66&lt;AH$9),"",IF($J66="里程碑","◆",""))</f>
        <v/>
      </c>
      <c r="AI66" s="8" t="str">
        <f>IF(OR($A66="",$C66="",$D66="",$C66&gt;AI$6,$D66&lt;AI$9),"",IF($J66="里程碑","◆",""))</f>
        <v/>
      </c>
      <c r="AJ66" s="8" t="str">
        <f>IF(OR($A66="",$C66="",$D66="",$C66&gt;AJ$6,$D66&lt;AJ$9),"",IF($J66="里程碑","◆",""))</f>
        <v/>
      </c>
      <c r="AK66" s="8" t="str">
        <f>IF(OR($A66="",$C66="",$D66="",$C66&gt;AK$6,$D66&lt;AK$9),"",IF($J66="里程碑","◆",""))</f>
        <v/>
      </c>
      <c r="AL66" s="8" t="str">
        <f>IF(OR($A66="",$C66="",$D66="",$C66&gt;AL$6,$D66&lt;AL$9),"",IF($J66="里程碑","◆",""))</f>
        <v/>
      </c>
      <c r="AM66" s="8" t="str">
        <f>IF(OR($A66="",$C66="",$D66="",$C66&gt;AM$6,$D66&lt;AM$9),"",IF($J66="里程碑","◆",""))</f>
        <v/>
      </c>
      <c r="AN66" s="8" t="str">
        <f>IF(OR($A66="",$C66="",$D66="",$C66&gt;AN$6,$D66&lt;AN$9),"",IF($J66="里程碑","◆",""))</f>
        <v/>
      </c>
      <c r="AO66" s="8" t="str">
        <f>IF(OR($A66="",$C66="",$D66="",$C66&gt;AO$6,$D66&lt;AO$9),"",IF($J66="里程碑","◆",""))</f>
        <v/>
      </c>
      <c r="AP66" s="8" t="str">
        <f>IF(OR($A66="",$C66="",$D66="",$C66&gt;AP$6,$D66&lt;AP$9),"",IF($J66="里程碑","◆",""))</f>
        <v/>
      </c>
      <c r="AQ66" s="8" t="str">
        <f>IF(OR($A66="",$C66="",$D66="",$C66&gt;AQ$6,$D66&lt;AQ$9),"",IF($J66="里程碑","◆",""))</f>
        <v/>
      </c>
      <c r="AR66" s="8" t="str">
        <f>IF(OR($A66="",$C66="",$D66="",$C66&gt;AR$6,$D66&lt;AR$9),"",IF($J66="里程碑","◆",""))</f>
        <v/>
      </c>
      <c r="AS66" s="8" t="str">
        <f>IF(OR($A66="",$C66="",$D66="",$C66&gt;AS$6,$D66&lt;AS$9),"",IF($J66="里程碑","◆",""))</f>
        <v/>
      </c>
      <c r="AT66" s="8" t="str">
        <f>IF(OR($A66="",$C66="",$D66="",$C66&gt;AT$6,$D66&lt;AT$9),"",IF($J66="里程碑","◆",""))</f>
        <v/>
      </c>
      <c r="AU66" s="8" t="str">
        <f>IF(OR($A66="",$C66="",$D66="",$C66&gt;AU$6,$D66&lt;AU$9),"",IF($J66="里程碑","◆",""))</f>
        <v/>
      </c>
      <c r="AV66" s="8" t="str">
        <f>IF(OR($A66="",$C66="",$D66="",$C66&gt;AV$6,$D66&lt;AV$9),"",IF($J66="里程碑","◆",""))</f>
        <v/>
      </c>
      <c r="AW66" s="8" t="str">
        <f>IF(OR($A66="",$C66="",$D66="",$C66&gt;AW$6,$D66&lt;AW$9),"",IF($J66="里程碑","◆",""))</f>
        <v/>
      </c>
      <c r="AX66" s="8" t="str">
        <f>IF(OR($A66="",$C66="",$D66="",$C66&gt;AX$6,$D66&lt;AX$9),"",IF($J66="里程碑","◆",""))</f>
        <v/>
      </c>
      <c r="AY66" s="8" t="str">
        <f>IF(OR($A66="",$C66="",$D66="",$C66&gt;AY$6,$D66&lt;AY$9),"",IF($J66="里程碑","◆",""))</f>
        <v/>
      </c>
      <c r="AZ66" s="8" t="str">
        <f>IF(OR($A66="",$C66="",$D66="",$C66&gt;AZ$6,$D66&lt;AZ$9),"",IF($J66="里程碑","◆",""))</f>
        <v/>
      </c>
      <c r="BA66" s="8" t="str">
        <f>IF(OR($A66="",$C66="",$D66="",$C66&gt;BA$6,$D66&lt;BA$9),"",IF($J66="里程碑","◆",""))</f>
        <v/>
      </c>
      <c r="BB66" s="8" t="str">
        <f>IF(OR($A66="",$C66="",$D66="",$C66&gt;BB$6,$D66&lt;BB$9),"",IF($J66="里程碑","◆",""))</f>
        <v/>
      </c>
      <c r="BC66" s="8" t="str">
        <f>IF(OR($A66="",$C66="",$D66="",$C66&gt;BC$6,$D66&lt;BC$9),"",IF($J66="里程碑","◆",""))</f>
        <v/>
      </c>
      <c r="BD66" s="8" t="str">
        <f>IF(OR($A66="",$C66="",$D66="",$C66&gt;BD$6,$D66&lt;BD$9),"",IF($J66="里程碑","◆",""))</f>
        <v/>
      </c>
      <c r="BE66" s="8" t="str">
        <f>IF(OR($A66="",$C66="",$D66="",$C66&gt;BE$6,$D66&lt;BE$9),"",IF($J66="里程碑","◆",""))</f>
        <v/>
      </c>
      <c r="BF66" s="8" t="str">
        <f>IF(OR($A66="",$C66="",$D66="",$C66&gt;BF$6,$D66&lt;BF$9),"",IF($J66="里程碑","◆",""))</f>
        <v/>
      </c>
      <c r="BG66" s="8" t="str">
        <f>IF(OR($A66="",$C66="",$D66="",$C66&gt;BG$6,$D66&lt;BG$9),"",IF($J66="里程碑","◆",""))</f>
        <v/>
      </c>
      <c r="BH66" s="8" t="str">
        <f>IF(OR($A66="",$C66="",$D66="",$C66&gt;BH$6,$D66&lt;BH$9),"",IF($J66="里程碑","◆",""))</f>
        <v/>
      </c>
      <c r="BI66" s="8" t="str">
        <f>IF(OR($A66="",$C66="",$D66="",$C66&gt;BI$6,$D66&lt;BI$9),"",IF($J66="里程碑","◆",""))</f>
        <v/>
      </c>
      <c r="BJ66" s="8" t="str">
        <f>IF(OR($A66="",$C66="",$D66="",$C66&gt;BJ$6,$D66&lt;BJ$9),"",IF($J66="里程碑","◆",""))</f>
        <v/>
      </c>
      <c r="BK66" s="8" t="str">
        <f>IF(OR($A66="",$C66="",$D66="",$C66&gt;BK$6,$D66&lt;BK$9),"",IF($J66="里程碑","◆",""))</f>
        <v/>
      </c>
      <c r="BL66" s="8" t="str">
        <f>IF(OR($A66="",$C66="",$D66="",$C66&gt;BL$6,$D66&lt;BL$9),"",IF($J66="里程碑","◆",""))</f>
        <v/>
      </c>
      <c r="BM66" s="8" t="str">
        <f>IF(OR($A66="",$C66="",$D66="",$C66&gt;BM$6,$D66&lt;BM$9),"",IF($J66="里程碑","◆",""))</f>
        <v/>
      </c>
      <c r="BN66" s="8" t="str">
        <f>IF(OR($A66="",$C66="",$D66="",$C66&gt;BN$6,$D66&lt;BN$9),"",IF($J66="里程碑","◆",""))</f>
        <v/>
      </c>
      <c r="BO66" s="8" t="str">
        <f>IF(OR($A66="",$C66="",$D66="",$C66&gt;BO$6,$D66&lt;BO$9),"",IF($J66="里程碑","◆",""))</f>
        <v/>
      </c>
      <c r="BP66" s="8" t="str">
        <f>IF(OR($A66="",$C66="",$D66="",$C66&gt;BP$6,$D66&lt;BP$9),"",IF($J66="里程碑","◆",""))</f>
        <v/>
      </c>
      <c r="BQ66" s="8" t="str">
        <f>IF(OR($A66="",$C66="",$D66="",$C66&gt;BQ$6,$D66&lt;BQ$9),"",IF($J66="里程碑","◆",""))</f>
        <v/>
      </c>
      <c r="BR66" s="8" t="str">
        <f>IF(OR($A66="",$C66="",$D66="",$C66&gt;BR$6,$D66&lt;BR$9),"",IF($J66="里程碑","◆",""))</f>
        <v/>
      </c>
      <c r="BS66" s="8" t="str">
        <f>IF(OR($A66="",$C66="",$D66="",$C66&gt;BS$6,$D66&lt;BS$9),"",IF($J66="里程碑","◆",""))</f>
        <v/>
      </c>
      <c r="BT66" s="8" t="str">
        <f>IF(OR($A66="",$C66="",$D66="",$C66&gt;BT$6,$D66&lt;BT$9),"",IF($J66="里程碑","◆",""))</f>
        <v/>
      </c>
      <c r="BU66" s="8" t="str">
        <f>IF(OR($A66="",$C66="",$D66="",$C66&gt;BU$6,$D66&lt;BU$9),"",IF($J66="里程碑","◆",""))</f>
        <v/>
      </c>
      <c r="BV66" s="8" t="str">
        <f>IF(OR($A66="",$C66="",$D66="",$C66&gt;BV$6,$D66&lt;BV$9),"",IF($J66="里程碑","◆",""))</f>
        <v/>
      </c>
      <c r="BW66" s="8" t="str">
        <f>IF(OR($A66="",$C66="",$D66="",$C66&gt;BW$6,$D66&lt;BW$9),"",IF($J66="里程碑","◆",""))</f>
        <v/>
      </c>
      <c r="BX66" s="8" t="str">
        <f>IF(OR($A66="",$C66="",$D66="",$C66&gt;BX$6,$D66&lt;BX$9),"",IF($J66="里程碑","◆",""))</f>
        <v/>
      </c>
      <c r="BY66" s="8" t="str">
        <f>IF(OR($A66="",$C66="",$D66="",$C66&gt;BY$6,$D66&lt;BY$9),"",IF($J66="里程碑","◆",""))</f>
        <v/>
      </c>
      <c r="BZ66" s="8" t="str">
        <f>IF(OR($A66="",$C66="",$D66="",$C66&gt;BZ$6,$D66&lt;BZ$9),"",IF($J66="里程碑","◆",""))</f>
        <v/>
      </c>
      <c r="CA66" s="8" t="str">
        <f>IF(OR($A66="",$C66="",$D66="",$C66&gt;CA$6,$D66&lt;CA$9),"",IF($J66="里程碑","◆",""))</f>
        <v/>
      </c>
      <c r="CB66" s="8" t="str">
        <f>IF(OR($A66="",$C66="",$D66="",$C66&gt;CB$6,$D66&lt;CB$9),"",IF($J66="里程碑","◆",""))</f>
        <v/>
      </c>
      <c r="CC66" s="8" t="str">
        <f>IF(OR($A66="",$C66="",$D66="",$C66&gt;CC$6,$D66&lt;CC$9),"",IF($J66="里程碑","◆",""))</f>
        <v/>
      </c>
      <c r="CD66" s="8" t="str">
        <f>IF(OR($A66="",$C66="",$D66="",$C66&gt;CD$6,$D66&lt;CD$9),"",IF($J66="里程碑","◆",""))</f>
        <v/>
      </c>
      <c r="CE66" s="8" t="str">
        <f>IF(OR($A66="",$C66="",$D66="",$C66&gt;CE$6,$D66&lt;CE$9),"",IF($J66="里程碑","◆",""))</f>
        <v/>
      </c>
      <c r="CF66" s="8" t="str">
        <f>IF(OR($A66="",$C66="",$D66="",$C66&gt;CF$6,$D66&lt;CF$9),"",IF($J66="里程碑","◆",""))</f>
        <v/>
      </c>
      <c r="CG66" s="8" t="str">
        <f>IF(OR($A66="",$C66="",$D66="",$C66&gt;CG$6,$D66&lt;CG$9),"",IF($J66="里程碑","◆",""))</f>
        <v/>
      </c>
      <c r="CH66" s="8" t="str">
        <f>IF(OR($A66="",$C66="",$D66="",$C66&gt;CH$6,$D66&lt;CH$9),"",IF($J66="里程碑","◆",""))</f>
        <v/>
      </c>
      <c r="CI66" s="8" t="str">
        <f>IF(OR($A66="",$C66="",$D66="",$C66&gt;CI$6,$D66&lt;CI$9),"",IF($J66="里程碑","◆",""))</f>
        <v/>
      </c>
      <c r="CJ66" s="8" t="str">
        <f>IF(OR($A66="",$C66="",$D66="",$C66&gt;CJ$6,$D66&lt;CJ$9),"",IF($J66="里程碑","◆",""))</f>
        <v/>
      </c>
      <c r="CK66" s="8" t="str">
        <f>IF(OR($A66="",$C66="",$D66="",$C66&gt;CK$6,$D66&lt;CK$9),"",IF($J66="里程碑","◆",""))</f>
        <v/>
      </c>
      <c r="CL66" s="8" t="str">
        <f>IF(OR($A66="",$C66="",$D66="",$C66&gt;CL$6,$D66&lt;CL$9),"",IF($J66="里程碑","◆",""))</f>
        <v/>
      </c>
      <c r="CM66" s="8" t="str">
        <f>IF(OR($A66="",$C66="",$D66="",$C66&gt;CM$6,$D66&lt;CM$9),"",IF($J66="里程碑","◆",""))</f>
        <v/>
      </c>
      <c r="CN66" s="8" t="str">
        <f>IF(OR($A66="",$C66="",$D66="",$C66&gt;CN$6,$D66&lt;CN$9),"",IF($J66="里程碑","◆",""))</f>
        <v/>
      </c>
      <c r="CO66" s="8" t="str">
        <f>IF(OR($A66="",$C66="",$D66="",$C66&gt;CO$6,$D66&lt;CO$9),"",IF($J66="里程碑","◆",""))</f>
        <v/>
      </c>
      <c r="CP66" s="8" t="str">
        <f>IF(OR($A66="",$C66="",$D66="",$C66&gt;CP$6,$D66&lt;CP$9),"",IF($J66="里程碑","◆",""))</f>
        <v/>
      </c>
      <c r="CQ66" s="8" t="str">
        <f>IF(OR($A66="",$C66="",$D66="",$C66&gt;CQ$6,$D66&lt;CQ$9),"",IF($J66="里程碑","◆",""))</f>
        <v/>
      </c>
      <c r="CR66" s="8" t="str">
        <f>IF(OR($A66="",$C66="",$D66="",$C66&gt;CR$6,$D66&lt;CR$9),"",IF($J66="里程碑","◆",""))</f>
        <v/>
      </c>
      <c r="CS66" s="8" t="str">
        <f>IF(OR($A66="",$C66="",$D66="",$C66&gt;CS$6,$D66&lt;CS$9),"",IF($J66="里程碑","◆",""))</f>
        <v/>
      </c>
      <c r="CT66" s="8" t="str">
        <f>IF(OR($A66="",$C66="",$D66="",$C66&gt;CT$6,$D66&lt;CT$9),"",IF($J66="里程碑","◆",""))</f>
        <v/>
      </c>
      <c r="CU66" s="8" t="str">
        <f>IF(OR($A66="",$C66="",$D66="",$C66&gt;CU$6,$D66&lt;CU$9),"",IF($J66="里程碑","◆",""))</f>
        <v/>
      </c>
      <c r="CV66" s="8" t="str">
        <f>IF(OR($A66="",$C66="",$D66="",$C66&gt;CV$6,$D66&lt;CV$9),"",IF($J66="里程碑","◆",""))</f>
        <v/>
      </c>
      <c r="CW66" s="8" t="str">
        <f>IF(OR($A66="",$C66="",$D66="",$C66&gt;CW$6,$D66&lt;CW$9),"",IF($J66="里程碑","◆",""))</f>
        <v/>
      </c>
      <c r="CX66" s="8" t="str">
        <f>IF(OR($A66="",$C66="",$D66="",$C66&gt;CX$6,$D66&lt;CX$9),"",IF($J66="里程碑","◆",""))</f>
        <v/>
      </c>
      <c r="CY66" s="8" t="str">
        <f>IF(OR($A66="",$C66="",$D66="",$C66&gt;CY$6,$D66&lt;CY$9),"",IF($J66="里程碑","◆",""))</f>
        <v/>
      </c>
      <c r="CZ66" s="8" t="str">
        <f>IF(OR($A66="",$C66="",$D66="",$C66&gt;CZ$6,$D66&lt;CZ$9),"",IF($J66="里程碑","◆",""))</f>
        <v/>
      </c>
      <c r="DA66" s="8" t="str">
        <f>IF(OR($A66="",$C66="",$D66="",$C66&gt;DA$6,$D66&lt;DA$9),"",IF($J66="里程碑","◆",""))</f>
        <v/>
      </c>
      <c r="DB66" s="8" t="str">
        <f>IF(OR($A66="",$C66="",$D66="",$C66&gt;DB$6,$D66&lt;DB$9),"",IF($J66="里程碑","◆",""))</f>
        <v/>
      </c>
      <c r="DC66" s="1" t="str">
        <f>IF(ROW()-9&gt;$DH$3,"",MATCH(ROW()-9,排期计算!$U$10:$U$109,0))</f>
        <v/>
      </c>
      <c r="DD66" s="1" t="str">
        <f>IF($DC66="","",INDEX(排期计算!$L$10:$L$109,$DC66))</f>
        <v/>
      </c>
      <c r="DE66" s="1"/>
      <c r="DF66" s="1"/>
      <c r="DG66" s="1"/>
      <c r="DH66" s="1"/>
      <c r="DI66" s="1"/>
      <c r="DJ66" s="1"/>
      <c r="DK66" s="1"/>
    </row>
    <row r="67" spans="1:115" ht="24.95" customHeight="1">
      <c r="A67" s="9" t="str">
        <f>IF($DC67="","",IF(AND(INDEX(排期计算!$A$10:$A$109,$DC67)="",NOT(ISNUMBER(INDEX(排期计算!$A$10:$A$109,$DC67)))),"",INDEX(排期计算!$A$10:$A$109,$DC67)))</f>
        <v/>
      </c>
      <c r="B67" s="1" t="str">
        <f>IF($DC67="","",REPT("　",$DD67-1)&amp;INDEX(排期计算!$B$10:$B$109,$DC67))</f>
        <v/>
      </c>
      <c r="C67" s="3" t="str">
        <f>IF($DC67="","",IF(AND(INDEX(排期计算!$M$10:$M$109,$DC67)="",NOT(ISNUMBER(INDEX(排期计算!$M$10:$M$109,$DC67)))),"",INDEX(排期计算!$M$10:$M$109,$DC67)))</f>
        <v/>
      </c>
      <c r="D67" s="3" t="str">
        <f>IF($DC67="","",IF(AND(INDEX(排期计算!$N$10:$N$109,$DC67)="",NOT(ISNUMBER(INDEX(排期计算!$N$10:$N$109,$DC67)))),"",INDEX(排期计算!$N$10:$N$109,$DC67)))</f>
        <v/>
      </c>
      <c r="E67" s="1" t="str">
        <f>IF(OR($C67="",$D67=""),"",IF($J67="里程碑",0,NETWORKDAYS($C67,$D67)))</f>
        <v/>
      </c>
      <c r="F67" s="7" t="str">
        <f>IF($DC67="","",IF(AND(INDEX(排期计算!$O$10:$O$109,$DC67)="",NOT(ISNUMBER(INDEX(排期计算!$O$10:$O$109,$DC67)))),"",INDEX(排期计算!$O$10:$O$109,$DC67)))</f>
        <v/>
      </c>
      <c r="G67" s="8" t="str">
        <f>IF($A67="","",IF(OR($C67="",$D67=""),"未排期",IF($F67&gt;=1,"已完成",IF($D67&lt;$B$4,"逾期",IF($C67&gt;$B$4,"未开始","进行中")))))</f>
        <v/>
      </c>
      <c r="H67" s="1" t="str">
        <f>IF($DC67="","",IF(AND(INDEX(排期计算!$C$10:$C$109,$DC67)="",NOT(ISNUMBER(INDEX(排期计算!$C$10:$C$109,$DC67)))),"",INDEX(排期计算!$C$10:$C$109,$DC67)))</f>
        <v/>
      </c>
      <c r="I67" s="1" t="str">
        <f>IF($DC67="","",IF(AND(INDEX(排期计算!$H$10:$H$109,$DC67)="",NOT(ISNUMBER(INDEX(排期计算!$H$10:$H$109,$DC67)))),"",INDEX(排期计算!$H$10:$H$109,$DC67)))</f>
        <v/>
      </c>
      <c r="J67" s="1" t="str">
        <f>IF($DC67="","",IF(AND(INDEX(排期计算!$K$10:$K$109,$DC67)="",NOT(ISNUMBER(INDEX(排期计算!$K$10:$K$109,$DC67)))),"",INDEX(排期计算!$K$10:$K$109,$DC67)))</f>
        <v/>
      </c>
      <c r="K67" s="8" t="str">
        <f>IF(OR($A67="",$C67="",$D67="",$C67&gt;K$6,$D67&lt;K$9),"",IF($J67="里程碑","◆",""))</f>
        <v/>
      </c>
      <c r="L67" s="8" t="str">
        <f>IF(OR($A67="",$C67="",$D67="",$C67&gt;L$6,$D67&lt;L$9),"",IF($J67="里程碑","◆",""))</f>
        <v/>
      </c>
      <c r="M67" s="8" t="str">
        <f>IF(OR($A67="",$C67="",$D67="",$C67&gt;M$6,$D67&lt;M$9),"",IF($J67="里程碑","◆",""))</f>
        <v/>
      </c>
      <c r="N67" s="8" t="str">
        <f>IF(OR($A67="",$C67="",$D67="",$C67&gt;N$6,$D67&lt;N$9),"",IF($J67="里程碑","◆",""))</f>
        <v/>
      </c>
      <c r="O67" s="8" t="str">
        <f>IF(OR($A67="",$C67="",$D67="",$C67&gt;O$6,$D67&lt;O$9),"",IF($J67="里程碑","◆",""))</f>
        <v/>
      </c>
      <c r="P67" s="8" t="str">
        <f>IF(OR($A67="",$C67="",$D67="",$C67&gt;P$6,$D67&lt;P$9),"",IF($J67="里程碑","◆",""))</f>
        <v/>
      </c>
      <c r="Q67" s="8" t="str">
        <f>IF(OR($A67="",$C67="",$D67="",$C67&gt;Q$6,$D67&lt;Q$9),"",IF($J67="里程碑","◆",""))</f>
        <v/>
      </c>
      <c r="R67" s="8" t="str">
        <f>IF(OR($A67="",$C67="",$D67="",$C67&gt;R$6,$D67&lt;R$9),"",IF($J67="里程碑","◆",""))</f>
        <v/>
      </c>
      <c r="S67" s="8" t="str">
        <f>IF(OR($A67="",$C67="",$D67="",$C67&gt;S$6,$D67&lt;S$9),"",IF($J67="里程碑","◆",""))</f>
        <v/>
      </c>
      <c r="T67" s="8" t="str">
        <f>IF(OR($A67="",$C67="",$D67="",$C67&gt;T$6,$D67&lt;T$9),"",IF($J67="里程碑","◆",""))</f>
        <v/>
      </c>
      <c r="U67" s="8" t="str">
        <f>IF(OR($A67="",$C67="",$D67="",$C67&gt;U$6,$D67&lt;U$9),"",IF($J67="里程碑","◆",""))</f>
        <v/>
      </c>
      <c r="V67" s="8" t="str">
        <f>IF(OR($A67="",$C67="",$D67="",$C67&gt;V$6,$D67&lt;V$9),"",IF($J67="里程碑","◆",""))</f>
        <v/>
      </c>
      <c r="W67" s="8" t="str">
        <f>IF(OR($A67="",$C67="",$D67="",$C67&gt;W$6,$D67&lt;W$9),"",IF($J67="里程碑","◆",""))</f>
        <v/>
      </c>
      <c r="X67" s="8" t="str">
        <f>IF(OR($A67="",$C67="",$D67="",$C67&gt;X$6,$D67&lt;X$9),"",IF($J67="里程碑","◆",""))</f>
        <v/>
      </c>
      <c r="Y67" s="8" t="str">
        <f>IF(OR($A67="",$C67="",$D67="",$C67&gt;Y$6,$D67&lt;Y$9),"",IF($J67="里程碑","◆",""))</f>
        <v/>
      </c>
      <c r="Z67" s="8" t="str">
        <f>IF(OR($A67="",$C67="",$D67="",$C67&gt;Z$6,$D67&lt;Z$9),"",IF($J67="里程碑","◆",""))</f>
        <v/>
      </c>
      <c r="AA67" s="8" t="str">
        <f>IF(OR($A67="",$C67="",$D67="",$C67&gt;AA$6,$D67&lt;AA$9),"",IF($J67="里程碑","◆",""))</f>
        <v/>
      </c>
      <c r="AB67" s="8" t="str">
        <f>IF(OR($A67="",$C67="",$D67="",$C67&gt;AB$6,$D67&lt;AB$9),"",IF($J67="里程碑","◆",""))</f>
        <v/>
      </c>
      <c r="AC67" s="8" t="str">
        <f>IF(OR($A67="",$C67="",$D67="",$C67&gt;AC$6,$D67&lt;AC$9),"",IF($J67="里程碑","◆",""))</f>
        <v/>
      </c>
      <c r="AD67" s="8" t="str">
        <f>IF(OR($A67="",$C67="",$D67="",$C67&gt;AD$6,$D67&lt;AD$9),"",IF($J67="里程碑","◆",""))</f>
        <v/>
      </c>
      <c r="AE67" s="8" t="str">
        <f>IF(OR($A67="",$C67="",$D67="",$C67&gt;AE$6,$D67&lt;AE$9),"",IF($J67="里程碑","◆",""))</f>
        <v/>
      </c>
      <c r="AF67" s="8" t="str">
        <f>IF(OR($A67="",$C67="",$D67="",$C67&gt;AF$6,$D67&lt;AF$9),"",IF($J67="里程碑","◆",""))</f>
        <v/>
      </c>
      <c r="AG67" s="8" t="str">
        <f>IF(OR($A67="",$C67="",$D67="",$C67&gt;AG$6,$D67&lt;AG$9),"",IF($J67="里程碑","◆",""))</f>
        <v/>
      </c>
      <c r="AH67" s="8" t="str">
        <f>IF(OR($A67="",$C67="",$D67="",$C67&gt;AH$6,$D67&lt;AH$9),"",IF($J67="里程碑","◆",""))</f>
        <v/>
      </c>
      <c r="AI67" s="8" t="str">
        <f>IF(OR($A67="",$C67="",$D67="",$C67&gt;AI$6,$D67&lt;AI$9),"",IF($J67="里程碑","◆",""))</f>
        <v/>
      </c>
      <c r="AJ67" s="8" t="str">
        <f>IF(OR($A67="",$C67="",$D67="",$C67&gt;AJ$6,$D67&lt;AJ$9),"",IF($J67="里程碑","◆",""))</f>
        <v/>
      </c>
      <c r="AK67" s="8" t="str">
        <f>IF(OR($A67="",$C67="",$D67="",$C67&gt;AK$6,$D67&lt;AK$9),"",IF($J67="里程碑","◆",""))</f>
        <v/>
      </c>
      <c r="AL67" s="8" t="str">
        <f>IF(OR($A67="",$C67="",$D67="",$C67&gt;AL$6,$D67&lt;AL$9),"",IF($J67="里程碑","◆",""))</f>
        <v/>
      </c>
      <c r="AM67" s="8" t="str">
        <f>IF(OR($A67="",$C67="",$D67="",$C67&gt;AM$6,$D67&lt;AM$9),"",IF($J67="里程碑","◆",""))</f>
        <v/>
      </c>
      <c r="AN67" s="8" t="str">
        <f>IF(OR($A67="",$C67="",$D67="",$C67&gt;AN$6,$D67&lt;AN$9),"",IF($J67="里程碑","◆",""))</f>
        <v/>
      </c>
      <c r="AO67" s="8" t="str">
        <f>IF(OR($A67="",$C67="",$D67="",$C67&gt;AO$6,$D67&lt;AO$9),"",IF($J67="里程碑","◆",""))</f>
        <v/>
      </c>
      <c r="AP67" s="8" t="str">
        <f>IF(OR($A67="",$C67="",$D67="",$C67&gt;AP$6,$D67&lt;AP$9),"",IF($J67="里程碑","◆",""))</f>
        <v/>
      </c>
      <c r="AQ67" s="8" t="str">
        <f>IF(OR($A67="",$C67="",$D67="",$C67&gt;AQ$6,$D67&lt;AQ$9),"",IF($J67="里程碑","◆",""))</f>
        <v/>
      </c>
      <c r="AR67" s="8" t="str">
        <f>IF(OR($A67="",$C67="",$D67="",$C67&gt;AR$6,$D67&lt;AR$9),"",IF($J67="里程碑","◆",""))</f>
        <v/>
      </c>
      <c r="AS67" s="8" t="str">
        <f>IF(OR($A67="",$C67="",$D67="",$C67&gt;AS$6,$D67&lt;AS$9),"",IF($J67="里程碑","◆",""))</f>
        <v/>
      </c>
      <c r="AT67" s="8" t="str">
        <f>IF(OR($A67="",$C67="",$D67="",$C67&gt;AT$6,$D67&lt;AT$9),"",IF($J67="里程碑","◆",""))</f>
        <v/>
      </c>
      <c r="AU67" s="8" t="str">
        <f>IF(OR($A67="",$C67="",$D67="",$C67&gt;AU$6,$D67&lt;AU$9),"",IF($J67="里程碑","◆",""))</f>
        <v/>
      </c>
      <c r="AV67" s="8" t="str">
        <f>IF(OR($A67="",$C67="",$D67="",$C67&gt;AV$6,$D67&lt;AV$9),"",IF($J67="里程碑","◆",""))</f>
        <v/>
      </c>
      <c r="AW67" s="8" t="str">
        <f>IF(OR($A67="",$C67="",$D67="",$C67&gt;AW$6,$D67&lt;AW$9),"",IF($J67="里程碑","◆",""))</f>
        <v/>
      </c>
      <c r="AX67" s="8" t="str">
        <f>IF(OR($A67="",$C67="",$D67="",$C67&gt;AX$6,$D67&lt;AX$9),"",IF($J67="里程碑","◆",""))</f>
        <v/>
      </c>
      <c r="AY67" s="8" t="str">
        <f>IF(OR($A67="",$C67="",$D67="",$C67&gt;AY$6,$D67&lt;AY$9),"",IF($J67="里程碑","◆",""))</f>
        <v/>
      </c>
      <c r="AZ67" s="8" t="str">
        <f>IF(OR($A67="",$C67="",$D67="",$C67&gt;AZ$6,$D67&lt;AZ$9),"",IF($J67="里程碑","◆",""))</f>
        <v/>
      </c>
      <c r="BA67" s="8" t="str">
        <f>IF(OR($A67="",$C67="",$D67="",$C67&gt;BA$6,$D67&lt;BA$9),"",IF($J67="里程碑","◆",""))</f>
        <v/>
      </c>
      <c r="BB67" s="8" t="str">
        <f>IF(OR($A67="",$C67="",$D67="",$C67&gt;BB$6,$D67&lt;BB$9),"",IF($J67="里程碑","◆",""))</f>
        <v/>
      </c>
      <c r="BC67" s="8" t="str">
        <f>IF(OR($A67="",$C67="",$D67="",$C67&gt;BC$6,$D67&lt;BC$9),"",IF($J67="里程碑","◆",""))</f>
        <v/>
      </c>
      <c r="BD67" s="8" t="str">
        <f>IF(OR($A67="",$C67="",$D67="",$C67&gt;BD$6,$D67&lt;BD$9),"",IF($J67="里程碑","◆",""))</f>
        <v/>
      </c>
      <c r="BE67" s="8" t="str">
        <f>IF(OR($A67="",$C67="",$D67="",$C67&gt;BE$6,$D67&lt;BE$9),"",IF($J67="里程碑","◆",""))</f>
        <v/>
      </c>
      <c r="BF67" s="8" t="str">
        <f>IF(OR($A67="",$C67="",$D67="",$C67&gt;BF$6,$D67&lt;BF$9),"",IF($J67="里程碑","◆",""))</f>
        <v/>
      </c>
      <c r="BG67" s="8" t="str">
        <f>IF(OR($A67="",$C67="",$D67="",$C67&gt;BG$6,$D67&lt;BG$9),"",IF($J67="里程碑","◆",""))</f>
        <v/>
      </c>
      <c r="BH67" s="8" t="str">
        <f>IF(OR($A67="",$C67="",$D67="",$C67&gt;BH$6,$D67&lt;BH$9),"",IF($J67="里程碑","◆",""))</f>
        <v/>
      </c>
      <c r="BI67" s="8" t="str">
        <f>IF(OR($A67="",$C67="",$D67="",$C67&gt;BI$6,$D67&lt;BI$9),"",IF($J67="里程碑","◆",""))</f>
        <v/>
      </c>
      <c r="BJ67" s="8" t="str">
        <f>IF(OR($A67="",$C67="",$D67="",$C67&gt;BJ$6,$D67&lt;BJ$9),"",IF($J67="里程碑","◆",""))</f>
        <v/>
      </c>
      <c r="BK67" s="8" t="str">
        <f>IF(OR($A67="",$C67="",$D67="",$C67&gt;BK$6,$D67&lt;BK$9),"",IF($J67="里程碑","◆",""))</f>
        <v/>
      </c>
      <c r="BL67" s="8" t="str">
        <f>IF(OR($A67="",$C67="",$D67="",$C67&gt;BL$6,$D67&lt;BL$9),"",IF($J67="里程碑","◆",""))</f>
        <v/>
      </c>
      <c r="BM67" s="8" t="str">
        <f>IF(OR($A67="",$C67="",$D67="",$C67&gt;BM$6,$D67&lt;BM$9),"",IF($J67="里程碑","◆",""))</f>
        <v/>
      </c>
      <c r="BN67" s="8" t="str">
        <f>IF(OR($A67="",$C67="",$D67="",$C67&gt;BN$6,$D67&lt;BN$9),"",IF($J67="里程碑","◆",""))</f>
        <v/>
      </c>
      <c r="BO67" s="8" t="str">
        <f>IF(OR($A67="",$C67="",$D67="",$C67&gt;BO$6,$D67&lt;BO$9),"",IF($J67="里程碑","◆",""))</f>
        <v/>
      </c>
      <c r="BP67" s="8" t="str">
        <f>IF(OR($A67="",$C67="",$D67="",$C67&gt;BP$6,$D67&lt;BP$9),"",IF($J67="里程碑","◆",""))</f>
        <v/>
      </c>
      <c r="BQ67" s="8" t="str">
        <f>IF(OR($A67="",$C67="",$D67="",$C67&gt;BQ$6,$D67&lt;BQ$9),"",IF($J67="里程碑","◆",""))</f>
        <v/>
      </c>
      <c r="BR67" s="8" t="str">
        <f>IF(OR($A67="",$C67="",$D67="",$C67&gt;BR$6,$D67&lt;BR$9),"",IF($J67="里程碑","◆",""))</f>
        <v/>
      </c>
      <c r="BS67" s="8" t="str">
        <f>IF(OR($A67="",$C67="",$D67="",$C67&gt;BS$6,$D67&lt;BS$9),"",IF($J67="里程碑","◆",""))</f>
        <v/>
      </c>
      <c r="BT67" s="8" t="str">
        <f>IF(OR($A67="",$C67="",$D67="",$C67&gt;BT$6,$D67&lt;BT$9),"",IF($J67="里程碑","◆",""))</f>
        <v/>
      </c>
      <c r="BU67" s="8" t="str">
        <f>IF(OR($A67="",$C67="",$D67="",$C67&gt;BU$6,$D67&lt;BU$9),"",IF($J67="里程碑","◆",""))</f>
        <v/>
      </c>
      <c r="BV67" s="8" t="str">
        <f>IF(OR($A67="",$C67="",$D67="",$C67&gt;BV$6,$D67&lt;BV$9),"",IF($J67="里程碑","◆",""))</f>
        <v/>
      </c>
      <c r="BW67" s="8" t="str">
        <f>IF(OR($A67="",$C67="",$D67="",$C67&gt;BW$6,$D67&lt;BW$9),"",IF($J67="里程碑","◆",""))</f>
        <v/>
      </c>
      <c r="BX67" s="8" t="str">
        <f>IF(OR($A67="",$C67="",$D67="",$C67&gt;BX$6,$D67&lt;BX$9),"",IF($J67="里程碑","◆",""))</f>
        <v/>
      </c>
      <c r="BY67" s="8" t="str">
        <f>IF(OR($A67="",$C67="",$D67="",$C67&gt;BY$6,$D67&lt;BY$9),"",IF($J67="里程碑","◆",""))</f>
        <v/>
      </c>
      <c r="BZ67" s="8" t="str">
        <f>IF(OR($A67="",$C67="",$D67="",$C67&gt;BZ$6,$D67&lt;BZ$9),"",IF($J67="里程碑","◆",""))</f>
        <v/>
      </c>
      <c r="CA67" s="8" t="str">
        <f>IF(OR($A67="",$C67="",$D67="",$C67&gt;CA$6,$D67&lt;CA$9),"",IF($J67="里程碑","◆",""))</f>
        <v/>
      </c>
      <c r="CB67" s="8" t="str">
        <f>IF(OR($A67="",$C67="",$D67="",$C67&gt;CB$6,$D67&lt;CB$9),"",IF($J67="里程碑","◆",""))</f>
        <v/>
      </c>
      <c r="CC67" s="8" t="str">
        <f>IF(OR($A67="",$C67="",$D67="",$C67&gt;CC$6,$D67&lt;CC$9),"",IF($J67="里程碑","◆",""))</f>
        <v/>
      </c>
      <c r="CD67" s="8" t="str">
        <f>IF(OR($A67="",$C67="",$D67="",$C67&gt;CD$6,$D67&lt;CD$9),"",IF($J67="里程碑","◆",""))</f>
        <v/>
      </c>
      <c r="CE67" s="8" t="str">
        <f>IF(OR($A67="",$C67="",$D67="",$C67&gt;CE$6,$D67&lt;CE$9),"",IF($J67="里程碑","◆",""))</f>
        <v/>
      </c>
      <c r="CF67" s="8" t="str">
        <f>IF(OR($A67="",$C67="",$D67="",$C67&gt;CF$6,$D67&lt;CF$9),"",IF($J67="里程碑","◆",""))</f>
        <v/>
      </c>
      <c r="CG67" s="8" t="str">
        <f>IF(OR($A67="",$C67="",$D67="",$C67&gt;CG$6,$D67&lt;CG$9),"",IF($J67="里程碑","◆",""))</f>
        <v/>
      </c>
      <c r="CH67" s="8" t="str">
        <f>IF(OR($A67="",$C67="",$D67="",$C67&gt;CH$6,$D67&lt;CH$9),"",IF($J67="里程碑","◆",""))</f>
        <v/>
      </c>
      <c r="CI67" s="8" t="str">
        <f>IF(OR($A67="",$C67="",$D67="",$C67&gt;CI$6,$D67&lt;CI$9),"",IF($J67="里程碑","◆",""))</f>
        <v/>
      </c>
      <c r="CJ67" s="8" t="str">
        <f>IF(OR($A67="",$C67="",$D67="",$C67&gt;CJ$6,$D67&lt;CJ$9),"",IF($J67="里程碑","◆",""))</f>
        <v/>
      </c>
      <c r="CK67" s="8" t="str">
        <f>IF(OR($A67="",$C67="",$D67="",$C67&gt;CK$6,$D67&lt;CK$9),"",IF($J67="里程碑","◆",""))</f>
        <v/>
      </c>
      <c r="CL67" s="8" t="str">
        <f>IF(OR($A67="",$C67="",$D67="",$C67&gt;CL$6,$D67&lt;CL$9),"",IF($J67="里程碑","◆",""))</f>
        <v/>
      </c>
      <c r="CM67" s="8" t="str">
        <f>IF(OR($A67="",$C67="",$D67="",$C67&gt;CM$6,$D67&lt;CM$9),"",IF($J67="里程碑","◆",""))</f>
        <v/>
      </c>
      <c r="CN67" s="8" t="str">
        <f>IF(OR($A67="",$C67="",$D67="",$C67&gt;CN$6,$D67&lt;CN$9),"",IF($J67="里程碑","◆",""))</f>
        <v/>
      </c>
      <c r="CO67" s="8" t="str">
        <f>IF(OR($A67="",$C67="",$D67="",$C67&gt;CO$6,$D67&lt;CO$9),"",IF($J67="里程碑","◆",""))</f>
        <v/>
      </c>
      <c r="CP67" s="8" t="str">
        <f>IF(OR($A67="",$C67="",$D67="",$C67&gt;CP$6,$D67&lt;CP$9),"",IF($J67="里程碑","◆",""))</f>
        <v/>
      </c>
      <c r="CQ67" s="8" t="str">
        <f>IF(OR($A67="",$C67="",$D67="",$C67&gt;CQ$6,$D67&lt;CQ$9),"",IF($J67="里程碑","◆",""))</f>
        <v/>
      </c>
      <c r="CR67" s="8" t="str">
        <f>IF(OR($A67="",$C67="",$D67="",$C67&gt;CR$6,$D67&lt;CR$9),"",IF($J67="里程碑","◆",""))</f>
        <v/>
      </c>
      <c r="CS67" s="8" t="str">
        <f>IF(OR($A67="",$C67="",$D67="",$C67&gt;CS$6,$D67&lt;CS$9),"",IF($J67="里程碑","◆",""))</f>
        <v/>
      </c>
      <c r="CT67" s="8" t="str">
        <f>IF(OR($A67="",$C67="",$D67="",$C67&gt;CT$6,$D67&lt;CT$9),"",IF($J67="里程碑","◆",""))</f>
        <v/>
      </c>
      <c r="CU67" s="8" t="str">
        <f>IF(OR($A67="",$C67="",$D67="",$C67&gt;CU$6,$D67&lt;CU$9),"",IF($J67="里程碑","◆",""))</f>
        <v/>
      </c>
      <c r="CV67" s="8" t="str">
        <f>IF(OR($A67="",$C67="",$D67="",$C67&gt;CV$6,$D67&lt;CV$9),"",IF($J67="里程碑","◆",""))</f>
        <v/>
      </c>
      <c r="CW67" s="8" t="str">
        <f>IF(OR($A67="",$C67="",$D67="",$C67&gt;CW$6,$D67&lt;CW$9),"",IF($J67="里程碑","◆",""))</f>
        <v/>
      </c>
      <c r="CX67" s="8" t="str">
        <f>IF(OR($A67="",$C67="",$D67="",$C67&gt;CX$6,$D67&lt;CX$9),"",IF($J67="里程碑","◆",""))</f>
        <v/>
      </c>
      <c r="CY67" s="8" t="str">
        <f>IF(OR($A67="",$C67="",$D67="",$C67&gt;CY$6,$D67&lt;CY$9),"",IF($J67="里程碑","◆",""))</f>
        <v/>
      </c>
      <c r="CZ67" s="8" t="str">
        <f>IF(OR($A67="",$C67="",$D67="",$C67&gt;CZ$6,$D67&lt;CZ$9),"",IF($J67="里程碑","◆",""))</f>
        <v/>
      </c>
      <c r="DA67" s="8" t="str">
        <f>IF(OR($A67="",$C67="",$D67="",$C67&gt;DA$6,$D67&lt;DA$9),"",IF($J67="里程碑","◆",""))</f>
        <v/>
      </c>
      <c r="DB67" s="8" t="str">
        <f>IF(OR($A67="",$C67="",$D67="",$C67&gt;DB$6,$D67&lt;DB$9),"",IF($J67="里程碑","◆",""))</f>
        <v/>
      </c>
      <c r="DC67" s="1" t="str">
        <f>IF(ROW()-9&gt;$DH$3,"",MATCH(ROW()-9,排期计算!$U$10:$U$109,0))</f>
        <v/>
      </c>
      <c r="DD67" s="1" t="str">
        <f>IF($DC67="","",INDEX(排期计算!$L$10:$L$109,$DC67))</f>
        <v/>
      </c>
      <c r="DE67" s="1"/>
      <c r="DF67" s="1"/>
      <c r="DG67" s="1"/>
      <c r="DH67" s="1"/>
      <c r="DI67" s="1"/>
      <c r="DJ67" s="1"/>
      <c r="DK67" s="1"/>
    </row>
    <row r="68" spans="1:115" ht="24.95" customHeight="1">
      <c r="A68" s="9" t="str">
        <f>IF($DC68="","",IF(AND(INDEX(排期计算!$A$10:$A$109,$DC68)="",NOT(ISNUMBER(INDEX(排期计算!$A$10:$A$109,$DC68)))),"",INDEX(排期计算!$A$10:$A$109,$DC68)))</f>
        <v/>
      </c>
      <c r="B68" s="1" t="str">
        <f>IF($DC68="","",REPT("　",$DD68-1)&amp;INDEX(排期计算!$B$10:$B$109,$DC68))</f>
        <v/>
      </c>
      <c r="C68" s="3" t="str">
        <f>IF($DC68="","",IF(AND(INDEX(排期计算!$M$10:$M$109,$DC68)="",NOT(ISNUMBER(INDEX(排期计算!$M$10:$M$109,$DC68)))),"",INDEX(排期计算!$M$10:$M$109,$DC68)))</f>
        <v/>
      </c>
      <c r="D68" s="3" t="str">
        <f>IF($DC68="","",IF(AND(INDEX(排期计算!$N$10:$N$109,$DC68)="",NOT(ISNUMBER(INDEX(排期计算!$N$10:$N$109,$DC68)))),"",INDEX(排期计算!$N$10:$N$109,$DC68)))</f>
        <v/>
      </c>
      <c r="E68" s="1" t="str">
        <f>IF(OR($C68="",$D68=""),"",IF($J68="里程碑",0,NETWORKDAYS($C68,$D68)))</f>
        <v/>
      </c>
      <c r="F68" s="7" t="str">
        <f>IF($DC68="","",IF(AND(INDEX(排期计算!$O$10:$O$109,$DC68)="",NOT(ISNUMBER(INDEX(排期计算!$O$10:$O$109,$DC68)))),"",INDEX(排期计算!$O$10:$O$109,$DC68)))</f>
        <v/>
      </c>
      <c r="G68" s="8" t="str">
        <f>IF($A68="","",IF(OR($C68="",$D68=""),"未排期",IF($F68&gt;=1,"已完成",IF($D68&lt;$B$4,"逾期",IF($C68&gt;$B$4,"未开始","进行中")))))</f>
        <v/>
      </c>
      <c r="H68" s="1" t="str">
        <f>IF($DC68="","",IF(AND(INDEX(排期计算!$C$10:$C$109,$DC68)="",NOT(ISNUMBER(INDEX(排期计算!$C$10:$C$109,$DC68)))),"",INDEX(排期计算!$C$10:$C$109,$DC68)))</f>
        <v/>
      </c>
      <c r="I68" s="1" t="str">
        <f>IF($DC68="","",IF(AND(INDEX(排期计算!$H$10:$H$109,$DC68)="",NOT(ISNUMBER(INDEX(排期计算!$H$10:$H$109,$DC68)))),"",INDEX(排期计算!$H$10:$H$109,$DC68)))</f>
        <v/>
      </c>
      <c r="J68" s="1" t="str">
        <f>IF($DC68="","",IF(AND(INDEX(排期计算!$K$10:$K$109,$DC68)="",NOT(ISNUMBER(INDEX(排期计算!$K$10:$K$109,$DC68)))),"",INDEX(排期计算!$K$10:$K$109,$DC68)))</f>
        <v/>
      </c>
      <c r="K68" s="8" t="str">
        <f>IF(OR($A68="",$C68="",$D68="",$C68&gt;K$6,$D68&lt;K$9),"",IF($J68="里程碑","◆",""))</f>
        <v/>
      </c>
      <c r="L68" s="8" t="str">
        <f>IF(OR($A68="",$C68="",$D68="",$C68&gt;L$6,$D68&lt;L$9),"",IF($J68="里程碑","◆",""))</f>
        <v/>
      </c>
      <c r="M68" s="8" t="str">
        <f>IF(OR($A68="",$C68="",$D68="",$C68&gt;M$6,$D68&lt;M$9),"",IF($J68="里程碑","◆",""))</f>
        <v/>
      </c>
      <c r="N68" s="8" t="str">
        <f>IF(OR($A68="",$C68="",$D68="",$C68&gt;N$6,$D68&lt;N$9),"",IF($J68="里程碑","◆",""))</f>
        <v/>
      </c>
      <c r="O68" s="8" t="str">
        <f>IF(OR($A68="",$C68="",$D68="",$C68&gt;O$6,$D68&lt;O$9),"",IF($J68="里程碑","◆",""))</f>
        <v/>
      </c>
      <c r="P68" s="8" t="str">
        <f>IF(OR($A68="",$C68="",$D68="",$C68&gt;P$6,$D68&lt;P$9),"",IF($J68="里程碑","◆",""))</f>
        <v/>
      </c>
      <c r="Q68" s="8" t="str">
        <f>IF(OR($A68="",$C68="",$D68="",$C68&gt;Q$6,$D68&lt;Q$9),"",IF($J68="里程碑","◆",""))</f>
        <v/>
      </c>
      <c r="R68" s="8" t="str">
        <f>IF(OR($A68="",$C68="",$D68="",$C68&gt;R$6,$D68&lt;R$9),"",IF($J68="里程碑","◆",""))</f>
        <v/>
      </c>
      <c r="S68" s="8" t="str">
        <f>IF(OR($A68="",$C68="",$D68="",$C68&gt;S$6,$D68&lt;S$9),"",IF($J68="里程碑","◆",""))</f>
        <v/>
      </c>
      <c r="T68" s="8" t="str">
        <f>IF(OR($A68="",$C68="",$D68="",$C68&gt;T$6,$D68&lt;T$9),"",IF($J68="里程碑","◆",""))</f>
        <v/>
      </c>
      <c r="U68" s="8" t="str">
        <f>IF(OR($A68="",$C68="",$D68="",$C68&gt;U$6,$D68&lt;U$9),"",IF($J68="里程碑","◆",""))</f>
        <v/>
      </c>
      <c r="V68" s="8" t="str">
        <f>IF(OR($A68="",$C68="",$D68="",$C68&gt;V$6,$D68&lt;V$9),"",IF($J68="里程碑","◆",""))</f>
        <v/>
      </c>
      <c r="W68" s="8" t="str">
        <f>IF(OR($A68="",$C68="",$D68="",$C68&gt;W$6,$D68&lt;W$9),"",IF($J68="里程碑","◆",""))</f>
        <v/>
      </c>
      <c r="X68" s="8" t="str">
        <f>IF(OR($A68="",$C68="",$D68="",$C68&gt;X$6,$D68&lt;X$9),"",IF($J68="里程碑","◆",""))</f>
        <v/>
      </c>
      <c r="Y68" s="8" t="str">
        <f>IF(OR($A68="",$C68="",$D68="",$C68&gt;Y$6,$D68&lt;Y$9),"",IF($J68="里程碑","◆",""))</f>
        <v/>
      </c>
      <c r="Z68" s="8" t="str">
        <f>IF(OR($A68="",$C68="",$D68="",$C68&gt;Z$6,$D68&lt;Z$9),"",IF($J68="里程碑","◆",""))</f>
        <v/>
      </c>
      <c r="AA68" s="8" t="str">
        <f>IF(OR($A68="",$C68="",$D68="",$C68&gt;AA$6,$D68&lt;AA$9),"",IF($J68="里程碑","◆",""))</f>
        <v/>
      </c>
      <c r="AB68" s="8" t="str">
        <f>IF(OR($A68="",$C68="",$D68="",$C68&gt;AB$6,$D68&lt;AB$9),"",IF($J68="里程碑","◆",""))</f>
        <v/>
      </c>
      <c r="AC68" s="8" t="str">
        <f>IF(OR($A68="",$C68="",$D68="",$C68&gt;AC$6,$D68&lt;AC$9),"",IF($J68="里程碑","◆",""))</f>
        <v/>
      </c>
      <c r="AD68" s="8" t="str">
        <f>IF(OR($A68="",$C68="",$D68="",$C68&gt;AD$6,$D68&lt;AD$9),"",IF($J68="里程碑","◆",""))</f>
        <v/>
      </c>
      <c r="AE68" s="8" t="str">
        <f>IF(OR($A68="",$C68="",$D68="",$C68&gt;AE$6,$D68&lt;AE$9),"",IF($J68="里程碑","◆",""))</f>
        <v/>
      </c>
      <c r="AF68" s="8" t="str">
        <f>IF(OR($A68="",$C68="",$D68="",$C68&gt;AF$6,$D68&lt;AF$9),"",IF($J68="里程碑","◆",""))</f>
        <v/>
      </c>
      <c r="AG68" s="8" t="str">
        <f>IF(OR($A68="",$C68="",$D68="",$C68&gt;AG$6,$D68&lt;AG$9),"",IF($J68="里程碑","◆",""))</f>
        <v/>
      </c>
      <c r="AH68" s="8" t="str">
        <f>IF(OR($A68="",$C68="",$D68="",$C68&gt;AH$6,$D68&lt;AH$9),"",IF($J68="里程碑","◆",""))</f>
        <v/>
      </c>
      <c r="AI68" s="8" t="str">
        <f>IF(OR($A68="",$C68="",$D68="",$C68&gt;AI$6,$D68&lt;AI$9),"",IF($J68="里程碑","◆",""))</f>
        <v/>
      </c>
      <c r="AJ68" s="8" t="str">
        <f>IF(OR($A68="",$C68="",$D68="",$C68&gt;AJ$6,$D68&lt;AJ$9),"",IF($J68="里程碑","◆",""))</f>
        <v/>
      </c>
      <c r="AK68" s="8" t="str">
        <f>IF(OR($A68="",$C68="",$D68="",$C68&gt;AK$6,$D68&lt;AK$9),"",IF($J68="里程碑","◆",""))</f>
        <v/>
      </c>
      <c r="AL68" s="8" t="str">
        <f>IF(OR($A68="",$C68="",$D68="",$C68&gt;AL$6,$D68&lt;AL$9),"",IF($J68="里程碑","◆",""))</f>
        <v/>
      </c>
      <c r="AM68" s="8" t="str">
        <f>IF(OR($A68="",$C68="",$D68="",$C68&gt;AM$6,$D68&lt;AM$9),"",IF($J68="里程碑","◆",""))</f>
        <v/>
      </c>
      <c r="AN68" s="8" t="str">
        <f>IF(OR($A68="",$C68="",$D68="",$C68&gt;AN$6,$D68&lt;AN$9),"",IF($J68="里程碑","◆",""))</f>
        <v/>
      </c>
      <c r="AO68" s="8" t="str">
        <f>IF(OR($A68="",$C68="",$D68="",$C68&gt;AO$6,$D68&lt;AO$9),"",IF($J68="里程碑","◆",""))</f>
        <v/>
      </c>
      <c r="AP68" s="8" t="str">
        <f>IF(OR($A68="",$C68="",$D68="",$C68&gt;AP$6,$D68&lt;AP$9),"",IF($J68="里程碑","◆",""))</f>
        <v/>
      </c>
      <c r="AQ68" s="8" t="str">
        <f>IF(OR($A68="",$C68="",$D68="",$C68&gt;AQ$6,$D68&lt;AQ$9),"",IF($J68="里程碑","◆",""))</f>
        <v/>
      </c>
      <c r="AR68" s="8" t="str">
        <f>IF(OR($A68="",$C68="",$D68="",$C68&gt;AR$6,$D68&lt;AR$9),"",IF($J68="里程碑","◆",""))</f>
        <v/>
      </c>
      <c r="AS68" s="8" t="str">
        <f>IF(OR($A68="",$C68="",$D68="",$C68&gt;AS$6,$D68&lt;AS$9),"",IF($J68="里程碑","◆",""))</f>
        <v/>
      </c>
      <c r="AT68" s="8" t="str">
        <f>IF(OR($A68="",$C68="",$D68="",$C68&gt;AT$6,$D68&lt;AT$9),"",IF($J68="里程碑","◆",""))</f>
        <v/>
      </c>
      <c r="AU68" s="8" t="str">
        <f>IF(OR($A68="",$C68="",$D68="",$C68&gt;AU$6,$D68&lt;AU$9),"",IF($J68="里程碑","◆",""))</f>
        <v/>
      </c>
      <c r="AV68" s="8" t="str">
        <f>IF(OR($A68="",$C68="",$D68="",$C68&gt;AV$6,$D68&lt;AV$9),"",IF($J68="里程碑","◆",""))</f>
        <v/>
      </c>
      <c r="AW68" s="8" t="str">
        <f>IF(OR($A68="",$C68="",$D68="",$C68&gt;AW$6,$D68&lt;AW$9),"",IF($J68="里程碑","◆",""))</f>
        <v/>
      </c>
      <c r="AX68" s="8" t="str">
        <f>IF(OR($A68="",$C68="",$D68="",$C68&gt;AX$6,$D68&lt;AX$9),"",IF($J68="里程碑","◆",""))</f>
        <v/>
      </c>
      <c r="AY68" s="8" t="str">
        <f>IF(OR($A68="",$C68="",$D68="",$C68&gt;AY$6,$D68&lt;AY$9),"",IF($J68="里程碑","◆",""))</f>
        <v/>
      </c>
      <c r="AZ68" s="8" t="str">
        <f>IF(OR($A68="",$C68="",$D68="",$C68&gt;AZ$6,$D68&lt;AZ$9),"",IF($J68="里程碑","◆",""))</f>
        <v/>
      </c>
      <c r="BA68" s="8" t="str">
        <f>IF(OR($A68="",$C68="",$D68="",$C68&gt;BA$6,$D68&lt;BA$9),"",IF($J68="里程碑","◆",""))</f>
        <v/>
      </c>
      <c r="BB68" s="8" t="str">
        <f>IF(OR($A68="",$C68="",$D68="",$C68&gt;BB$6,$D68&lt;BB$9),"",IF($J68="里程碑","◆",""))</f>
        <v/>
      </c>
      <c r="BC68" s="8" t="str">
        <f>IF(OR($A68="",$C68="",$D68="",$C68&gt;BC$6,$D68&lt;BC$9),"",IF($J68="里程碑","◆",""))</f>
        <v/>
      </c>
      <c r="BD68" s="8" t="str">
        <f>IF(OR($A68="",$C68="",$D68="",$C68&gt;BD$6,$D68&lt;BD$9),"",IF($J68="里程碑","◆",""))</f>
        <v/>
      </c>
      <c r="BE68" s="8" t="str">
        <f>IF(OR($A68="",$C68="",$D68="",$C68&gt;BE$6,$D68&lt;BE$9),"",IF($J68="里程碑","◆",""))</f>
        <v/>
      </c>
      <c r="BF68" s="8" t="str">
        <f>IF(OR($A68="",$C68="",$D68="",$C68&gt;BF$6,$D68&lt;BF$9),"",IF($J68="里程碑","◆",""))</f>
        <v/>
      </c>
      <c r="BG68" s="8" t="str">
        <f>IF(OR($A68="",$C68="",$D68="",$C68&gt;BG$6,$D68&lt;BG$9),"",IF($J68="里程碑","◆",""))</f>
        <v/>
      </c>
      <c r="BH68" s="8" t="str">
        <f>IF(OR($A68="",$C68="",$D68="",$C68&gt;BH$6,$D68&lt;BH$9),"",IF($J68="里程碑","◆",""))</f>
        <v/>
      </c>
      <c r="BI68" s="8" t="str">
        <f>IF(OR($A68="",$C68="",$D68="",$C68&gt;BI$6,$D68&lt;BI$9),"",IF($J68="里程碑","◆",""))</f>
        <v/>
      </c>
      <c r="BJ68" s="8" t="str">
        <f>IF(OR($A68="",$C68="",$D68="",$C68&gt;BJ$6,$D68&lt;BJ$9),"",IF($J68="里程碑","◆",""))</f>
        <v/>
      </c>
      <c r="BK68" s="8" t="str">
        <f>IF(OR($A68="",$C68="",$D68="",$C68&gt;BK$6,$D68&lt;BK$9),"",IF($J68="里程碑","◆",""))</f>
        <v/>
      </c>
      <c r="BL68" s="8" t="str">
        <f>IF(OR($A68="",$C68="",$D68="",$C68&gt;BL$6,$D68&lt;BL$9),"",IF($J68="里程碑","◆",""))</f>
        <v/>
      </c>
      <c r="BM68" s="8" t="str">
        <f>IF(OR($A68="",$C68="",$D68="",$C68&gt;BM$6,$D68&lt;BM$9),"",IF($J68="里程碑","◆",""))</f>
        <v/>
      </c>
      <c r="BN68" s="8" t="str">
        <f>IF(OR($A68="",$C68="",$D68="",$C68&gt;BN$6,$D68&lt;BN$9),"",IF($J68="里程碑","◆",""))</f>
        <v/>
      </c>
      <c r="BO68" s="8" t="str">
        <f>IF(OR($A68="",$C68="",$D68="",$C68&gt;BO$6,$D68&lt;BO$9),"",IF($J68="里程碑","◆",""))</f>
        <v/>
      </c>
      <c r="BP68" s="8" t="str">
        <f>IF(OR($A68="",$C68="",$D68="",$C68&gt;BP$6,$D68&lt;BP$9),"",IF($J68="里程碑","◆",""))</f>
        <v/>
      </c>
      <c r="BQ68" s="8" t="str">
        <f>IF(OR($A68="",$C68="",$D68="",$C68&gt;BQ$6,$D68&lt;BQ$9),"",IF($J68="里程碑","◆",""))</f>
        <v/>
      </c>
      <c r="BR68" s="8" t="str">
        <f>IF(OR($A68="",$C68="",$D68="",$C68&gt;BR$6,$D68&lt;BR$9),"",IF($J68="里程碑","◆",""))</f>
        <v/>
      </c>
      <c r="BS68" s="8" t="str">
        <f>IF(OR($A68="",$C68="",$D68="",$C68&gt;BS$6,$D68&lt;BS$9),"",IF($J68="里程碑","◆",""))</f>
        <v/>
      </c>
      <c r="BT68" s="8" t="str">
        <f>IF(OR($A68="",$C68="",$D68="",$C68&gt;BT$6,$D68&lt;BT$9),"",IF($J68="里程碑","◆",""))</f>
        <v/>
      </c>
      <c r="BU68" s="8" t="str">
        <f>IF(OR($A68="",$C68="",$D68="",$C68&gt;BU$6,$D68&lt;BU$9),"",IF($J68="里程碑","◆",""))</f>
        <v/>
      </c>
      <c r="BV68" s="8" t="str">
        <f>IF(OR($A68="",$C68="",$D68="",$C68&gt;BV$6,$D68&lt;BV$9),"",IF($J68="里程碑","◆",""))</f>
        <v/>
      </c>
      <c r="BW68" s="8" t="str">
        <f>IF(OR($A68="",$C68="",$D68="",$C68&gt;BW$6,$D68&lt;BW$9),"",IF($J68="里程碑","◆",""))</f>
        <v/>
      </c>
      <c r="BX68" s="8" t="str">
        <f>IF(OR($A68="",$C68="",$D68="",$C68&gt;BX$6,$D68&lt;BX$9),"",IF($J68="里程碑","◆",""))</f>
        <v/>
      </c>
      <c r="BY68" s="8" t="str">
        <f>IF(OR($A68="",$C68="",$D68="",$C68&gt;BY$6,$D68&lt;BY$9),"",IF($J68="里程碑","◆",""))</f>
        <v/>
      </c>
      <c r="BZ68" s="8" t="str">
        <f>IF(OR($A68="",$C68="",$D68="",$C68&gt;BZ$6,$D68&lt;BZ$9),"",IF($J68="里程碑","◆",""))</f>
        <v/>
      </c>
      <c r="CA68" s="8" t="str">
        <f>IF(OR($A68="",$C68="",$D68="",$C68&gt;CA$6,$D68&lt;CA$9),"",IF($J68="里程碑","◆",""))</f>
        <v/>
      </c>
      <c r="CB68" s="8" t="str">
        <f>IF(OR($A68="",$C68="",$D68="",$C68&gt;CB$6,$D68&lt;CB$9),"",IF($J68="里程碑","◆",""))</f>
        <v/>
      </c>
      <c r="CC68" s="8" t="str">
        <f>IF(OR($A68="",$C68="",$D68="",$C68&gt;CC$6,$D68&lt;CC$9),"",IF($J68="里程碑","◆",""))</f>
        <v/>
      </c>
      <c r="CD68" s="8" t="str">
        <f>IF(OR($A68="",$C68="",$D68="",$C68&gt;CD$6,$D68&lt;CD$9),"",IF($J68="里程碑","◆",""))</f>
        <v/>
      </c>
      <c r="CE68" s="8" t="str">
        <f>IF(OR($A68="",$C68="",$D68="",$C68&gt;CE$6,$D68&lt;CE$9),"",IF($J68="里程碑","◆",""))</f>
        <v/>
      </c>
      <c r="CF68" s="8" t="str">
        <f>IF(OR($A68="",$C68="",$D68="",$C68&gt;CF$6,$D68&lt;CF$9),"",IF($J68="里程碑","◆",""))</f>
        <v/>
      </c>
      <c r="CG68" s="8" t="str">
        <f>IF(OR($A68="",$C68="",$D68="",$C68&gt;CG$6,$D68&lt;CG$9),"",IF($J68="里程碑","◆",""))</f>
        <v/>
      </c>
      <c r="CH68" s="8" t="str">
        <f>IF(OR($A68="",$C68="",$D68="",$C68&gt;CH$6,$D68&lt;CH$9),"",IF($J68="里程碑","◆",""))</f>
        <v/>
      </c>
      <c r="CI68" s="8" t="str">
        <f>IF(OR($A68="",$C68="",$D68="",$C68&gt;CI$6,$D68&lt;CI$9),"",IF($J68="里程碑","◆",""))</f>
        <v/>
      </c>
      <c r="CJ68" s="8" t="str">
        <f>IF(OR($A68="",$C68="",$D68="",$C68&gt;CJ$6,$D68&lt;CJ$9),"",IF($J68="里程碑","◆",""))</f>
        <v/>
      </c>
      <c r="CK68" s="8" t="str">
        <f>IF(OR($A68="",$C68="",$D68="",$C68&gt;CK$6,$D68&lt;CK$9),"",IF($J68="里程碑","◆",""))</f>
        <v/>
      </c>
      <c r="CL68" s="8" t="str">
        <f>IF(OR($A68="",$C68="",$D68="",$C68&gt;CL$6,$D68&lt;CL$9),"",IF($J68="里程碑","◆",""))</f>
        <v/>
      </c>
      <c r="CM68" s="8" t="str">
        <f>IF(OR($A68="",$C68="",$D68="",$C68&gt;CM$6,$D68&lt;CM$9),"",IF($J68="里程碑","◆",""))</f>
        <v/>
      </c>
      <c r="CN68" s="8" t="str">
        <f>IF(OR($A68="",$C68="",$D68="",$C68&gt;CN$6,$D68&lt;CN$9),"",IF($J68="里程碑","◆",""))</f>
        <v/>
      </c>
      <c r="CO68" s="8" t="str">
        <f>IF(OR($A68="",$C68="",$D68="",$C68&gt;CO$6,$D68&lt;CO$9),"",IF($J68="里程碑","◆",""))</f>
        <v/>
      </c>
      <c r="CP68" s="8" t="str">
        <f>IF(OR($A68="",$C68="",$D68="",$C68&gt;CP$6,$D68&lt;CP$9),"",IF($J68="里程碑","◆",""))</f>
        <v/>
      </c>
      <c r="CQ68" s="8" t="str">
        <f>IF(OR($A68="",$C68="",$D68="",$C68&gt;CQ$6,$D68&lt;CQ$9),"",IF($J68="里程碑","◆",""))</f>
        <v/>
      </c>
      <c r="CR68" s="8" t="str">
        <f>IF(OR($A68="",$C68="",$D68="",$C68&gt;CR$6,$D68&lt;CR$9),"",IF($J68="里程碑","◆",""))</f>
        <v/>
      </c>
      <c r="CS68" s="8" t="str">
        <f>IF(OR($A68="",$C68="",$D68="",$C68&gt;CS$6,$D68&lt;CS$9),"",IF($J68="里程碑","◆",""))</f>
        <v/>
      </c>
      <c r="CT68" s="8" t="str">
        <f>IF(OR($A68="",$C68="",$D68="",$C68&gt;CT$6,$D68&lt;CT$9),"",IF($J68="里程碑","◆",""))</f>
        <v/>
      </c>
      <c r="CU68" s="8" t="str">
        <f>IF(OR($A68="",$C68="",$D68="",$C68&gt;CU$6,$D68&lt;CU$9),"",IF($J68="里程碑","◆",""))</f>
        <v/>
      </c>
      <c r="CV68" s="8" t="str">
        <f>IF(OR($A68="",$C68="",$D68="",$C68&gt;CV$6,$D68&lt;CV$9),"",IF($J68="里程碑","◆",""))</f>
        <v/>
      </c>
      <c r="CW68" s="8" t="str">
        <f>IF(OR($A68="",$C68="",$D68="",$C68&gt;CW$6,$D68&lt;CW$9),"",IF($J68="里程碑","◆",""))</f>
        <v/>
      </c>
      <c r="CX68" s="8" t="str">
        <f>IF(OR($A68="",$C68="",$D68="",$C68&gt;CX$6,$D68&lt;CX$9),"",IF($J68="里程碑","◆",""))</f>
        <v/>
      </c>
      <c r="CY68" s="8" t="str">
        <f>IF(OR($A68="",$C68="",$D68="",$C68&gt;CY$6,$D68&lt;CY$9),"",IF($J68="里程碑","◆",""))</f>
        <v/>
      </c>
      <c r="CZ68" s="8" t="str">
        <f>IF(OR($A68="",$C68="",$D68="",$C68&gt;CZ$6,$D68&lt;CZ$9),"",IF($J68="里程碑","◆",""))</f>
        <v/>
      </c>
      <c r="DA68" s="8" t="str">
        <f>IF(OR($A68="",$C68="",$D68="",$C68&gt;DA$6,$D68&lt;DA$9),"",IF($J68="里程碑","◆",""))</f>
        <v/>
      </c>
      <c r="DB68" s="8" t="str">
        <f>IF(OR($A68="",$C68="",$D68="",$C68&gt;DB$6,$D68&lt;DB$9),"",IF($J68="里程碑","◆",""))</f>
        <v/>
      </c>
      <c r="DC68" s="1" t="str">
        <f>IF(ROW()-9&gt;$DH$3,"",MATCH(ROW()-9,排期计算!$U$10:$U$109,0))</f>
        <v/>
      </c>
      <c r="DD68" s="1" t="str">
        <f>IF($DC68="","",INDEX(排期计算!$L$10:$L$109,$DC68))</f>
        <v/>
      </c>
      <c r="DE68" s="1"/>
      <c r="DF68" s="1"/>
      <c r="DG68" s="1"/>
      <c r="DH68" s="1"/>
      <c r="DI68" s="1"/>
      <c r="DJ68" s="1"/>
      <c r="DK68" s="1"/>
    </row>
    <row r="69" spans="1:115" ht="24.95" customHeight="1">
      <c r="A69" s="9" t="str">
        <f>IF($DC69="","",IF(AND(INDEX(排期计算!$A$10:$A$109,$DC69)="",NOT(ISNUMBER(INDEX(排期计算!$A$10:$A$109,$DC69)))),"",INDEX(排期计算!$A$10:$A$109,$DC69)))</f>
        <v/>
      </c>
      <c r="B69" s="1" t="str">
        <f>IF($DC69="","",REPT("　",$DD69-1)&amp;INDEX(排期计算!$B$10:$B$109,$DC69))</f>
        <v/>
      </c>
      <c r="C69" s="3" t="str">
        <f>IF($DC69="","",IF(AND(INDEX(排期计算!$M$10:$M$109,$DC69)="",NOT(ISNUMBER(INDEX(排期计算!$M$10:$M$109,$DC69)))),"",INDEX(排期计算!$M$10:$M$109,$DC69)))</f>
        <v/>
      </c>
      <c r="D69" s="3" t="str">
        <f>IF($DC69="","",IF(AND(INDEX(排期计算!$N$10:$N$109,$DC69)="",NOT(ISNUMBER(INDEX(排期计算!$N$10:$N$109,$DC69)))),"",INDEX(排期计算!$N$10:$N$109,$DC69)))</f>
        <v/>
      </c>
      <c r="E69" s="1" t="str">
        <f>IF(OR($C69="",$D69=""),"",IF($J69="里程碑",0,NETWORKDAYS($C69,$D69)))</f>
        <v/>
      </c>
      <c r="F69" s="7" t="str">
        <f>IF($DC69="","",IF(AND(INDEX(排期计算!$O$10:$O$109,$DC69)="",NOT(ISNUMBER(INDEX(排期计算!$O$10:$O$109,$DC69)))),"",INDEX(排期计算!$O$10:$O$109,$DC69)))</f>
        <v/>
      </c>
      <c r="G69" s="8" t="str">
        <f>IF($A69="","",IF(OR($C69="",$D69=""),"未排期",IF($F69&gt;=1,"已完成",IF($D69&lt;$B$4,"逾期",IF($C69&gt;$B$4,"未开始","进行中")))))</f>
        <v/>
      </c>
      <c r="H69" s="1" t="str">
        <f>IF($DC69="","",IF(AND(INDEX(排期计算!$C$10:$C$109,$DC69)="",NOT(ISNUMBER(INDEX(排期计算!$C$10:$C$109,$DC69)))),"",INDEX(排期计算!$C$10:$C$109,$DC69)))</f>
        <v/>
      </c>
      <c r="I69" s="1" t="str">
        <f>IF($DC69="","",IF(AND(INDEX(排期计算!$H$10:$H$109,$DC69)="",NOT(ISNUMBER(INDEX(排期计算!$H$10:$H$109,$DC69)))),"",INDEX(排期计算!$H$10:$H$109,$DC69)))</f>
        <v/>
      </c>
      <c r="J69" s="1" t="str">
        <f>IF($DC69="","",IF(AND(INDEX(排期计算!$K$10:$K$109,$DC69)="",NOT(ISNUMBER(INDEX(排期计算!$K$10:$K$109,$DC69)))),"",INDEX(排期计算!$K$10:$K$109,$DC69)))</f>
        <v/>
      </c>
      <c r="K69" s="8" t="str">
        <f>IF(OR($A69="",$C69="",$D69="",$C69&gt;K$6,$D69&lt;K$9),"",IF($J69="里程碑","◆",""))</f>
        <v/>
      </c>
      <c r="L69" s="8" t="str">
        <f>IF(OR($A69="",$C69="",$D69="",$C69&gt;L$6,$D69&lt;L$9),"",IF($J69="里程碑","◆",""))</f>
        <v/>
      </c>
      <c r="M69" s="8" t="str">
        <f>IF(OR($A69="",$C69="",$D69="",$C69&gt;M$6,$D69&lt;M$9),"",IF($J69="里程碑","◆",""))</f>
        <v/>
      </c>
      <c r="N69" s="8" t="str">
        <f>IF(OR($A69="",$C69="",$D69="",$C69&gt;N$6,$D69&lt;N$9),"",IF($J69="里程碑","◆",""))</f>
        <v/>
      </c>
      <c r="O69" s="8" t="str">
        <f>IF(OR($A69="",$C69="",$D69="",$C69&gt;O$6,$D69&lt;O$9),"",IF($J69="里程碑","◆",""))</f>
        <v/>
      </c>
      <c r="P69" s="8" t="str">
        <f>IF(OR($A69="",$C69="",$D69="",$C69&gt;P$6,$D69&lt;P$9),"",IF($J69="里程碑","◆",""))</f>
        <v/>
      </c>
      <c r="Q69" s="8" t="str">
        <f>IF(OR($A69="",$C69="",$D69="",$C69&gt;Q$6,$D69&lt;Q$9),"",IF($J69="里程碑","◆",""))</f>
        <v/>
      </c>
      <c r="R69" s="8" t="str">
        <f>IF(OR($A69="",$C69="",$D69="",$C69&gt;R$6,$D69&lt;R$9),"",IF($J69="里程碑","◆",""))</f>
        <v/>
      </c>
      <c r="S69" s="8" t="str">
        <f>IF(OR($A69="",$C69="",$D69="",$C69&gt;S$6,$D69&lt;S$9),"",IF($J69="里程碑","◆",""))</f>
        <v/>
      </c>
      <c r="T69" s="8" t="str">
        <f>IF(OR($A69="",$C69="",$D69="",$C69&gt;T$6,$D69&lt;T$9),"",IF($J69="里程碑","◆",""))</f>
        <v/>
      </c>
      <c r="U69" s="8" t="str">
        <f>IF(OR($A69="",$C69="",$D69="",$C69&gt;U$6,$D69&lt;U$9),"",IF($J69="里程碑","◆",""))</f>
        <v/>
      </c>
      <c r="V69" s="8" t="str">
        <f>IF(OR($A69="",$C69="",$D69="",$C69&gt;V$6,$D69&lt;V$9),"",IF($J69="里程碑","◆",""))</f>
        <v/>
      </c>
      <c r="W69" s="8" t="str">
        <f>IF(OR($A69="",$C69="",$D69="",$C69&gt;W$6,$D69&lt;W$9),"",IF($J69="里程碑","◆",""))</f>
        <v/>
      </c>
      <c r="X69" s="8" t="str">
        <f>IF(OR($A69="",$C69="",$D69="",$C69&gt;X$6,$D69&lt;X$9),"",IF($J69="里程碑","◆",""))</f>
        <v/>
      </c>
      <c r="Y69" s="8" t="str">
        <f>IF(OR($A69="",$C69="",$D69="",$C69&gt;Y$6,$D69&lt;Y$9),"",IF($J69="里程碑","◆",""))</f>
        <v/>
      </c>
      <c r="Z69" s="8" t="str">
        <f>IF(OR($A69="",$C69="",$D69="",$C69&gt;Z$6,$D69&lt;Z$9),"",IF($J69="里程碑","◆",""))</f>
        <v/>
      </c>
      <c r="AA69" s="8" t="str">
        <f>IF(OR($A69="",$C69="",$D69="",$C69&gt;AA$6,$D69&lt;AA$9),"",IF($J69="里程碑","◆",""))</f>
        <v/>
      </c>
      <c r="AB69" s="8" t="str">
        <f>IF(OR($A69="",$C69="",$D69="",$C69&gt;AB$6,$D69&lt;AB$9),"",IF($J69="里程碑","◆",""))</f>
        <v/>
      </c>
      <c r="AC69" s="8" t="str">
        <f>IF(OR($A69="",$C69="",$D69="",$C69&gt;AC$6,$D69&lt;AC$9),"",IF($J69="里程碑","◆",""))</f>
        <v/>
      </c>
      <c r="AD69" s="8" t="str">
        <f>IF(OR($A69="",$C69="",$D69="",$C69&gt;AD$6,$D69&lt;AD$9),"",IF($J69="里程碑","◆",""))</f>
        <v/>
      </c>
      <c r="AE69" s="8" t="str">
        <f>IF(OR($A69="",$C69="",$D69="",$C69&gt;AE$6,$D69&lt;AE$9),"",IF($J69="里程碑","◆",""))</f>
        <v/>
      </c>
      <c r="AF69" s="8" t="str">
        <f>IF(OR($A69="",$C69="",$D69="",$C69&gt;AF$6,$D69&lt;AF$9),"",IF($J69="里程碑","◆",""))</f>
        <v/>
      </c>
      <c r="AG69" s="8" t="str">
        <f>IF(OR($A69="",$C69="",$D69="",$C69&gt;AG$6,$D69&lt;AG$9),"",IF($J69="里程碑","◆",""))</f>
        <v/>
      </c>
      <c r="AH69" s="8" t="str">
        <f>IF(OR($A69="",$C69="",$D69="",$C69&gt;AH$6,$D69&lt;AH$9),"",IF($J69="里程碑","◆",""))</f>
        <v/>
      </c>
      <c r="AI69" s="8" t="str">
        <f>IF(OR($A69="",$C69="",$D69="",$C69&gt;AI$6,$D69&lt;AI$9),"",IF($J69="里程碑","◆",""))</f>
        <v/>
      </c>
      <c r="AJ69" s="8" t="str">
        <f>IF(OR($A69="",$C69="",$D69="",$C69&gt;AJ$6,$D69&lt;AJ$9),"",IF($J69="里程碑","◆",""))</f>
        <v/>
      </c>
      <c r="AK69" s="8" t="str">
        <f>IF(OR($A69="",$C69="",$D69="",$C69&gt;AK$6,$D69&lt;AK$9),"",IF($J69="里程碑","◆",""))</f>
        <v/>
      </c>
      <c r="AL69" s="8" t="str">
        <f>IF(OR($A69="",$C69="",$D69="",$C69&gt;AL$6,$D69&lt;AL$9),"",IF($J69="里程碑","◆",""))</f>
        <v/>
      </c>
      <c r="AM69" s="8" t="str">
        <f>IF(OR($A69="",$C69="",$D69="",$C69&gt;AM$6,$D69&lt;AM$9),"",IF($J69="里程碑","◆",""))</f>
        <v/>
      </c>
      <c r="AN69" s="8" t="str">
        <f>IF(OR($A69="",$C69="",$D69="",$C69&gt;AN$6,$D69&lt;AN$9),"",IF($J69="里程碑","◆",""))</f>
        <v/>
      </c>
      <c r="AO69" s="8" t="str">
        <f>IF(OR($A69="",$C69="",$D69="",$C69&gt;AO$6,$D69&lt;AO$9),"",IF($J69="里程碑","◆",""))</f>
        <v/>
      </c>
      <c r="AP69" s="8" t="str">
        <f>IF(OR($A69="",$C69="",$D69="",$C69&gt;AP$6,$D69&lt;AP$9),"",IF($J69="里程碑","◆",""))</f>
        <v/>
      </c>
      <c r="AQ69" s="8" t="str">
        <f>IF(OR($A69="",$C69="",$D69="",$C69&gt;AQ$6,$D69&lt;AQ$9),"",IF($J69="里程碑","◆",""))</f>
        <v/>
      </c>
      <c r="AR69" s="8" t="str">
        <f>IF(OR($A69="",$C69="",$D69="",$C69&gt;AR$6,$D69&lt;AR$9),"",IF($J69="里程碑","◆",""))</f>
        <v/>
      </c>
      <c r="AS69" s="8" t="str">
        <f>IF(OR($A69="",$C69="",$D69="",$C69&gt;AS$6,$D69&lt;AS$9),"",IF($J69="里程碑","◆",""))</f>
        <v/>
      </c>
      <c r="AT69" s="8" t="str">
        <f>IF(OR($A69="",$C69="",$D69="",$C69&gt;AT$6,$D69&lt;AT$9),"",IF($J69="里程碑","◆",""))</f>
        <v/>
      </c>
      <c r="AU69" s="8" t="str">
        <f>IF(OR($A69="",$C69="",$D69="",$C69&gt;AU$6,$D69&lt;AU$9),"",IF($J69="里程碑","◆",""))</f>
        <v/>
      </c>
      <c r="AV69" s="8" t="str">
        <f>IF(OR($A69="",$C69="",$D69="",$C69&gt;AV$6,$D69&lt;AV$9),"",IF($J69="里程碑","◆",""))</f>
        <v/>
      </c>
      <c r="AW69" s="8" t="str">
        <f>IF(OR($A69="",$C69="",$D69="",$C69&gt;AW$6,$D69&lt;AW$9),"",IF($J69="里程碑","◆",""))</f>
        <v/>
      </c>
      <c r="AX69" s="8" t="str">
        <f>IF(OR($A69="",$C69="",$D69="",$C69&gt;AX$6,$D69&lt;AX$9),"",IF($J69="里程碑","◆",""))</f>
        <v/>
      </c>
      <c r="AY69" s="8" t="str">
        <f>IF(OR($A69="",$C69="",$D69="",$C69&gt;AY$6,$D69&lt;AY$9),"",IF($J69="里程碑","◆",""))</f>
        <v/>
      </c>
      <c r="AZ69" s="8" t="str">
        <f>IF(OR($A69="",$C69="",$D69="",$C69&gt;AZ$6,$D69&lt;AZ$9),"",IF($J69="里程碑","◆",""))</f>
        <v/>
      </c>
      <c r="BA69" s="8" t="str">
        <f>IF(OR($A69="",$C69="",$D69="",$C69&gt;BA$6,$D69&lt;BA$9),"",IF($J69="里程碑","◆",""))</f>
        <v/>
      </c>
      <c r="BB69" s="8" t="str">
        <f>IF(OR($A69="",$C69="",$D69="",$C69&gt;BB$6,$D69&lt;BB$9),"",IF($J69="里程碑","◆",""))</f>
        <v/>
      </c>
      <c r="BC69" s="8" t="str">
        <f>IF(OR($A69="",$C69="",$D69="",$C69&gt;BC$6,$D69&lt;BC$9),"",IF($J69="里程碑","◆",""))</f>
        <v/>
      </c>
      <c r="BD69" s="8" t="str">
        <f>IF(OR($A69="",$C69="",$D69="",$C69&gt;BD$6,$D69&lt;BD$9),"",IF($J69="里程碑","◆",""))</f>
        <v/>
      </c>
      <c r="BE69" s="8" t="str">
        <f>IF(OR($A69="",$C69="",$D69="",$C69&gt;BE$6,$D69&lt;BE$9),"",IF($J69="里程碑","◆",""))</f>
        <v/>
      </c>
      <c r="BF69" s="8" t="str">
        <f>IF(OR($A69="",$C69="",$D69="",$C69&gt;BF$6,$D69&lt;BF$9),"",IF($J69="里程碑","◆",""))</f>
        <v/>
      </c>
      <c r="BG69" s="8" t="str">
        <f>IF(OR($A69="",$C69="",$D69="",$C69&gt;BG$6,$D69&lt;BG$9),"",IF($J69="里程碑","◆",""))</f>
        <v/>
      </c>
      <c r="BH69" s="8" t="str">
        <f>IF(OR($A69="",$C69="",$D69="",$C69&gt;BH$6,$D69&lt;BH$9),"",IF($J69="里程碑","◆",""))</f>
        <v/>
      </c>
      <c r="BI69" s="8" t="str">
        <f>IF(OR($A69="",$C69="",$D69="",$C69&gt;BI$6,$D69&lt;BI$9),"",IF($J69="里程碑","◆",""))</f>
        <v/>
      </c>
      <c r="BJ69" s="8" t="str">
        <f>IF(OR($A69="",$C69="",$D69="",$C69&gt;BJ$6,$D69&lt;BJ$9),"",IF($J69="里程碑","◆",""))</f>
        <v/>
      </c>
      <c r="BK69" s="8" t="str">
        <f>IF(OR($A69="",$C69="",$D69="",$C69&gt;BK$6,$D69&lt;BK$9),"",IF($J69="里程碑","◆",""))</f>
        <v/>
      </c>
      <c r="BL69" s="8" t="str">
        <f>IF(OR($A69="",$C69="",$D69="",$C69&gt;BL$6,$D69&lt;BL$9),"",IF($J69="里程碑","◆",""))</f>
        <v/>
      </c>
      <c r="BM69" s="8" t="str">
        <f>IF(OR($A69="",$C69="",$D69="",$C69&gt;BM$6,$D69&lt;BM$9),"",IF($J69="里程碑","◆",""))</f>
        <v/>
      </c>
      <c r="BN69" s="8" t="str">
        <f>IF(OR($A69="",$C69="",$D69="",$C69&gt;BN$6,$D69&lt;BN$9),"",IF($J69="里程碑","◆",""))</f>
        <v/>
      </c>
      <c r="BO69" s="8" t="str">
        <f>IF(OR($A69="",$C69="",$D69="",$C69&gt;BO$6,$D69&lt;BO$9),"",IF($J69="里程碑","◆",""))</f>
        <v/>
      </c>
      <c r="BP69" s="8" t="str">
        <f>IF(OR($A69="",$C69="",$D69="",$C69&gt;BP$6,$D69&lt;BP$9),"",IF($J69="里程碑","◆",""))</f>
        <v/>
      </c>
      <c r="BQ69" s="8" t="str">
        <f>IF(OR($A69="",$C69="",$D69="",$C69&gt;BQ$6,$D69&lt;BQ$9),"",IF($J69="里程碑","◆",""))</f>
        <v/>
      </c>
      <c r="BR69" s="8" t="str">
        <f>IF(OR($A69="",$C69="",$D69="",$C69&gt;BR$6,$D69&lt;BR$9),"",IF($J69="里程碑","◆",""))</f>
        <v/>
      </c>
      <c r="BS69" s="8" t="str">
        <f>IF(OR($A69="",$C69="",$D69="",$C69&gt;BS$6,$D69&lt;BS$9),"",IF($J69="里程碑","◆",""))</f>
        <v/>
      </c>
      <c r="BT69" s="8" t="str">
        <f>IF(OR($A69="",$C69="",$D69="",$C69&gt;BT$6,$D69&lt;BT$9),"",IF($J69="里程碑","◆",""))</f>
        <v/>
      </c>
      <c r="BU69" s="8" t="str">
        <f>IF(OR($A69="",$C69="",$D69="",$C69&gt;BU$6,$D69&lt;BU$9),"",IF($J69="里程碑","◆",""))</f>
        <v/>
      </c>
      <c r="BV69" s="8" t="str">
        <f>IF(OR($A69="",$C69="",$D69="",$C69&gt;BV$6,$D69&lt;BV$9),"",IF($J69="里程碑","◆",""))</f>
        <v/>
      </c>
      <c r="BW69" s="8" t="str">
        <f>IF(OR($A69="",$C69="",$D69="",$C69&gt;BW$6,$D69&lt;BW$9),"",IF($J69="里程碑","◆",""))</f>
        <v/>
      </c>
      <c r="BX69" s="8" t="str">
        <f>IF(OR($A69="",$C69="",$D69="",$C69&gt;BX$6,$D69&lt;BX$9),"",IF($J69="里程碑","◆",""))</f>
        <v/>
      </c>
      <c r="BY69" s="8" t="str">
        <f>IF(OR($A69="",$C69="",$D69="",$C69&gt;BY$6,$D69&lt;BY$9),"",IF($J69="里程碑","◆",""))</f>
        <v/>
      </c>
      <c r="BZ69" s="8" t="str">
        <f>IF(OR($A69="",$C69="",$D69="",$C69&gt;BZ$6,$D69&lt;BZ$9),"",IF($J69="里程碑","◆",""))</f>
        <v/>
      </c>
      <c r="CA69" s="8" t="str">
        <f>IF(OR($A69="",$C69="",$D69="",$C69&gt;CA$6,$D69&lt;CA$9),"",IF($J69="里程碑","◆",""))</f>
        <v/>
      </c>
      <c r="CB69" s="8" t="str">
        <f>IF(OR($A69="",$C69="",$D69="",$C69&gt;CB$6,$D69&lt;CB$9),"",IF($J69="里程碑","◆",""))</f>
        <v/>
      </c>
      <c r="CC69" s="8" t="str">
        <f>IF(OR($A69="",$C69="",$D69="",$C69&gt;CC$6,$D69&lt;CC$9),"",IF($J69="里程碑","◆",""))</f>
        <v/>
      </c>
      <c r="CD69" s="8" t="str">
        <f>IF(OR($A69="",$C69="",$D69="",$C69&gt;CD$6,$D69&lt;CD$9),"",IF($J69="里程碑","◆",""))</f>
        <v/>
      </c>
      <c r="CE69" s="8" t="str">
        <f>IF(OR($A69="",$C69="",$D69="",$C69&gt;CE$6,$D69&lt;CE$9),"",IF($J69="里程碑","◆",""))</f>
        <v/>
      </c>
      <c r="CF69" s="8" t="str">
        <f>IF(OR($A69="",$C69="",$D69="",$C69&gt;CF$6,$D69&lt;CF$9),"",IF($J69="里程碑","◆",""))</f>
        <v/>
      </c>
      <c r="CG69" s="8" t="str">
        <f>IF(OR($A69="",$C69="",$D69="",$C69&gt;CG$6,$D69&lt;CG$9),"",IF($J69="里程碑","◆",""))</f>
        <v/>
      </c>
      <c r="CH69" s="8" t="str">
        <f>IF(OR($A69="",$C69="",$D69="",$C69&gt;CH$6,$D69&lt;CH$9),"",IF($J69="里程碑","◆",""))</f>
        <v/>
      </c>
      <c r="CI69" s="8" t="str">
        <f>IF(OR($A69="",$C69="",$D69="",$C69&gt;CI$6,$D69&lt;CI$9),"",IF($J69="里程碑","◆",""))</f>
        <v/>
      </c>
      <c r="CJ69" s="8" t="str">
        <f>IF(OR($A69="",$C69="",$D69="",$C69&gt;CJ$6,$D69&lt;CJ$9),"",IF($J69="里程碑","◆",""))</f>
        <v/>
      </c>
      <c r="CK69" s="8" t="str">
        <f>IF(OR($A69="",$C69="",$D69="",$C69&gt;CK$6,$D69&lt;CK$9),"",IF($J69="里程碑","◆",""))</f>
        <v/>
      </c>
      <c r="CL69" s="8" t="str">
        <f>IF(OR($A69="",$C69="",$D69="",$C69&gt;CL$6,$D69&lt;CL$9),"",IF($J69="里程碑","◆",""))</f>
        <v/>
      </c>
      <c r="CM69" s="8" t="str">
        <f>IF(OR($A69="",$C69="",$D69="",$C69&gt;CM$6,$D69&lt;CM$9),"",IF($J69="里程碑","◆",""))</f>
        <v/>
      </c>
      <c r="CN69" s="8" t="str">
        <f>IF(OR($A69="",$C69="",$D69="",$C69&gt;CN$6,$D69&lt;CN$9),"",IF($J69="里程碑","◆",""))</f>
        <v/>
      </c>
      <c r="CO69" s="8" t="str">
        <f>IF(OR($A69="",$C69="",$D69="",$C69&gt;CO$6,$D69&lt;CO$9),"",IF($J69="里程碑","◆",""))</f>
        <v/>
      </c>
      <c r="CP69" s="8" t="str">
        <f>IF(OR($A69="",$C69="",$D69="",$C69&gt;CP$6,$D69&lt;CP$9),"",IF($J69="里程碑","◆",""))</f>
        <v/>
      </c>
      <c r="CQ69" s="8" t="str">
        <f>IF(OR($A69="",$C69="",$D69="",$C69&gt;CQ$6,$D69&lt;CQ$9),"",IF($J69="里程碑","◆",""))</f>
        <v/>
      </c>
      <c r="CR69" s="8" t="str">
        <f>IF(OR($A69="",$C69="",$D69="",$C69&gt;CR$6,$D69&lt;CR$9),"",IF($J69="里程碑","◆",""))</f>
        <v/>
      </c>
      <c r="CS69" s="8" t="str">
        <f>IF(OR($A69="",$C69="",$D69="",$C69&gt;CS$6,$D69&lt;CS$9),"",IF($J69="里程碑","◆",""))</f>
        <v/>
      </c>
      <c r="CT69" s="8" t="str">
        <f>IF(OR($A69="",$C69="",$D69="",$C69&gt;CT$6,$D69&lt;CT$9),"",IF($J69="里程碑","◆",""))</f>
        <v/>
      </c>
      <c r="CU69" s="8" t="str">
        <f>IF(OR($A69="",$C69="",$D69="",$C69&gt;CU$6,$D69&lt;CU$9),"",IF($J69="里程碑","◆",""))</f>
        <v/>
      </c>
      <c r="CV69" s="8" t="str">
        <f>IF(OR($A69="",$C69="",$D69="",$C69&gt;CV$6,$D69&lt;CV$9),"",IF($J69="里程碑","◆",""))</f>
        <v/>
      </c>
      <c r="CW69" s="8" t="str">
        <f>IF(OR($A69="",$C69="",$D69="",$C69&gt;CW$6,$D69&lt;CW$9),"",IF($J69="里程碑","◆",""))</f>
        <v/>
      </c>
      <c r="CX69" s="8" t="str">
        <f>IF(OR($A69="",$C69="",$D69="",$C69&gt;CX$6,$D69&lt;CX$9),"",IF($J69="里程碑","◆",""))</f>
        <v/>
      </c>
      <c r="CY69" s="8" t="str">
        <f>IF(OR($A69="",$C69="",$D69="",$C69&gt;CY$6,$D69&lt;CY$9),"",IF($J69="里程碑","◆",""))</f>
        <v/>
      </c>
      <c r="CZ69" s="8" t="str">
        <f>IF(OR($A69="",$C69="",$D69="",$C69&gt;CZ$6,$D69&lt;CZ$9),"",IF($J69="里程碑","◆",""))</f>
        <v/>
      </c>
      <c r="DA69" s="8" t="str">
        <f>IF(OR($A69="",$C69="",$D69="",$C69&gt;DA$6,$D69&lt;DA$9),"",IF($J69="里程碑","◆",""))</f>
        <v/>
      </c>
      <c r="DB69" s="8" t="str">
        <f>IF(OR($A69="",$C69="",$D69="",$C69&gt;DB$6,$D69&lt;DB$9),"",IF($J69="里程碑","◆",""))</f>
        <v/>
      </c>
      <c r="DC69" s="1" t="str">
        <f>IF(ROW()-9&gt;$DH$3,"",MATCH(ROW()-9,排期计算!$U$10:$U$109,0))</f>
        <v/>
      </c>
      <c r="DD69" s="1" t="str">
        <f>IF($DC69="","",INDEX(排期计算!$L$10:$L$109,$DC69))</f>
        <v/>
      </c>
      <c r="DE69" s="1"/>
      <c r="DF69" s="1"/>
      <c r="DG69" s="1"/>
      <c r="DH69" s="1"/>
      <c r="DI69" s="1"/>
      <c r="DJ69" s="1"/>
      <c r="DK69" s="1"/>
    </row>
    <row r="70" spans="1:115" ht="24.95" customHeight="1">
      <c r="A70" s="9" t="str">
        <f>IF($DC70="","",IF(AND(INDEX(排期计算!$A$10:$A$109,$DC70)="",NOT(ISNUMBER(INDEX(排期计算!$A$10:$A$109,$DC70)))),"",INDEX(排期计算!$A$10:$A$109,$DC70)))</f>
        <v/>
      </c>
      <c r="B70" s="1" t="str">
        <f>IF($DC70="","",REPT("　",$DD70-1)&amp;INDEX(排期计算!$B$10:$B$109,$DC70))</f>
        <v/>
      </c>
      <c r="C70" s="3" t="str">
        <f>IF($DC70="","",IF(AND(INDEX(排期计算!$M$10:$M$109,$DC70)="",NOT(ISNUMBER(INDEX(排期计算!$M$10:$M$109,$DC70)))),"",INDEX(排期计算!$M$10:$M$109,$DC70)))</f>
        <v/>
      </c>
      <c r="D70" s="3" t="str">
        <f>IF($DC70="","",IF(AND(INDEX(排期计算!$N$10:$N$109,$DC70)="",NOT(ISNUMBER(INDEX(排期计算!$N$10:$N$109,$DC70)))),"",INDEX(排期计算!$N$10:$N$109,$DC70)))</f>
        <v/>
      </c>
      <c r="E70" s="1" t="str">
        <f>IF(OR($C70="",$D70=""),"",IF($J70="里程碑",0,NETWORKDAYS($C70,$D70)))</f>
        <v/>
      </c>
      <c r="F70" s="7" t="str">
        <f>IF($DC70="","",IF(AND(INDEX(排期计算!$O$10:$O$109,$DC70)="",NOT(ISNUMBER(INDEX(排期计算!$O$10:$O$109,$DC70)))),"",INDEX(排期计算!$O$10:$O$109,$DC70)))</f>
        <v/>
      </c>
      <c r="G70" s="8" t="str">
        <f>IF($A70="","",IF(OR($C70="",$D70=""),"未排期",IF($F70&gt;=1,"已完成",IF($D70&lt;$B$4,"逾期",IF($C70&gt;$B$4,"未开始","进行中")))))</f>
        <v/>
      </c>
      <c r="H70" s="1" t="str">
        <f>IF($DC70="","",IF(AND(INDEX(排期计算!$C$10:$C$109,$DC70)="",NOT(ISNUMBER(INDEX(排期计算!$C$10:$C$109,$DC70)))),"",INDEX(排期计算!$C$10:$C$109,$DC70)))</f>
        <v/>
      </c>
      <c r="I70" s="1" t="str">
        <f>IF($DC70="","",IF(AND(INDEX(排期计算!$H$10:$H$109,$DC70)="",NOT(ISNUMBER(INDEX(排期计算!$H$10:$H$109,$DC70)))),"",INDEX(排期计算!$H$10:$H$109,$DC70)))</f>
        <v/>
      </c>
      <c r="J70" s="1" t="str">
        <f>IF($DC70="","",IF(AND(INDEX(排期计算!$K$10:$K$109,$DC70)="",NOT(ISNUMBER(INDEX(排期计算!$K$10:$K$109,$DC70)))),"",INDEX(排期计算!$K$10:$K$109,$DC70)))</f>
        <v/>
      </c>
      <c r="K70" s="8" t="str">
        <f>IF(OR($A70="",$C70="",$D70="",$C70&gt;K$6,$D70&lt;K$9),"",IF($J70="里程碑","◆",""))</f>
        <v/>
      </c>
      <c r="L70" s="8" t="str">
        <f>IF(OR($A70="",$C70="",$D70="",$C70&gt;L$6,$D70&lt;L$9),"",IF($J70="里程碑","◆",""))</f>
        <v/>
      </c>
      <c r="M70" s="8" t="str">
        <f>IF(OR($A70="",$C70="",$D70="",$C70&gt;M$6,$D70&lt;M$9),"",IF($J70="里程碑","◆",""))</f>
        <v/>
      </c>
      <c r="N70" s="8" t="str">
        <f>IF(OR($A70="",$C70="",$D70="",$C70&gt;N$6,$D70&lt;N$9),"",IF($J70="里程碑","◆",""))</f>
        <v/>
      </c>
      <c r="O70" s="8" t="str">
        <f>IF(OR($A70="",$C70="",$D70="",$C70&gt;O$6,$D70&lt;O$9),"",IF($J70="里程碑","◆",""))</f>
        <v/>
      </c>
      <c r="P70" s="8" t="str">
        <f>IF(OR($A70="",$C70="",$D70="",$C70&gt;P$6,$D70&lt;P$9),"",IF($J70="里程碑","◆",""))</f>
        <v/>
      </c>
      <c r="Q70" s="8" t="str">
        <f>IF(OR($A70="",$C70="",$D70="",$C70&gt;Q$6,$D70&lt;Q$9),"",IF($J70="里程碑","◆",""))</f>
        <v/>
      </c>
      <c r="R70" s="8" t="str">
        <f>IF(OR($A70="",$C70="",$D70="",$C70&gt;R$6,$D70&lt;R$9),"",IF($J70="里程碑","◆",""))</f>
        <v/>
      </c>
      <c r="S70" s="8" t="str">
        <f>IF(OR($A70="",$C70="",$D70="",$C70&gt;S$6,$D70&lt;S$9),"",IF($J70="里程碑","◆",""))</f>
        <v/>
      </c>
      <c r="T70" s="8" t="str">
        <f>IF(OR($A70="",$C70="",$D70="",$C70&gt;T$6,$D70&lt;T$9),"",IF($J70="里程碑","◆",""))</f>
        <v/>
      </c>
      <c r="U70" s="8" t="str">
        <f>IF(OR($A70="",$C70="",$D70="",$C70&gt;U$6,$D70&lt;U$9),"",IF($J70="里程碑","◆",""))</f>
        <v/>
      </c>
      <c r="V70" s="8" t="str">
        <f>IF(OR($A70="",$C70="",$D70="",$C70&gt;V$6,$D70&lt;V$9),"",IF($J70="里程碑","◆",""))</f>
        <v/>
      </c>
      <c r="W70" s="8" t="str">
        <f>IF(OR($A70="",$C70="",$D70="",$C70&gt;W$6,$D70&lt;W$9),"",IF($J70="里程碑","◆",""))</f>
        <v/>
      </c>
      <c r="X70" s="8" t="str">
        <f>IF(OR($A70="",$C70="",$D70="",$C70&gt;X$6,$D70&lt;X$9),"",IF($J70="里程碑","◆",""))</f>
        <v/>
      </c>
      <c r="Y70" s="8" t="str">
        <f>IF(OR($A70="",$C70="",$D70="",$C70&gt;Y$6,$D70&lt;Y$9),"",IF($J70="里程碑","◆",""))</f>
        <v/>
      </c>
      <c r="Z70" s="8" t="str">
        <f>IF(OR($A70="",$C70="",$D70="",$C70&gt;Z$6,$D70&lt;Z$9),"",IF($J70="里程碑","◆",""))</f>
        <v/>
      </c>
      <c r="AA70" s="8" t="str">
        <f>IF(OR($A70="",$C70="",$D70="",$C70&gt;AA$6,$D70&lt;AA$9),"",IF($J70="里程碑","◆",""))</f>
        <v/>
      </c>
      <c r="AB70" s="8" t="str">
        <f>IF(OR($A70="",$C70="",$D70="",$C70&gt;AB$6,$D70&lt;AB$9),"",IF($J70="里程碑","◆",""))</f>
        <v/>
      </c>
      <c r="AC70" s="8" t="str">
        <f>IF(OR($A70="",$C70="",$D70="",$C70&gt;AC$6,$D70&lt;AC$9),"",IF($J70="里程碑","◆",""))</f>
        <v/>
      </c>
      <c r="AD70" s="8" t="str">
        <f>IF(OR($A70="",$C70="",$D70="",$C70&gt;AD$6,$D70&lt;AD$9),"",IF($J70="里程碑","◆",""))</f>
        <v/>
      </c>
      <c r="AE70" s="8" t="str">
        <f>IF(OR($A70="",$C70="",$D70="",$C70&gt;AE$6,$D70&lt;AE$9),"",IF($J70="里程碑","◆",""))</f>
        <v/>
      </c>
      <c r="AF70" s="8" t="str">
        <f>IF(OR($A70="",$C70="",$D70="",$C70&gt;AF$6,$D70&lt;AF$9),"",IF($J70="里程碑","◆",""))</f>
        <v/>
      </c>
      <c r="AG70" s="8" t="str">
        <f>IF(OR($A70="",$C70="",$D70="",$C70&gt;AG$6,$D70&lt;AG$9),"",IF($J70="里程碑","◆",""))</f>
        <v/>
      </c>
      <c r="AH70" s="8" t="str">
        <f>IF(OR($A70="",$C70="",$D70="",$C70&gt;AH$6,$D70&lt;AH$9),"",IF($J70="里程碑","◆",""))</f>
        <v/>
      </c>
      <c r="AI70" s="8" t="str">
        <f>IF(OR($A70="",$C70="",$D70="",$C70&gt;AI$6,$D70&lt;AI$9),"",IF($J70="里程碑","◆",""))</f>
        <v/>
      </c>
      <c r="AJ70" s="8" t="str">
        <f>IF(OR($A70="",$C70="",$D70="",$C70&gt;AJ$6,$D70&lt;AJ$9),"",IF($J70="里程碑","◆",""))</f>
        <v/>
      </c>
      <c r="AK70" s="8" t="str">
        <f>IF(OR($A70="",$C70="",$D70="",$C70&gt;AK$6,$D70&lt;AK$9),"",IF($J70="里程碑","◆",""))</f>
        <v/>
      </c>
      <c r="AL70" s="8" t="str">
        <f>IF(OR($A70="",$C70="",$D70="",$C70&gt;AL$6,$D70&lt;AL$9),"",IF($J70="里程碑","◆",""))</f>
        <v/>
      </c>
      <c r="AM70" s="8" t="str">
        <f>IF(OR($A70="",$C70="",$D70="",$C70&gt;AM$6,$D70&lt;AM$9),"",IF($J70="里程碑","◆",""))</f>
        <v/>
      </c>
      <c r="AN70" s="8" t="str">
        <f>IF(OR($A70="",$C70="",$D70="",$C70&gt;AN$6,$D70&lt;AN$9),"",IF($J70="里程碑","◆",""))</f>
        <v/>
      </c>
      <c r="AO70" s="8" t="str">
        <f>IF(OR($A70="",$C70="",$D70="",$C70&gt;AO$6,$D70&lt;AO$9),"",IF($J70="里程碑","◆",""))</f>
        <v/>
      </c>
      <c r="AP70" s="8" t="str">
        <f>IF(OR($A70="",$C70="",$D70="",$C70&gt;AP$6,$D70&lt;AP$9),"",IF($J70="里程碑","◆",""))</f>
        <v/>
      </c>
      <c r="AQ70" s="8" t="str">
        <f>IF(OR($A70="",$C70="",$D70="",$C70&gt;AQ$6,$D70&lt;AQ$9),"",IF($J70="里程碑","◆",""))</f>
        <v/>
      </c>
      <c r="AR70" s="8" t="str">
        <f>IF(OR($A70="",$C70="",$D70="",$C70&gt;AR$6,$D70&lt;AR$9),"",IF($J70="里程碑","◆",""))</f>
        <v/>
      </c>
      <c r="AS70" s="8" t="str">
        <f>IF(OR($A70="",$C70="",$D70="",$C70&gt;AS$6,$D70&lt;AS$9),"",IF($J70="里程碑","◆",""))</f>
        <v/>
      </c>
      <c r="AT70" s="8" t="str">
        <f>IF(OR($A70="",$C70="",$D70="",$C70&gt;AT$6,$D70&lt;AT$9),"",IF($J70="里程碑","◆",""))</f>
        <v/>
      </c>
      <c r="AU70" s="8" t="str">
        <f>IF(OR($A70="",$C70="",$D70="",$C70&gt;AU$6,$D70&lt;AU$9),"",IF($J70="里程碑","◆",""))</f>
        <v/>
      </c>
      <c r="AV70" s="8" t="str">
        <f>IF(OR($A70="",$C70="",$D70="",$C70&gt;AV$6,$D70&lt;AV$9),"",IF($J70="里程碑","◆",""))</f>
        <v/>
      </c>
      <c r="AW70" s="8" t="str">
        <f>IF(OR($A70="",$C70="",$D70="",$C70&gt;AW$6,$D70&lt;AW$9),"",IF($J70="里程碑","◆",""))</f>
        <v/>
      </c>
      <c r="AX70" s="8" t="str">
        <f>IF(OR($A70="",$C70="",$D70="",$C70&gt;AX$6,$D70&lt;AX$9),"",IF($J70="里程碑","◆",""))</f>
        <v/>
      </c>
      <c r="AY70" s="8" t="str">
        <f>IF(OR($A70="",$C70="",$D70="",$C70&gt;AY$6,$D70&lt;AY$9),"",IF($J70="里程碑","◆",""))</f>
        <v/>
      </c>
      <c r="AZ70" s="8" t="str">
        <f>IF(OR($A70="",$C70="",$D70="",$C70&gt;AZ$6,$D70&lt;AZ$9),"",IF($J70="里程碑","◆",""))</f>
        <v/>
      </c>
      <c r="BA70" s="8" t="str">
        <f>IF(OR($A70="",$C70="",$D70="",$C70&gt;BA$6,$D70&lt;BA$9),"",IF($J70="里程碑","◆",""))</f>
        <v/>
      </c>
      <c r="BB70" s="8" t="str">
        <f>IF(OR($A70="",$C70="",$D70="",$C70&gt;BB$6,$D70&lt;BB$9),"",IF($J70="里程碑","◆",""))</f>
        <v/>
      </c>
      <c r="BC70" s="8" t="str">
        <f>IF(OR($A70="",$C70="",$D70="",$C70&gt;BC$6,$D70&lt;BC$9),"",IF($J70="里程碑","◆",""))</f>
        <v/>
      </c>
      <c r="BD70" s="8" t="str">
        <f>IF(OR($A70="",$C70="",$D70="",$C70&gt;BD$6,$D70&lt;BD$9),"",IF($J70="里程碑","◆",""))</f>
        <v/>
      </c>
      <c r="BE70" s="8" t="str">
        <f>IF(OR($A70="",$C70="",$D70="",$C70&gt;BE$6,$D70&lt;BE$9),"",IF($J70="里程碑","◆",""))</f>
        <v/>
      </c>
      <c r="BF70" s="8" t="str">
        <f>IF(OR($A70="",$C70="",$D70="",$C70&gt;BF$6,$D70&lt;BF$9),"",IF($J70="里程碑","◆",""))</f>
        <v/>
      </c>
      <c r="BG70" s="8" t="str">
        <f>IF(OR($A70="",$C70="",$D70="",$C70&gt;BG$6,$D70&lt;BG$9),"",IF($J70="里程碑","◆",""))</f>
        <v/>
      </c>
      <c r="BH70" s="8" t="str">
        <f>IF(OR($A70="",$C70="",$D70="",$C70&gt;BH$6,$D70&lt;BH$9),"",IF($J70="里程碑","◆",""))</f>
        <v/>
      </c>
      <c r="BI70" s="8" t="str">
        <f>IF(OR($A70="",$C70="",$D70="",$C70&gt;BI$6,$D70&lt;BI$9),"",IF($J70="里程碑","◆",""))</f>
        <v/>
      </c>
      <c r="BJ70" s="8" t="str">
        <f>IF(OR($A70="",$C70="",$D70="",$C70&gt;BJ$6,$D70&lt;BJ$9),"",IF($J70="里程碑","◆",""))</f>
        <v/>
      </c>
      <c r="BK70" s="8" t="str">
        <f>IF(OR($A70="",$C70="",$D70="",$C70&gt;BK$6,$D70&lt;BK$9),"",IF($J70="里程碑","◆",""))</f>
        <v/>
      </c>
      <c r="BL70" s="8" t="str">
        <f>IF(OR($A70="",$C70="",$D70="",$C70&gt;BL$6,$D70&lt;BL$9),"",IF($J70="里程碑","◆",""))</f>
        <v/>
      </c>
      <c r="BM70" s="8" t="str">
        <f>IF(OR($A70="",$C70="",$D70="",$C70&gt;BM$6,$D70&lt;BM$9),"",IF($J70="里程碑","◆",""))</f>
        <v/>
      </c>
      <c r="BN70" s="8" t="str">
        <f>IF(OR($A70="",$C70="",$D70="",$C70&gt;BN$6,$D70&lt;BN$9),"",IF($J70="里程碑","◆",""))</f>
        <v/>
      </c>
      <c r="BO70" s="8" t="str">
        <f>IF(OR($A70="",$C70="",$D70="",$C70&gt;BO$6,$D70&lt;BO$9),"",IF($J70="里程碑","◆",""))</f>
        <v/>
      </c>
      <c r="BP70" s="8" t="str">
        <f>IF(OR($A70="",$C70="",$D70="",$C70&gt;BP$6,$D70&lt;BP$9),"",IF($J70="里程碑","◆",""))</f>
        <v/>
      </c>
      <c r="BQ70" s="8" t="str">
        <f>IF(OR($A70="",$C70="",$D70="",$C70&gt;BQ$6,$D70&lt;BQ$9),"",IF($J70="里程碑","◆",""))</f>
        <v/>
      </c>
      <c r="BR70" s="8" t="str">
        <f>IF(OR($A70="",$C70="",$D70="",$C70&gt;BR$6,$D70&lt;BR$9),"",IF($J70="里程碑","◆",""))</f>
        <v/>
      </c>
      <c r="BS70" s="8" t="str">
        <f>IF(OR($A70="",$C70="",$D70="",$C70&gt;BS$6,$D70&lt;BS$9),"",IF($J70="里程碑","◆",""))</f>
        <v/>
      </c>
      <c r="BT70" s="8" t="str">
        <f>IF(OR($A70="",$C70="",$D70="",$C70&gt;BT$6,$D70&lt;BT$9),"",IF($J70="里程碑","◆",""))</f>
        <v/>
      </c>
      <c r="BU70" s="8" t="str">
        <f>IF(OR($A70="",$C70="",$D70="",$C70&gt;BU$6,$D70&lt;BU$9),"",IF($J70="里程碑","◆",""))</f>
        <v/>
      </c>
      <c r="BV70" s="8" t="str">
        <f>IF(OR($A70="",$C70="",$D70="",$C70&gt;BV$6,$D70&lt;BV$9),"",IF($J70="里程碑","◆",""))</f>
        <v/>
      </c>
      <c r="BW70" s="8" t="str">
        <f>IF(OR($A70="",$C70="",$D70="",$C70&gt;BW$6,$D70&lt;BW$9),"",IF($J70="里程碑","◆",""))</f>
        <v/>
      </c>
      <c r="BX70" s="8" t="str">
        <f>IF(OR($A70="",$C70="",$D70="",$C70&gt;BX$6,$D70&lt;BX$9),"",IF($J70="里程碑","◆",""))</f>
        <v/>
      </c>
      <c r="BY70" s="8" t="str">
        <f>IF(OR($A70="",$C70="",$D70="",$C70&gt;BY$6,$D70&lt;BY$9),"",IF($J70="里程碑","◆",""))</f>
        <v/>
      </c>
      <c r="BZ70" s="8" t="str">
        <f>IF(OR($A70="",$C70="",$D70="",$C70&gt;BZ$6,$D70&lt;BZ$9),"",IF($J70="里程碑","◆",""))</f>
        <v/>
      </c>
      <c r="CA70" s="8" t="str">
        <f>IF(OR($A70="",$C70="",$D70="",$C70&gt;CA$6,$D70&lt;CA$9),"",IF($J70="里程碑","◆",""))</f>
        <v/>
      </c>
      <c r="CB70" s="8" t="str">
        <f>IF(OR($A70="",$C70="",$D70="",$C70&gt;CB$6,$D70&lt;CB$9),"",IF($J70="里程碑","◆",""))</f>
        <v/>
      </c>
      <c r="CC70" s="8" t="str">
        <f>IF(OR($A70="",$C70="",$D70="",$C70&gt;CC$6,$D70&lt;CC$9),"",IF($J70="里程碑","◆",""))</f>
        <v/>
      </c>
      <c r="CD70" s="8" t="str">
        <f>IF(OR($A70="",$C70="",$D70="",$C70&gt;CD$6,$D70&lt;CD$9),"",IF($J70="里程碑","◆",""))</f>
        <v/>
      </c>
      <c r="CE70" s="8" t="str">
        <f>IF(OR($A70="",$C70="",$D70="",$C70&gt;CE$6,$D70&lt;CE$9),"",IF($J70="里程碑","◆",""))</f>
        <v/>
      </c>
      <c r="CF70" s="8" t="str">
        <f>IF(OR($A70="",$C70="",$D70="",$C70&gt;CF$6,$D70&lt;CF$9),"",IF($J70="里程碑","◆",""))</f>
        <v/>
      </c>
      <c r="CG70" s="8" t="str">
        <f>IF(OR($A70="",$C70="",$D70="",$C70&gt;CG$6,$D70&lt;CG$9),"",IF($J70="里程碑","◆",""))</f>
        <v/>
      </c>
      <c r="CH70" s="8" t="str">
        <f>IF(OR($A70="",$C70="",$D70="",$C70&gt;CH$6,$D70&lt;CH$9),"",IF($J70="里程碑","◆",""))</f>
        <v/>
      </c>
      <c r="CI70" s="8" t="str">
        <f>IF(OR($A70="",$C70="",$D70="",$C70&gt;CI$6,$D70&lt;CI$9),"",IF($J70="里程碑","◆",""))</f>
        <v/>
      </c>
      <c r="CJ70" s="8" t="str">
        <f>IF(OR($A70="",$C70="",$D70="",$C70&gt;CJ$6,$D70&lt;CJ$9),"",IF($J70="里程碑","◆",""))</f>
        <v/>
      </c>
      <c r="CK70" s="8" t="str">
        <f>IF(OR($A70="",$C70="",$D70="",$C70&gt;CK$6,$D70&lt;CK$9),"",IF($J70="里程碑","◆",""))</f>
        <v/>
      </c>
      <c r="CL70" s="8" t="str">
        <f>IF(OR($A70="",$C70="",$D70="",$C70&gt;CL$6,$D70&lt;CL$9),"",IF($J70="里程碑","◆",""))</f>
        <v/>
      </c>
      <c r="CM70" s="8" t="str">
        <f>IF(OR($A70="",$C70="",$D70="",$C70&gt;CM$6,$D70&lt;CM$9),"",IF($J70="里程碑","◆",""))</f>
        <v/>
      </c>
      <c r="CN70" s="8" t="str">
        <f>IF(OR($A70="",$C70="",$D70="",$C70&gt;CN$6,$D70&lt;CN$9),"",IF($J70="里程碑","◆",""))</f>
        <v/>
      </c>
      <c r="CO70" s="8" t="str">
        <f>IF(OR($A70="",$C70="",$D70="",$C70&gt;CO$6,$D70&lt;CO$9),"",IF($J70="里程碑","◆",""))</f>
        <v/>
      </c>
      <c r="CP70" s="8" t="str">
        <f>IF(OR($A70="",$C70="",$D70="",$C70&gt;CP$6,$D70&lt;CP$9),"",IF($J70="里程碑","◆",""))</f>
        <v/>
      </c>
      <c r="CQ70" s="8" t="str">
        <f>IF(OR($A70="",$C70="",$D70="",$C70&gt;CQ$6,$D70&lt;CQ$9),"",IF($J70="里程碑","◆",""))</f>
        <v/>
      </c>
      <c r="CR70" s="8" t="str">
        <f>IF(OR($A70="",$C70="",$D70="",$C70&gt;CR$6,$D70&lt;CR$9),"",IF($J70="里程碑","◆",""))</f>
        <v/>
      </c>
      <c r="CS70" s="8" t="str">
        <f>IF(OR($A70="",$C70="",$D70="",$C70&gt;CS$6,$D70&lt;CS$9),"",IF($J70="里程碑","◆",""))</f>
        <v/>
      </c>
      <c r="CT70" s="8" t="str">
        <f>IF(OR($A70="",$C70="",$D70="",$C70&gt;CT$6,$D70&lt;CT$9),"",IF($J70="里程碑","◆",""))</f>
        <v/>
      </c>
      <c r="CU70" s="8" t="str">
        <f>IF(OR($A70="",$C70="",$D70="",$C70&gt;CU$6,$D70&lt;CU$9),"",IF($J70="里程碑","◆",""))</f>
        <v/>
      </c>
      <c r="CV70" s="8" t="str">
        <f>IF(OR($A70="",$C70="",$D70="",$C70&gt;CV$6,$D70&lt;CV$9),"",IF($J70="里程碑","◆",""))</f>
        <v/>
      </c>
      <c r="CW70" s="8" t="str">
        <f>IF(OR($A70="",$C70="",$D70="",$C70&gt;CW$6,$D70&lt;CW$9),"",IF($J70="里程碑","◆",""))</f>
        <v/>
      </c>
      <c r="CX70" s="8" t="str">
        <f>IF(OR($A70="",$C70="",$D70="",$C70&gt;CX$6,$D70&lt;CX$9),"",IF($J70="里程碑","◆",""))</f>
        <v/>
      </c>
      <c r="CY70" s="8" t="str">
        <f>IF(OR($A70="",$C70="",$D70="",$C70&gt;CY$6,$D70&lt;CY$9),"",IF($J70="里程碑","◆",""))</f>
        <v/>
      </c>
      <c r="CZ70" s="8" t="str">
        <f>IF(OR($A70="",$C70="",$D70="",$C70&gt;CZ$6,$D70&lt;CZ$9),"",IF($J70="里程碑","◆",""))</f>
        <v/>
      </c>
      <c r="DA70" s="8" t="str">
        <f>IF(OR($A70="",$C70="",$D70="",$C70&gt;DA$6,$D70&lt;DA$9),"",IF($J70="里程碑","◆",""))</f>
        <v/>
      </c>
      <c r="DB70" s="8" t="str">
        <f>IF(OR($A70="",$C70="",$D70="",$C70&gt;DB$6,$D70&lt;DB$9),"",IF($J70="里程碑","◆",""))</f>
        <v/>
      </c>
      <c r="DC70" s="1" t="str">
        <f>IF(ROW()-9&gt;$DH$3,"",MATCH(ROW()-9,排期计算!$U$10:$U$109,0))</f>
        <v/>
      </c>
      <c r="DD70" s="1" t="str">
        <f>IF($DC70="","",INDEX(排期计算!$L$10:$L$109,$DC70))</f>
        <v/>
      </c>
      <c r="DE70" s="1"/>
      <c r="DF70" s="1"/>
      <c r="DG70" s="1"/>
      <c r="DH70" s="1"/>
      <c r="DI70" s="1"/>
      <c r="DJ70" s="1"/>
      <c r="DK70" s="1"/>
    </row>
    <row r="71" spans="1:115" ht="24.95" customHeight="1">
      <c r="A71" s="9" t="str">
        <f>IF($DC71="","",IF(AND(INDEX(排期计算!$A$10:$A$109,$DC71)="",NOT(ISNUMBER(INDEX(排期计算!$A$10:$A$109,$DC71)))),"",INDEX(排期计算!$A$10:$A$109,$DC71)))</f>
        <v/>
      </c>
      <c r="B71" s="1" t="str">
        <f>IF($DC71="","",REPT("　",$DD71-1)&amp;INDEX(排期计算!$B$10:$B$109,$DC71))</f>
        <v/>
      </c>
      <c r="C71" s="3" t="str">
        <f>IF($DC71="","",IF(AND(INDEX(排期计算!$M$10:$M$109,$DC71)="",NOT(ISNUMBER(INDEX(排期计算!$M$10:$M$109,$DC71)))),"",INDEX(排期计算!$M$10:$M$109,$DC71)))</f>
        <v/>
      </c>
      <c r="D71" s="3" t="str">
        <f>IF($DC71="","",IF(AND(INDEX(排期计算!$N$10:$N$109,$DC71)="",NOT(ISNUMBER(INDEX(排期计算!$N$10:$N$109,$DC71)))),"",INDEX(排期计算!$N$10:$N$109,$DC71)))</f>
        <v/>
      </c>
      <c r="E71" s="1" t="str">
        <f>IF(OR($C71="",$D71=""),"",IF($J71="里程碑",0,NETWORKDAYS($C71,$D71)))</f>
        <v/>
      </c>
      <c r="F71" s="7" t="str">
        <f>IF($DC71="","",IF(AND(INDEX(排期计算!$O$10:$O$109,$DC71)="",NOT(ISNUMBER(INDEX(排期计算!$O$10:$O$109,$DC71)))),"",INDEX(排期计算!$O$10:$O$109,$DC71)))</f>
        <v/>
      </c>
      <c r="G71" s="8" t="str">
        <f>IF($A71="","",IF(OR($C71="",$D71=""),"未排期",IF($F71&gt;=1,"已完成",IF($D71&lt;$B$4,"逾期",IF($C71&gt;$B$4,"未开始","进行中")))))</f>
        <v/>
      </c>
      <c r="H71" s="1" t="str">
        <f>IF($DC71="","",IF(AND(INDEX(排期计算!$C$10:$C$109,$DC71)="",NOT(ISNUMBER(INDEX(排期计算!$C$10:$C$109,$DC71)))),"",INDEX(排期计算!$C$10:$C$109,$DC71)))</f>
        <v/>
      </c>
      <c r="I71" s="1" t="str">
        <f>IF($DC71="","",IF(AND(INDEX(排期计算!$H$10:$H$109,$DC71)="",NOT(ISNUMBER(INDEX(排期计算!$H$10:$H$109,$DC71)))),"",INDEX(排期计算!$H$10:$H$109,$DC71)))</f>
        <v/>
      </c>
      <c r="J71" s="1" t="str">
        <f>IF($DC71="","",IF(AND(INDEX(排期计算!$K$10:$K$109,$DC71)="",NOT(ISNUMBER(INDEX(排期计算!$K$10:$K$109,$DC71)))),"",INDEX(排期计算!$K$10:$K$109,$DC71)))</f>
        <v/>
      </c>
      <c r="K71" s="8" t="str">
        <f>IF(OR($A71="",$C71="",$D71="",$C71&gt;K$6,$D71&lt;K$9),"",IF($J71="里程碑","◆",""))</f>
        <v/>
      </c>
      <c r="L71" s="8" t="str">
        <f>IF(OR($A71="",$C71="",$D71="",$C71&gt;L$6,$D71&lt;L$9),"",IF($J71="里程碑","◆",""))</f>
        <v/>
      </c>
      <c r="M71" s="8" t="str">
        <f>IF(OR($A71="",$C71="",$D71="",$C71&gt;M$6,$D71&lt;M$9),"",IF($J71="里程碑","◆",""))</f>
        <v/>
      </c>
      <c r="N71" s="8" t="str">
        <f>IF(OR($A71="",$C71="",$D71="",$C71&gt;N$6,$D71&lt;N$9),"",IF($J71="里程碑","◆",""))</f>
        <v/>
      </c>
      <c r="O71" s="8" t="str">
        <f>IF(OR($A71="",$C71="",$D71="",$C71&gt;O$6,$D71&lt;O$9),"",IF($J71="里程碑","◆",""))</f>
        <v/>
      </c>
      <c r="P71" s="8" t="str">
        <f>IF(OR($A71="",$C71="",$D71="",$C71&gt;P$6,$D71&lt;P$9),"",IF($J71="里程碑","◆",""))</f>
        <v/>
      </c>
      <c r="Q71" s="8" t="str">
        <f>IF(OR($A71="",$C71="",$D71="",$C71&gt;Q$6,$D71&lt;Q$9),"",IF($J71="里程碑","◆",""))</f>
        <v/>
      </c>
      <c r="R71" s="8" t="str">
        <f>IF(OR($A71="",$C71="",$D71="",$C71&gt;R$6,$D71&lt;R$9),"",IF($J71="里程碑","◆",""))</f>
        <v/>
      </c>
      <c r="S71" s="8" t="str">
        <f>IF(OR($A71="",$C71="",$D71="",$C71&gt;S$6,$D71&lt;S$9),"",IF($J71="里程碑","◆",""))</f>
        <v/>
      </c>
      <c r="T71" s="8" t="str">
        <f>IF(OR($A71="",$C71="",$D71="",$C71&gt;T$6,$D71&lt;T$9),"",IF($J71="里程碑","◆",""))</f>
        <v/>
      </c>
      <c r="U71" s="8" t="str">
        <f>IF(OR($A71="",$C71="",$D71="",$C71&gt;U$6,$D71&lt;U$9),"",IF($J71="里程碑","◆",""))</f>
        <v/>
      </c>
      <c r="V71" s="8" t="str">
        <f>IF(OR($A71="",$C71="",$D71="",$C71&gt;V$6,$D71&lt;V$9),"",IF($J71="里程碑","◆",""))</f>
        <v/>
      </c>
      <c r="W71" s="8" t="str">
        <f>IF(OR($A71="",$C71="",$D71="",$C71&gt;W$6,$D71&lt;W$9),"",IF($J71="里程碑","◆",""))</f>
        <v/>
      </c>
      <c r="X71" s="8" t="str">
        <f>IF(OR($A71="",$C71="",$D71="",$C71&gt;X$6,$D71&lt;X$9),"",IF($J71="里程碑","◆",""))</f>
        <v/>
      </c>
      <c r="Y71" s="8" t="str">
        <f>IF(OR($A71="",$C71="",$D71="",$C71&gt;Y$6,$D71&lt;Y$9),"",IF($J71="里程碑","◆",""))</f>
        <v/>
      </c>
      <c r="Z71" s="8" t="str">
        <f>IF(OR($A71="",$C71="",$D71="",$C71&gt;Z$6,$D71&lt;Z$9),"",IF($J71="里程碑","◆",""))</f>
        <v/>
      </c>
      <c r="AA71" s="8" t="str">
        <f>IF(OR($A71="",$C71="",$D71="",$C71&gt;AA$6,$D71&lt;AA$9),"",IF($J71="里程碑","◆",""))</f>
        <v/>
      </c>
      <c r="AB71" s="8" t="str">
        <f>IF(OR($A71="",$C71="",$D71="",$C71&gt;AB$6,$D71&lt;AB$9),"",IF($J71="里程碑","◆",""))</f>
        <v/>
      </c>
      <c r="AC71" s="8" t="str">
        <f>IF(OR($A71="",$C71="",$D71="",$C71&gt;AC$6,$D71&lt;AC$9),"",IF($J71="里程碑","◆",""))</f>
        <v/>
      </c>
      <c r="AD71" s="8" t="str">
        <f>IF(OR($A71="",$C71="",$D71="",$C71&gt;AD$6,$D71&lt;AD$9),"",IF($J71="里程碑","◆",""))</f>
        <v/>
      </c>
      <c r="AE71" s="8" t="str">
        <f>IF(OR($A71="",$C71="",$D71="",$C71&gt;AE$6,$D71&lt;AE$9),"",IF($J71="里程碑","◆",""))</f>
        <v/>
      </c>
      <c r="AF71" s="8" t="str">
        <f>IF(OR($A71="",$C71="",$D71="",$C71&gt;AF$6,$D71&lt;AF$9),"",IF($J71="里程碑","◆",""))</f>
        <v/>
      </c>
      <c r="AG71" s="8" t="str">
        <f>IF(OR($A71="",$C71="",$D71="",$C71&gt;AG$6,$D71&lt;AG$9),"",IF($J71="里程碑","◆",""))</f>
        <v/>
      </c>
      <c r="AH71" s="8" t="str">
        <f>IF(OR($A71="",$C71="",$D71="",$C71&gt;AH$6,$D71&lt;AH$9),"",IF($J71="里程碑","◆",""))</f>
        <v/>
      </c>
      <c r="AI71" s="8" t="str">
        <f>IF(OR($A71="",$C71="",$D71="",$C71&gt;AI$6,$D71&lt;AI$9),"",IF($J71="里程碑","◆",""))</f>
        <v/>
      </c>
      <c r="AJ71" s="8" t="str">
        <f>IF(OR($A71="",$C71="",$D71="",$C71&gt;AJ$6,$D71&lt;AJ$9),"",IF($J71="里程碑","◆",""))</f>
        <v/>
      </c>
      <c r="AK71" s="8" t="str">
        <f>IF(OR($A71="",$C71="",$D71="",$C71&gt;AK$6,$D71&lt;AK$9),"",IF($J71="里程碑","◆",""))</f>
        <v/>
      </c>
      <c r="AL71" s="8" t="str">
        <f>IF(OR($A71="",$C71="",$D71="",$C71&gt;AL$6,$D71&lt;AL$9),"",IF($J71="里程碑","◆",""))</f>
        <v/>
      </c>
      <c r="AM71" s="8" t="str">
        <f>IF(OR($A71="",$C71="",$D71="",$C71&gt;AM$6,$D71&lt;AM$9),"",IF($J71="里程碑","◆",""))</f>
        <v/>
      </c>
      <c r="AN71" s="8" t="str">
        <f>IF(OR($A71="",$C71="",$D71="",$C71&gt;AN$6,$D71&lt;AN$9),"",IF($J71="里程碑","◆",""))</f>
        <v/>
      </c>
      <c r="AO71" s="8" t="str">
        <f>IF(OR($A71="",$C71="",$D71="",$C71&gt;AO$6,$D71&lt;AO$9),"",IF($J71="里程碑","◆",""))</f>
        <v/>
      </c>
      <c r="AP71" s="8" t="str">
        <f>IF(OR($A71="",$C71="",$D71="",$C71&gt;AP$6,$D71&lt;AP$9),"",IF($J71="里程碑","◆",""))</f>
        <v/>
      </c>
      <c r="AQ71" s="8" t="str">
        <f>IF(OR($A71="",$C71="",$D71="",$C71&gt;AQ$6,$D71&lt;AQ$9),"",IF($J71="里程碑","◆",""))</f>
        <v/>
      </c>
      <c r="AR71" s="8" t="str">
        <f>IF(OR($A71="",$C71="",$D71="",$C71&gt;AR$6,$D71&lt;AR$9),"",IF($J71="里程碑","◆",""))</f>
        <v/>
      </c>
      <c r="AS71" s="8" t="str">
        <f>IF(OR($A71="",$C71="",$D71="",$C71&gt;AS$6,$D71&lt;AS$9),"",IF($J71="里程碑","◆",""))</f>
        <v/>
      </c>
      <c r="AT71" s="8" t="str">
        <f>IF(OR($A71="",$C71="",$D71="",$C71&gt;AT$6,$D71&lt;AT$9),"",IF($J71="里程碑","◆",""))</f>
        <v/>
      </c>
      <c r="AU71" s="8" t="str">
        <f>IF(OR($A71="",$C71="",$D71="",$C71&gt;AU$6,$D71&lt;AU$9),"",IF($J71="里程碑","◆",""))</f>
        <v/>
      </c>
      <c r="AV71" s="8" t="str">
        <f>IF(OR($A71="",$C71="",$D71="",$C71&gt;AV$6,$D71&lt;AV$9),"",IF($J71="里程碑","◆",""))</f>
        <v/>
      </c>
      <c r="AW71" s="8" t="str">
        <f>IF(OR($A71="",$C71="",$D71="",$C71&gt;AW$6,$D71&lt;AW$9),"",IF($J71="里程碑","◆",""))</f>
        <v/>
      </c>
      <c r="AX71" s="8" t="str">
        <f>IF(OR($A71="",$C71="",$D71="",$C71&gt;AX$6,$D71&lt;AX$9),"",IF($J71="里程碑","◆",""))</f>
        <v/>
      </c>
      <c r="AY71" s="8" t="str">
        <f>IF(OR($A71="",$C71="",$D71="",$C71&gt;AY$6,$D71&lt;AY$9),"",IF($J71="里程碑","◆",""))</f>
        <v/>
      </c>
      <c r="AZ71" s="8" t="str">
        <f>IF(OR($A71="",$C71="",$D71="",$C71&gt;AZ$6,$D71&lt;AZ$9),"",IF($J71="里程碑","◆",""))</f>
        <v/>
      </c>
      <c r="BA71" s="8" t="str">
        <f>IF(OR($A71="",$C71="",$D71="",$C71&gt;BA$6,$D71&lt;BA$9),"",IF($J71="里程碑","◆",""))</f>
        <v/>
      </c>
      <c r="BB71" s="8" t="str">
        <f>IF(OR($A71="",$C71="",$D71="",$C71&gt;BB$6,$D71&lt;BB$9),"",IF($J71="里程碑","◆",""))</f>
        <v/>
      </c>
      <c r="BC71" s="8" t="str">
        <f>IF(OR($A71="",$C71="",$D71="",$C71&gt;BC$6,$D71&lt;BC$9),"",IF($J71="里程碑","◆",""))</f>
        <v/>
      </c>
      <c r="BD71" s="8" t="str">
        <f>IF(OR($A71="",$C71="",$D71="",$C71&gt;BD$6,$D71&lt;BD$9),"",IF($J71="里程碑","◆",""))</f>
        <v/>
      </c>
      <c r="BE71" s="8" t="str">
        <f>IF(OR($A71="",$C71="",$D71="",$C71&gt;BE$6,$D71&lt;BE$9),"",IF($J71="里程碑","◆",""))</f>
        <v/>
      </c>
      <c r="BF71" s="8" t="str">
        <f>IF(OR($A71="",$C71="",$D71="",$C71&gt;BF$6,$D71&lt;BF$9),"",IF($J71="里程碑","◆",""))</f>
        <v/>
      </c>
      <c r="BG71" s="8" t="str">
        <f>IF(OR($A71="",$C71="",$D71="",$C71&gt;BG$6,$D71&lt;BG$9),"",IF($J71="里程碑","◆",""))</f>
        <v/>
      </c>
      <c r="BH71" s="8" t="str">
        <f>IF(OR($A71="",$C71="",$D71="",$C71&gt;BH$6,$D71&lt;BH$9),"",IF($J71="里程碑","◆",""))</f>
        <v/>
      </c>
      <c r="BI71" s="8" t="str">
        <f>IF(OR($A71="",$C71="",$D71="",$C71&gt;BI$6,$D71&lt;BI$9),"",IF($J71="里程碑","◆",""))</f>
        <v/>
      </c>
      <c r="BJ71" s="8" t="str">
        <f>IF(OR($A71="",$C71="",$D71="",$C71&gt;BJ$6,$D71&lt;BJ$9),"",IF($J71="里程碑","◆",""))</f>
        <v/>
      </c>
      <c r="BK71" s="8" t="str">
        <f>IF(OR($A71="",$C71="",$D71="",$C71&gt;BK$6,$D71&lt;BK$9),"",IF($J71="里程碑","◆",""))</f>
        <v/>
      </c>
      <c r="BL71" s="8" t="str">
        <f>IF(OR($A71="",$C71="",$D71="",$C71&gt;BL$6,$D71&lt;BL$9),"",IF($J71="里程碑","◆",""))</f>
        <v/>
      </c>
      <c r="BM71" s="8" t="str">
        <f>IF(OR($A71="",$C71="",$D71="",$C71&gt;BM$6,$D71&lt;BM$9),"",IF($J71="里程碑","◆",""))</f>
        <v/>
      </c>
      <c r="BN71" s="8" t="str">
        <f>IF(OR($A71="",$C71="",$D71="",$C71&gt;BN$6,$D71&lt;BN$9),"",IF($J71="里程碑","◆",""))</f>
        <v/>
      </c>
      <c r="BO71" s="8" t="str">
        <f>IF(OR($A71="",$C71="",$D71="",$C71&gt;BO$6,$D71&lt;BO$9),"",IF($J71="里程碑","◆",""))</f>
        <v/>
      </c>
      <c r="BP71" s="8" t="str">
        <f>IF(OR($A71="",$C71="",$D71="",$C71&gt;BP$6,$D71&lt;BP$9),"",IF($J71="里程碑","◆",""))</f>
        <v/>
      </c>
      <c r="BQ71" s="8" t="str">
        <f>IF(OR($A71="",$C71="",$D71="",$C71&gt;BQ$6,$D71&lt;BQ$9),"",IF($J71="里程碑","◆",""))</f>
        <v/>
      </c>
      <c r="BR71" s="8" t="str">
        <f>IF(OR($A71="",$C71="",$D71="",$C71&gt;BR$6,$D71&lt;BR$9),"",IF($J71="里程碑","◆",""))</f>
        <v/>
      </c>
      <c r="BS71" s="8" t="str">
        <f>IF(OR($A71="",$C71="",$D71="",$C71&gt;BS$6,$D71&lt;BS$9),"",IF($J71="里程碑","◆",""))</f>
        <v/>
      </c>
      <c r="BT71" s="8" t="str">
        <f>IF(OR($A71="",$C71="",$D71="",$C71&gt;BT$6,$D71&lt;BT$9),"",IF($J71="里程碑","◆",""))</f>
        <v/>
      </c>
      <c r="BU71" s="8" t="str">
        <f>IF(OR($A71="",$C71="",$D71="",$C71&gt;BU$6,$D71&lt;BU$9),"",IF($J71="里程碑","◆",""))</f>
        <v/>
      </c>
      <c r="BV71" s="8" t="str">
        <f>IF(OR($A71="",$C71="",$D71="",$C71&gt;BV$6,$D71&lt;BV$9),"",IF($J71="里程碑","◆",""))</f>
        <v/>
      </c>
      <c r="BW71" s="8" t="str">
        <f>IF(OR($A71="",$C71="",$D71="",$C71&gt;BW$6,$D71&lt;BW$9),"",IF($J71="里程碑","◆",""))</f>
        <v/>
      </c>
      <c r="BX71" s="8" t="str">
        <f>IF(OR($A71="",$C71="",$D71="",$C71&gt;BX$6,$D71&lt;BX$9),"",IF($J71="里程碑","◆",""))</f>
        <v/>
      </c>
      <c r="BY71" s="8" t="str">
        <f>IF(OR($A71="",$C71="",$D71="",$C71&gt;BY$6,$D71&lt;BY$9),"",IF($J71="里程碑","◆",""))</f>
        <v/>
      </c>
      <c r="BZ71" s="8" t="str">
        <f>IF(OR($A71="",$C71="",$D71="",$C71&gt;BZ$6,$D71&lt;BZ$9),"",IF($J71="里程碑","◆",""))</f>
        <v/>
      </c>
      <c r="CA71" s="8" t="str">
        <f>IF(OR($A71="",$C71="",$D71="",$C71&gt;CA$6,$D71&lt;CA$9),"",IF($J71="里程碑","◆",""))</f>
        <v/>
      </c>
      <c r="CB71" s="8" t="str">
        <f>IF(OR($A71="",$C71="",$D71="",$C71&gt;CB$6,$D71&lt;CB$9),"",IF($J71="里程碑","◆",""))</f>
        <v/>
      </c>
      <c r="CC71" s="8" t="str">
        <f>IF(OR($A71="",$C71="",$D71="",$C71&gt;CC$6,$D71&lt;CC$9),"",IF($J71="里程碑","◆",""))</f>
        <v/>
      </c>
      <c r="CD71" s="8" t="str">
        <f>IF(OR($A71="",$C71="",$D71="",$C71&gt;CD$6,$D71&lt;CD$9),"",IF($J71="里程碑","◆",""))</f>
        <v/>
      </c>
      <c r="CE71" s="8" t="str">
        <f>IF(OR($A71="",$C71="",$D71="",$C71&gt;CE$6,$D71&lt;CE$9),"",IF($J71="里程碑","◆",""))</f>
        <v/>
      </c>
      <c r="CF71" s="8" t="str">
        <f>IF(OR($A71="",$C71="",$D71="",$C71&gt;CF$6,$D71&lt;CF$9),"",IF($J71="里程碑","◆",""))</f>
        <v/>
      </c>
      <c r="CG71" s="8" t="str">
        <f>IF(OR($A71="",$C71="",$D71="",$C71&gt;CG$6,$D71&lt;CG$9),"",IF($J71="里程碑","◆",""))</f>
        <v/>
      </c>
      <c r="CH71" s="8" t="str">
        <f>IF(OR($A71="",$C71="",$D71="",$C71&gt;CH$6,$D71&lt;CH$9),"",IF($J71="里程碑","◆",""))</f>
        <v/>
      </c>
      <c r="CI71" s="8" t="str">
        <f>IF(OR($A71="",$C71="",$D71="",$C71&gt;CI$6,$D71&lt;CI$9),"",IF($J71="里程碑","◆",""))</f>
        <v/>
      </c>
      <c r="CJ71" s="8" t="str">
        <f>IF(OR($A71="",$C71="",$D71="",$C71&gt;CJ$6,$D71&lt;CJ$9),"",IF($J71="里程碑","◆",""))</f>
        <v/>
      </c>
      <c r="CK71" s="8" t="str">
        <f>IF(OR($A71="",$C71="",$D71="",$C71&gt;CK$6,$D71&lt;CK$9),"",IF($J71="里程碑","◆",""))</f>
        <v/>
      </c>
      <c r="CL71" s="8" t="str">
        <f>IF(OR($A71="",$C71="",$D71="",$C71&gt;CL$6,$D71&lt;CL$9),"",IF($J71="里程碑","◆",""))</f>
        <v/>
      </c>
      <c r="CM71" s="8" t="str">
        <f>IF(OR($A71="",$C71="",$D71="",$C71&gt;CM$6,$D71&lt;CM$9),"",IF($J71="里程碑","◆",""))</f>
        <v/>
      </c>
      <c r="CN71" s="8" t="str">
        <f>IF(OR($A71="",$C71="",$D71="",$C71&gt;CN$6,$D71&lt;CN$9),"",IF($J71="里程碑","◆",""))</f>
        <v/>
      </c>
      <c r="CO71" s="8" t="str">
        <f>IF(OR($A71="",$C71="",$D71="",$C71&gt;CO$6,$D71&lt;CO$9),"",IF($J71="里程碑","◆",""))</f>
        <v/>
      </c>
      <c r="CP71" s="8" t="str">
        <f>IF(OR($A71="",$C71="",$D71="",$C71&gt;CP$6,$D71&lt;CP$9),"",IF($J71="里程碑","◆",""))</f>
        <v/>
      </c>
      <c r="CQ71" s="8" t="str">
        <f>IF(OR($A71="",$C71="",$D71="",$C71&gt;CQ$6,$D71&lt;CQ$9),"",IF($J71="里程碑","◆",""))</f>
        <v/>
      </c>
      <c r="CR71" s="8" t="str">
        <f>IF(OR($A71="",$C71="",$D71="",$C71&gt;CR$6,$D71&lt;CR$9),"",IF($J71="里程碑","◆",""))</f>
        <v/>
      </c>
      <c r="CS71" s="8" t="str">
        <f>IF(OR($A71="",$C71="",$D71="",$C71&gt;CS$6,$D71&lt;CS$9),"",IF($J71="里程碑","◆",""))</f>
        <v/>
      </c>
      <c r="CT71" s="8" t="str">
        <f>IF(OR($A71="",$C71="",$D71="",$C71&gt;CT$6,$D71&lt;CT$9),"",IF($J71="里程碑","◆",""))</f>
        <v/>
      </c>
      <c r="CU71" s="8" t="str">
        <f>IF(OR($A71="",$C71="",$D71="",$C71&gt;CU$6,$D71&lt;CU$9),"",IF($J71="里程碑","◆",""))</f>
        <v/>
      </c>
      <c r="CV71" s="8" t="str">
        <f>IF(OR($A71="",$C71="",$D71="",$C71&gt;CV$6,$D71&lt;CV$9),"",IF($J71="里程碑","◆",""))</f>
        <v/>
      </c>
      <c r="CW71" s="8" t="str">
        <f>IF(OR($A71="",$C71="",$D71="",$C71&gt;CW$6,$D71&lt;CW$9),"",IF($J71="里程碑","◆",""))</f>
        <v/>
      </c>
      <c r="CX71" s="8" t="str">
        <f>IF(OR($A71="",$C71="",$D71="",$C71&gt;CX$6,$D71&lt;CX$9),"",IF($J71="里程碑","◆",""))</f>
        <v/>
      </c>
      <c r="CY71" s="8" t="str">
        <f>IF(OR($A71="",$C71="",$D71="",$C71&gt;CY$6,$D71&lt;CY$9),"",IF($J71="里程碑","◆",""))</f>
        <v/>
      </c>
      <c r="CZ71" s="8" t="str">
        <f>IF(OR($A71="",$C71="",$D71="",$C71&gt;CZ$6,$D71&lt;CZ$9),"",IF($J71="里程碑","◆",""))</f>
        <v/>
      </c>
      <c r="DA71" s="8" t="str">
        <f>IF(OR($A71="",$C71="",$D71="",$C71&gt;DA$6,$D71&lt;DA$9),"",IF($J71="里程碑","◆",""))</f>
        <v/>
      </c>
      <c r="DB71" s="8" t="str">
        <f>IF(OR($A71="",$C71="",$D71="",$C71&gt;DB$6,$D71&lt;DB$9),"",IF($J71="里程碑","◆",""))</f>
        <v/>
      </c>
      <c r="DC71" s="1" t="str">
        <f>IF(ROW()-9&gt;$DH$3,"",MATCH(ROW()-9,排期计算!$U$10:$U$109,0))</f>
        <v/>
      </c>
      <c r="DD71" s="1" t="str">
        <f>IF($DC71="","",INDEX(排期计算!$L$10:$L$109,$DC71))</f>
        <v/>
      </c>
      <c r="DE71" s="1"/>
      <c r="DF71" s="1"/>
      <c r="DG71" s="1"/>
      <c r="DH71" s="1"/>
      <c r="DI71" s="1"/>
      <c r="DJ71" s="1"/>
      <c r="DK71" s="1"/>
    </row>
    <row r="72" spans="1:115" ht="24.95" customHeight="1">
      <c r="A72" s="9" t="str">
        <f>IF($DC72="","",IF(AND(INDEX(排期计算!$A$10:$A$109,$DC72)="",NOT(ISNUMBER(INDEX(排期计算!$A$10:$A$109,$DC72)))),"",INDEX(排期计算!$A$10:$A$109,$DC72)))</f>
        <v/>
      </c>
      <c r="B72" s="1" t="str">
        <f>IF($DC72="","",REPT("　",$DD72-1)&amp;INDEX(排期计算!$B$10:$B$109,$DC72))</f>
        <v/>
      </c>
      <c r="C72" s="3" t="str">
        <f>IF($DC72="","",IF(AND(INDEX(排期计算!$M$10:$M$109,$DC72)="",NOT(ISNUMBER(INDEX(排期计算!$M$10:$M$109,$DC72)))),"",INDEX(排期计算!$M$10:$M$109,$DC72)))</f>
        <v/>
      </c>
      <c r="D72" s="3" t="str">
        <f>IF($DC72="","",IF(AND(INDEX(排期计算!$N$10:$N$109,$DC72)="",NOT(ISNUMBER(INDEX(排期计算!$N$10:$N$109,$DC72)))),"",INDEX(排期计算!$N$10:$N$109,$DC72)))</f>
        <v/>
      </c>
      <c r="E72" s="1" t="str">
        <f>IF(OR($C72="",$D72=""),"",IF($J72="里程碑",0,NETWORKDAYS($C72,$D72)))</f>
        <v/>
      </c>
      <c r="F72" s="7" t="str">
        <f>IF($DC72="","",IF(AND(INDEX(排期计算!$O$10:$O$109,$DC72)="",NOT(ISNUMBER(INDEX(排期计算!$O$10:$O$109,$DC72)))),"",INDEX(排期计算!$O$10:$O$109,$DC72)))</f>
        <v/>
      </c>
      <c r="G72" s="8" t="str">
        <f>IF($A72="","",IF(OR($C72="",$D72=""),"未排期",IF($F72&gt;=1,"已完成",IF($D72&lt;$B$4,"逾期",IF($C72&gt;$B$4,"未开始","进行中")))))</f>
        <v/>
      </c>
      <c r="H72" s="1" t="str">
        <f>IF($DC72="","",IF(AND(INDEX(排期计算!$C$10:$C$109,$DC72)="",NOT(ISNUMBER(INDEX(排期计算!$C$10:$C$109,$DC72)))),"",INDEX(排期计算!$C$10:$C$109,$DC72)))</f>
        <v/>
      </c>
      <c r="I72" s="1" t="str">
        <f>IF($DC72="","",IF(AND(INDEX(排期计算!$H$10:$H$109,$DC72)="",NOT(ISNUMBER(INDEX(排期计算!$H$10:$H$109,$DC72)))),"",INDEX(排期计算!$H$10:$H$109,$DC72)))</f>
        <v/>
      </c>
      <c r="J72" s="1" t="str">
        <f>IF($DC72="","",IF(AND(INDEX(排期计算!$K$10:$K$109,$DC72)="",NOT(ISNUMBER(INDEX(排期计算!$K$10:$K$109,$DC72)))),"",INDEX(排期计算!$K$10:$K$109,$DC72)))</f>
        <v/>
      </c>
      <c r="K72" s="8" t="str">
        <f>IF(OR($A72="",$C72="",$D72="",$C72&gt;K$6,$D72&lt;K$9),"",IF($J72="里程碑","◆",""))</f>
        <v/>
      </c>
      <c r="L72" s="8" t="str">
        <f>IF(OR($A72="",$C72="",$D72="",$C72&gt;L$6,$D72&lt;L$9),"",IF($J72="里程碑","◆",""))</f>
        <v/>
      </c>
      <c r="M72" s="8" t="str">
        <f>IF(OR($A72="",$C72="",$D72="",$C72&gt;M$6,$D72&lt;M$9),"",IF($J72="里程碑","◆",""))</f>
        <v/>
      </c>
      <c r="N72" s="8" t="str">
        <f>IF(OR($A72="",$C72="",$D72="",$C72&gt;N$6,$D72&lt;N$9),"",IF($J72="里程碑","◆",""))</f>
        <v/>
      </c>
      <c r="O72" s="8" t="str">
        <f>IF(OR($A72="",$C72="",$D72="",$C72&gt;O$6,$D72&lt;O$9),"",IF($J72="里程碑","◆",""))</f>
        <v/>
      </c>
      <c r="P72" s="8" t="str">
        <f>IF(OR($A72="",$C72="",$D72="",$C72&gt;P$6,$D72&lt;P$9),"",IF($J72="里程碑","◆",""))</f>
        <v/>
      </c>
      <c r="Q72" s="8" t="str">
        <f>IF(OR($A72="",$C72="",$D72="",$C72&gt;Q$6,$D72&lt;Q$9),"",IF($J72="里程碑","◆",""))</f>
        <v/>
      </c>
      <c r="R72" s="8" t="str">
        <f>IF(OR($A72="",$C72="",$D72="",$C72&gt;R$6,$D72&lt;R$9),"",IF($J72="里程碑","◆",""))</f>
        <v/>
      </c>
      <c r="S72" s="8" t="str">
        <f>IF(OR($A72="",$C72="",$D72="",$C72&gt;S$6,$D72&lt;S$9),"",IF($J72="里程碑","◆",""))</f>
        <v/>
      </c>
      <c r="T72" s="8" t="str">
        <f>IF(OR($A72="",$C72="",$D72="",$C72&gt;T$6,$D72&lt;T$9),"",IF($J72="里程碑","◆",""))</f>
        <v/>
      </c>
      <c r="U72" s="8" t="str">
        <f>IF(OR($A72="",$C72="",$D72="",$C72&gt;U$6,$D72&lt;U$9),"",IF($J72="里程碑","◆",""))</f>
        <v/>
      </c>
      <c r="V72" s="8" t="str">
        <f>IF(OR($A72="",$C72="",$D72="",$C72&gt;V$6,$D72&lt;V$9),"",IF($J72="里程碑","◆",""))</f>
        <v/>
      </c>
      <c r="W72" s="8" t="str">
        <f>IF(OR($A72="",$C72="",$D72="",$C72&gt;W$6,$D72&lt;W$9),"",IF($J72="里程碑","◆",""))</f>
        <v/>
      </c>
      <c r="X72" s="8" t="str">
        <f>IF(OR($A72="",$C72="",$D72="",$C72&gt;X$6,$D72&lt;X$9),"",IF($J72="里程碑","◆",""))</f>
        <v/>
      </c>
      <c r="Y72" s="8" t="str">
        <f>IF(OR($A72="",$C72="",$D72="",$C72&gt;Y$6,$D72&lt;Y$9),"",IF($J72="里程碑","◆",""))</f>
        <v/>
      </c>
      <c r="Z72" s="8" t="str">
        <f>IF(OR($A72="",$C72="",$D72="",$C72&gt;Z$6,$D72&lt;Z$9),"",IF($J72="里程碑","◆",""))</f>
        <v/>
      </c>
      <c r="AA72" s="8" t="str">
        <f>IF(OR($A72="",$C72="",$D72="",$C72&gt;AA$6,$D72&lt;AA$9),"",IF($J72="里程碑","◆",""))</f>
        <v/>
      </c>
      <c r="AB72" s="8" t="str">
        <f>IF(OR($A72="",$C72="",$D72="",$C72&gt;AB$6,$D72&lt;AB$9),"",IF($J72="里程碑","◆",""))</f>
        <v/>
      </c>
      <c r="AC72" s="8" t="str">
        <f>IF(OR($A72="",$C72="",$D72="",$C72&gt;AC$6,$D72&lt;AC$9),"",IF($J72="里程碑","◆",""))</f>
        <v/>
      </c>
      <c r="AD72" s="8" t="str">
        <f>IF(OR($A72="",$C72="",$D72="",$C72&gt;AD$6,$D72&lt;AD$9),"",IF($J72="里程碑","◆",""))</f>
        <v/>
      </c>
      <c r="AE72" s="8" t="str">
        <f>IF(OR($A72="",$C72="",$D72="",$C72&gt;AE$6,$D72&lt;AE$9),"",IF($J72="里程碑","◆",""))</f>
        <v/>
      </c>
      <c r="AF72" s="8" t="str">
        <f>IF(OR($A72="",$C72="",$D72="",$C72&gt;AF$6,$D72&lt;AF$9),"",IF($J72="里程碑","◆",""))</f>
        <v/>
      </c>
      <c r="AG72" s="8" t="str">
        <f>IF(OR($A72="",$C72="",$D72="",$C72&gt;AG$6,$D72&lt;AG$9),"",IF($J72="里程碑","◆",""))</f>
        <v/>
      </c>
      <c r="AH72" s="8" t="str">
        <f>IF(OR($A72="",$C72="",$D72="",$C72&gt;AH$6,$D72&lt;AH$9),"",IF($J72="里程碑","◆",""))</f>
        <v/>
      </c>
      <c r="AI72" s="8" t="str">
        <f>IF(OR($A72="",$C72="",$D72="",$C72&gt;AI$6,$D72&lt;AI$9),"",IF($J72="里程碑","◆",""))</f>
        <v/>
      </c>
      <c r="AJ72" s="8" t="str">
        <f>IF(OR($A72="",$C72="",$D72="",$C72&gt;AJ$6,$D72&lt;AJ$9),"",IF($J72="里程碑","◆",""))</f>
        <v/>
      </c>
      <c r="AK72" s="8" t="str">
        <f>IF(OR($A72="",$C72="",$D72="",$C72&gt;AK$6,$D72&lt;AK$9),"",IF($J72="里程碑","◆",""))</f>
        <v/>
      </c>
      <c r="AL72" s="8" t="str">
        <f>IF(OR($A72="",$C72="",$D72="",$C72&gt;AL$6,$D72&lt;AL$9),"",IF($J72="里程碑","◆",""))</f>
        <v/>
      </c>
      <c r="AM72" s="8" t="str">
        <f>IF(OR($A72="",$C72="",$D72="",$C72&gt;AM$6,$D72&lt;AM$9),"",IF($J72="里程碑","◆",""))</f>
        <v/>
      </c>
      <c r="AN72" s="8" t="str">
        <f>IF(OR($A72="",$C72="",$D72="",$C72&gt;AN$6,$D72&lt;AN$9),"",IF($J72="里程碑","◆",""))</f>
        <v/>
      </c>
      <c r="AO72" s="8" t="str">
        <f>IF(OR($A72="",$C72="",$D72="",$C72&gt;AO$6,$D72&lt;AO$9),"",IF($J72="里程碑","◆",""))</f>
        <v/>
      </c>
      <c r="AP72" s="8" t="str">
        <f>IF(OR($A72="",$C72="",$D72="",$C72&gt;AP$6,$D72&lt;AP$9),"",IF($J72="里程碑","◆",""))</f>
        <v/>
      </c>
      <c r="AQ72" s="8" t="str">
        <f>IF(OR($A72="",$C72="",$D72="",$C72&gt;AQ$6,$D72&lt;AQ$9),"",IF($J72="里程碑","◆",""))</f>
        <v/>
      </c>
      <c r="AR72" s="8" t="str">
        <f>IF(OR($A72="",$C72="",$D72="",$C72&gt;AR$6,$D72&lt;AR$9),"",IF($J72="里程碑","◆",""))</f>
        <v/>
      </c>
      <c r="AS72" s="8" t="str">
        <f>IF(OR($A72="",$C72="",$D72="",$C72&gt;AS$6,$D72&lt;AS$9),"",IF($J72="里程碑","◆",""))</f>
        <v/>
      </c>
      <c r="AT72" s="8" t="str">
        <f>IF(OR($A72="",$C72="",$D72="",$C72&gt;AT$6,$D72&lt;AT$9),"",IF($J72="里程碑","◆",""))</f>
        <v/>
      </c>
      <c r="AU72" s="8" t="str">
        <f>IF(OR($A72="",$C72="",$D72="",$C72&gt;AU$6,$D72&lt;AU$9),"",IF($J72="里程碑","◆",""))</f>
        <v/>
      </c>
      <c r="AV72" s="8" t="str">
        <f>IF(OR($A72="",$C72="",$D72="",$C72&gt;AV$6,$D72&lt;AV$9),"",IF($J72="里程碑","◆",""))</f>
        <v/>
      </c>
      <c r="AW72" s="8" t="str">
        <f>IF(OR($A72="",$C72="",$D72="",$C72&gt;AW$6,$D72&lt;AW$9),"",IF($J72="里程碑","◆",""))</f>
        <v/>
      </c>
      <c r="AX72" s="8" t="str">
        <f>IF(OR($A72="",$C72="",$D72="",$C72&gt;AX$6,$D72&lt;AX$9),"",IF($J72="里程碑","◆",""))</f>
        <v/>
      </c>
      <c r="AY72" s="8" t="str">
        <f>IF(OR($A72="",$C72="",$D72="",$C72&gt;AY$6,$D72&lt;AY$9),"",IF($J72="里程碑","◆",""))</f>
        <v/>
      </c>
      <c r="AZ72" s="8" t="str">
        <f>IF(OR($A72="",$C72="",$D72="",$C72&gt;AZ$6,$D72&lt;AZ$9),"",IF($J72="里程碑","◆",""))</f>
        <v/>
      </c>
      <c r="BA72" s="8" t="str">
        <f>IF(OR($A72="",$C72="",$D72="",$C72&gt;BA$6,$D72&lt;BA$9),"",IF($J72="里程碑","◆",""))</f>
        <v/>
      </c>
      <c r="BB72" s="8" t="str">
        <f>IF(OR($A72="",$C72="",$D72="",$C72&gt;BB$6,$D72&lt;BB$9),"",IF($J72="里程碑","◆",""))</f>
        <v/>
      </c>
      <c r="BC72" s="8" t="str">
        <f>IF(OR($A72="",$C72="",$D72="",$C72&gt;BC$6,$D72&lt;BC$9),"",IF($J72="里程碑","◆",""))</f>
        <v/>
      </c>
      <c r="BD72" s="8" t="str">
        <f>IF(OR($A72="",$C72="",$D72="",$C72&gt;BD$6,$D72&lt;BD$9),"",IF($J72="里程碑","◆",""))</f>
        <v/>
      </c>
      <c r="BE72" s="8" t="str">
        <f>IF(OR($A72="",$C72="",$D72="",$C72&gt;BE$6,$D72&lt;BE$9),"",IF($J72="里程碑","◆",""))</f>
        <v/>
      </c>
      <c r="BF72" s="8" t="str">
        <f>IF(OR($A72="",$C72="",$D72="",$C72&gt;BF$6,$D72&lt;BF$9),"",IF($J72="里程碑","◆",""))</f>
        <v/>
      </c>
      <c r="BG72" s="8" t="str">
        <f>IF(OR($A72="",$C72="",$D72="",$C72&gt;BG$6,$D72&lt;BG$9),"",IF($J72="里程碑","◆",""))</f>
        <v/>
      </c>
      <c r="BH72" s="8" t="str">
        <f>IF(OR($A72="",$C72="",$D72="",$C72&gt;BH$6,$D72&lt;BH$9),"",IF($J72="里程碑","◆",""))</f>
        <v/>
      </c>
      <c r="BI72" s="8" t="str">
        <f>IF(OR($A72="",$C72="",$D72="",$C72&gt;BI$6,$D72&lt;BI$9),"",IF($J72="里程碑","◆",""))</f>
        <v/>
      </c>
      <c r="BJ72" s="8" t="str">
        <f>IF(OR($A72="",$C72="",$D72="",$C72&gt;BJ$6,$D72&lt;BJ$9),"",IF($J72="里程碑","◆",""))</f>
        <v/>
      </c>
      <c r="BK72" s="8" t="str">
        <f>IF(OR($A72="",$C72="",$D72="",$C72&gt;BK$6,$D72&lt;BK$9),"",IF($J72="里程碑","◆",""))</f>
        <v/>
      </c>
      <c r="BL72" s="8" t="str">
        <f>IF(OR($A72="",$C72="",$D72="",$C72&gt;BL$6,$D72&lt;BL$9),"",IF($J72="里程碑","◆",""))</f>
        <v/>
      </c>
      <c r="BM72" s="8" t="str">
        <f>IF(OR($A72="",$C72="",$D72="",$C72&gt;BM$6,$D72&lt;BM$9),"",IF($J72="里程碑","◆",""))</f>
        <v/>
      </c>
      <c r="BN72" s="8" t="str">
        <f>IF(OR($A72="",$C72="",$D72="",$C72&gt;BN$6,$D72&lt;BN$9),"",IF($J72="里程碑","◆",""))</f>
        <v/>
      </c>
      <c r="BO72" s="8" t="str">
        <f>IF(OR($A72="",$C72="",$D72="",$C72&gt;BO$6,$D72&lt;BO$9),"",IF($J72="里程碑","◆",""))</f>
        <v/>
      </c>
      <c r="BP72" s="8" t="str">
        <f>IF(OR($A72="",$C72="",$D72="",$C72&gt;BP$6,$D72&lt;BP$9),"",IF($J72="里程碑","◆",""))</f>
        <v/>
      </c>
      <c r="BQ72" s="8" t="str">
        <f>IF(OR($A72="",$C72="",$D72="",$C72&gt;BQ$6,$D72&lt;BQ$9),"",IF($J72="里程碑","◆",""))</f>
        <v/>
      </c>
      <c r="BR72" s="8" t="str">
        <f>IF(OR($A72="",$C72="",$D72="",$C72&gt;BR$6,$D72&lt;BR$9),"",IF($J72="里程碑","◆",""))</f>
        <v/>
      </c>
      <c r="BS72" s="8" t="str">
        <f>IF(OR($A72="",$C72="",$D72="",$C72&gt;BS$6,$D72&lt;BS$9),"",IF($J72="里程碑","◆",""))</f>
        <v/>
      </c>
      <c r="BT72" s="8" t="str">
        <f>IF(OR($A72="",$C72="",$D72="",$C72&gt;BT$6,$D72&lt;BT$9),"",IF($J72="里程碑","◆",""))</f>
        <v/>
      </c>
      <c r="BU72" s="8" t="str">
        <f>IF(OR($A72="",$C72="",$D72="",$C72&gt;BU$6,$D72&lt;BU$9),"",IF($J72="里程碑","◆",""))</f>
        <v/>
      </c>
      <c r="BV72" s="8" t="str">
        <f>IF(OR($A72="",$C72="",$D72="",$C72&gt;BV$6,$D72&lt;BV$9),"",IF($J72="里程碑","◆",""))</f>
        <v/>
      </c>
      <c r="BW72" s="8" t="str">
        <f>IF(OR($A72="",$C72="",$D72="",$C72&gt;BW$6,$D72&lt;BW$9),"",IF($J72="里程碑","◆",""))</f>
        <v/>
      </c>
      <c r="BX72" s="8" t="str">
        <f>IF(OR($A72="",$C72="",$D72="",$C72&gt;BX$6,$D72&lt;BX$9),"",IF($J72="里程碑","◆",""))</f>
        <v/>
      </c>
      <c r="BY72" s="8" t="str">
        <f>IF(OR($A72="",$C72="",$D72="",$C72&gt;BY$6,$D72&lt;BY$9),"",IF($J72="里程碑","◆",""))</f>
        <v/>
      </c>
      <c r="BZ72" s="8" t="str">
        <f>IF(OR($A72="",$C72="",$D72="",$C72&gt;BZ$6,$D72&lt;BZ$9),"",IF($J72="里程碑","◆",""))</f>
        <v/>
      </c>
      <c r="CA72" s="8" t="str">
        <f>IF(OR($A72="",$C72="",$D72="",$C72&gt;CA$6,$D72&lt;CA$9),"",IF($J72="里程碑","◆",""))</f>
        <v/>
      </c>
      <c r="CB72" s="8" t="str">
        <f>IF(OR($A72="",$C72="",$D72="",$C72&gt;CB$6,$D72&lt;CB$9),"",IF($J72="里程碑","◆",""))</f>
        <v/>
      </c>
      <c r="CC72" s="8" t="str">
        <f>IF(OR($A72="",$C72="",$D72="",$C72&gt;CC$6,$D72&lt;CC$9),"",IF($J72="里程碑","◆",""))</f>
        <v/>
      </c>
      <c r="CD72" s="8" t="str">
        <f>IF(OR($A72="",$C72="",$D72="",$C72&gt;CD$6,$D72&lt;CD$9),"",IF($J72="里程碑","◆",""))</f>
        <v/>
      </c>
      <c r="CE72" s="8" t="str">
        <f>IF(OR($A72="",$C72="",$D72="",$C72&gt;CE$6,$D72&lt;CE$9),"",IF($J72="里程碑","◆",""))</f>
        <v/>
      </c>
      <c r="CF72" s="8" t="str">
        <f>IF(OR($A72="",$C72="",$D72="",$C72&gt;CF$6,$D72&lt;CF$9),"",IF($J72="里程碑","◆",""))</f>
        <v/>
      </c>
      <c r="CG72" s="8" t="str">
        <f>IF(OR($A72="",$C72="",$D72="",$C72&gt;CG$6,$D72&lt;CG$9),"",IF($J72="里程碑","◆",""))</f>
        <v/>
      </c>
      <c r="CH72" s="8" t="str">
        <f>IF(OR($A72="",$C72="",$D72="",$C72&gt;CH$6,$D72&lt;CH$9),"",IF($J72="里程碑","◆",""))</f>
        <v/>
      </c>
      <c r="CI72" s="8" t="str">
        <f>IF(OR($A72="",$C72="",$D72="",$C72&gt;CI$6,$D72&lt;CI$9),"",IF($J72="里程碑","◆",""))</f>
        <v/>
      </c>
      <c r="CJ72" s="8" t="str">
        <f>IF(OR($A72="",$C72="",$D72="",$C72&gt;CJ$6,$D72&lt;CJ$9),"",IF($J72="里程碑","◆",""))</f>
        <v/>
      </c>
      <c r="CK72" s="8" t="str">
        <f>IF(OR($A72="",$C72="",$D72="",$C72&gt;CK$6,$D72&lt;CK$9),"",IF($J72="里程碑","◆",""))</f>
        <v/>
      </c>
      <c r="CL72" s="8" t="str">
        <f>IF(OR($A72="",$C72="",$D72="",$C72&gt;CL$6,$D72&lt;CL$9),"",IF($J72="里程碑","◆",""))</f>
        <v/>
      </c>
      <c r="CM72" s="8" t="str">
        <f>IF(OR($A72="",$C72="",$D72="",$C72&gt;CM$6,$D72&lt;CM$9),"",IF($J72="里程碑","◆",""))</f>
        <v/>
      </c>
      <c r="CN72" s="8" t="str">
        <f>IF(OR($A72="",$C72="",$D72="",$C72&gt;CN$6,$D72&lt;CN$9),"",IF($J72="里程碑","◆",""))</f>
        <v/>
      </c>
      <c r="CO72" s="8" t="str">
        <f>IF(OR($A72="",$C72="",$D72="",$C72&gt;CO$6,$D72&lt;CO$9),"",IF($J72="里程碑","◆",""))</f>
        <v/>
      </c>
      <c r="CP72" s="8" t="str">
        <f>IF(OR($A72="",$C72="",$D72="",$C72&gt;CP$6,$D72&lt;CP$9),"",IF($J72="里程碑","◆",""))</f>
        <v/>
      </c>
      <c r="CQ72" s="8" t="str">
        <f>IF(OR($A72="",$C72="",$D72="",$C72&gt;CQ$6,$D72&lt;CQ$9),"",IF($J72="里程碑","◆",""))</f>
        <v/>
      </c>
      <c r="CR72" s="8" t="str">
        <f>IF(OR($A72="",$C72="",$D72="",$C72&gt;CR$6,$D72&lt;CR$9),"",IF($J72="里程碑","◆",""))</f>
        <v/>
      </c>
      <c r="CS72" s="8" t="str">
        <f>IF(OR($A72="",$C72="",$D72="",$C72&gt;CS$6,$D72&lt;CS$9),"",IF($J72="里程碑","◆",""))</f>
        <v/>
      </c>
      <c r="CT72" s="8" t="str">
        <f>IF(OR($A72="",$C72="",$D72="",$C72&gt;CT$6,$D72&lt;CT$9),"",IF($J72="里程碑","◆",""))</f>
        <v/>
      </c>
      <c r="CU72" s="8" t="str">
        <f>IF(OR($A72="",$C72="",$D72="",$C72&gt;CU$6,$D72&lt;CU$9),"",IF($J72="里程碑","◆",""))</f>
        <v/>
      </c>
      <c r="CV72" s="8" t="str">
        <f>IF(OR($A72="",$C72="",$D72="",$C72&gt;CV$6,$D72&lt;CV$9),"",IF($J72="里程碑","◆",""))</f>
        <v/>
      </c>
      <c r="CW72" s="8" t="str">
        <f>IF(OR($A72="",$C72="",$D72="",$C72&gt;CW$6,$D72&lt;CW$9),"",IF($J72="里程碑","◆",""))</f>
        <v/>
      </c>
      <c r="CX72" s="8" t="str">
        <f>IF(OR($A72="",$C72="",$D72="",$C72&gt;CX$6,$D72&lt;CX$9),"",IF($J72="里程碑","◆",""))</f>
        <v/>
      </c>
      <c r="CY72" s="8" t="str">
        <f>IF(OR($A72="",$C72="",$D72="",$C72&gt;CY$6,$D72&lt;CY$9),"",IF($J72="里程碑","◆",""))</f>
        <v/>
      </c>
      <c r="CZ72" s="8" t="str">
        <f>IF(OR($A72="",$C72="",$D72="",$C72&gt;CZ$6,$D72&lt;CZ$9),"",IF($J72="里程碑","◆",""))</f>
        <v/>
      </c>
      <c r="DA72" s="8" t="str">
        <f>IF(OR($A72="",$C72="",$D72="",$C72&gt;DA$6,$D72&lt;DA$9),"",IF($J72="里程碑","◆",""))</f>
        <v/>
      </c>
      <c r="DB72" s="8" t="str">
        <f>IF(OR($A72="",$C72="",$D72="",$C72&gt;DB$6,$D72&lt;DB$9),"",IF($J72="里程碑","◆",""))</f>
        <v/>
      </c>
      <c r="DC72" s="1" t="str">
        <f>IF(ROW()-9&gt;$DH$3,"",MATCH(ROW()-9,排期计算!$U$10:$U$109,0))</f>
        <v/>
      </c>
      <c r="DD72" s="1" t="str">
        <f>IF($DC72="","",INDEX(排期计算!$L$10:$L$109,$DC72))</f>
        <v/>
      </c>
      <c r="DE72" s="1"/>
      <c r="DF72" s="1"/>
      <c r="DG72" s="1"/>
      <c r="DH72" s="1"/>
      <c r="DI72" s="1"/>
      <c r="DJ72" s="1"/>
      <c r="DK72" s="1"/>
    </row>
    <row r="73" spans="1:115" ht="24.95" customHeight="1">
      <c r="A73" s="9" t="str">
        <f>IF($DC73="","",IF(AND(INDEX(排期计算!$A$10:$A$109,$DC73)="",NOT(ISNUMBER(INDEX(排期计算!$A$10:$A$109,$DC73)))),"",INDEX(排期计算!$A$10:$A$109,$DC73)))</f>
        <v/>
      </c>
      <c r="B73" s="1" t="str">
        <f>IF($DC73="","",REPT("　",$DD73-1)&amp;INDEX(排期计算!$B$10:$B$109,$DC73))</f>
        <v/>
      </c>
      <c r="C73" s="3" t="str">
        <f>IF($DC73="","",IF(AND(INDEX(排期计算!$M$10:$M$109,$DC73)="",NOT(ISNUMBER(INDEX(排期计算!$M$10:$M$109,$DC73)))),"",INDEX(排期计算!$M$10:$M$109,$DC73)))</f>
        <v/>
      </c>
      <c r="D73" s="3" t="str">
        <f>IF($DC73="","",IF(AND(INDEX(排期计算!$N$10:$N$109,$DC73)="",NOT(ISNUMBER(INDEX(排期计算!$N$10:$N$109,$DC73)))),"",INDEX(排期计算!$N$10:$N$109,$DC73)))</f>
        <v/>
      </c>
      <c r="E73" s="1" t="str">
        <f>IF(OR($C73="",$D73=""),"",IF($J73="里程碑",0,NETWORKDAYS($C73,$D73)))</f>
        <v/>
      </c>
      <c r="F73" s="7" t="str">
        <f>IF($DC73="","",IF(AND(INDEX(排期计算!$O$10:$O$109,$DC73)="",NOT(ISNUMBER(INDEX(排期计算!$O$10:$O$109,$DC73)))),"",INDEX(排期计算!$O$10:$O$109,$DC73)))</f>
        <v/>
      </c>
      <c r="G73" s="8" t="str">
        <f>IF($A73="","",IF(OR($C73="",$D73=""),"未排期",IF($F73&gt;=1,"已完成",IF($D73&lt;$B$4,"逾期",IF($C73&gt;$B$4,"未开始","进行中")))))</f>
        <v/>
      </c>
      <c r="H73" s="1" t="str">
        <f>IF($DC73="","",IF(AND(INDEX(排期计算!$C$10:$C$109,$DC73)="",NOT(ISNUMBER(INDEX(排期计算!$C$10:$C$109,$DC73)))),"",INDEX(排期计算!$C$10:$C$109,$DC73)))</f>
        <v/>
      </c>
      <c r="I73" s="1" t="str">
        <f>IF($DC73="","",IF(AND(INDEX(排期计算!$H$10:$H$109,$DC73)="",NOT(ISNUMBER(INDEX(排期计算!$H$10:$H$109,$DC73)))),"",INDEX(排期计算!$H$10:$H$109,$DC73)))</f>
        <v/>
      </c>
      <c r="J73" s="1" t="str">
        <f>IF($DC73="","",IF(AND(INDEX(排期计算!$K$10:$K$109,$DC73)="",NOT(ISNUMBER(INDEX(排期计算!$K$10:$K$109,$DC73)))),"",INDEX(排期计算!$K$10:$K$109,$DC73)))</f>
        <v/>
      </c>
      <c r="K73" s="8" t="str">
        <f>IF(OR($A73="",$C73="",$D73="",$C73&gt;K$6,$D73&lt;K$9),"",IF($J73="里程碑","◆",""))</f>
        <v/>
      </c>
      <c r="L73" s="8" t="str">
        <f>IF(OR($A73="",$C73="",$D73="",$C73&gt;L$6,$D73&lt;L$9),"",IF($J73="里程碑","◆",""))</f>
        <v/>
      </c>
      <c r="M73" s="8" t="str">
        <f>IF(OR($A73="",$C73="",$D73="",$C73&gt;M$6,$D73&lt;M$9),"",IF($J73="里程碑","◆",""))</f>
        <v/>
      </c>
      <c r="N73" s="8" t="str">
        <f>IF(OR($A73="",$C73="",$D73="",$C73&gt;N$6,$D73&lt;N$9),"",IF($J73="里程碑","◆",""))</f>
        <v/>
      </c>
      <c r="O73" s="8" t="str">
        <f>IF(OR($A73="",$C73="",$D73="",$C73&gt;O$6,$D73&lt;O$9),"",IF($J73="里程碑","◆",""))</f>
        <v/>
      </c>
      <c r="P73" s="8" t="str">
        <f>IF(OR($A73="",$C73="",$D73="",$C73&gt;P$6,$D73&lt;P$9),"",IF($J73="里程碑","◆",""))</f>
        <v/>
      </c>
      <c r="Q73" s="8" t="str">
        <f>IF(OR($A73="",$C73="",$D73="",$C73&gt;Q$6,$D73&lt;Q$9),"",IF($J73="里程碑","◆",""))</f>
        <v/>
      </c>
      <c r="R73" s="8" t="str">
        <f>IF(OR($A73="",$C73="",$D73="",$C73&gt;R$6,$D73&lt;R$9),"",IF($J73="里程碑","◆",""))</f>
        <v/>
      </c>
      <c r="S73" s="8" t="str">
        <f>IF(OR($A73="",$C73="",$D73="",$C73&gt;S$6,$D73&lt;S$9),"",IF($J73="里程碑","◆",""))</f>
        <v/>
      </c>
      <c r="T73" s="8" t="str">
        <f>IF(OR($A73="",$C73="",$D73="",$C73&gt;T$6,$D73&lt;T$9),"",IF($J73="里程碑","◆",""))</f>
        <v/>
      </c>
      <c r="U73" s="8" t="str">
        <f>IF(OR($A73="",$C73="",$D73="",$C73&gt;U$6,$D73&lt;U$9),"",IF($J73="里程碑","◆",""))</f>
        <v/>
      </c>
      <c r="V73" s="8" t="str">
        <f>IF(OR($A73="",$C73="",$D73="",$C73&gt;V$6,$D73&lt;V$9),"",IF($J73="里程碑","◆",""))</f>
        <v/>
      </c>
      <c r="W73" s="8" t="str">
        <f>IF(OR($A73="",$C73="",$D73="",$C73&gt;W$6,$D73&lt;W$9),"",IF($J73="里程碑","◆",""))</f>
        <v/>
      </c>
      <c r="X73" s="8" t="str">
        <f>IF(OR($A73="",$C73="",$D73="",$C73&gt;X$6,$D73&lt;X$9),"",IF($J73="里程碑","◆",""))</f>
        <v/>
      </c>
      <c r="Y73" s="8" t="str">
        <f>IF(OR($A73="",$C73="",$D73="",$C73&gt;Y$6,$D73&lt;Y$9),"",IF($J73="里程碑","◆",""))</f>
        <v/>
      </c>
      <c r="Z73" s="8" t="str">
        <f>IF(OR($A73="",$C73="",$D73="",$C73&gt;Z$6,$D73&lt;Z$9),"",IF($J73="里程碑","◆",""))</f>
        <v/>
      </c>
      <c r="AA73" s="8" t="str">
        <f>IF(OR($A73="",$C73="",$D73="",$C73&gt;AA$6,$D73&lt;AA$9),"",IF($J73="里程碑","◆",""))</f>
        <v/>
      </c>
      <c r="AB73" s="8" t="str">
        <f>IF(OR($A73="",$C73="",$D73="",$C73&gt;AB$6,$D73&lt;AB$9),"",IF($J73="里程碑","◆",""))</f>
        <v/>
      </c>
      <c r="AC73" s="8" t="str">
        <f>IF(OR($A73="",$C73="",$D73="",$C73&gt;AC$6,$D73&lt;AC$9),"",IF($J73="里程碑","◆",""))</f>
        <v/>
      </c>
      <c r="AD73" s="8" t="str">
        <f>IF(OR($A73="",$C73="",$D73="",$C73&gt;AD$6,$D73&lt;AD$9),"",IF($J73="里程碑","◆",""))</f>
        <v/>
      </c>
      <c r="AE73" s="8" t="str">
        <f>IF(OR($A73="",$C73="",$D73="",$C73&gt;AE$6,$D73&lt;AE$9),"",IF($J73="里程碑","◆",""))</f>
        <v/>
      </c>
      <c r="AF73" s="8" t="str">
        <f>IF(OR($A73="",$C73="",$D73="",$C73&gt;AF$6,$D73&lt;AF$9),"",IF($J73="里程碑","◆",""))</f>
        <v/>
      </c>
      <c r="AG73" s="8" t="str">
        <f>IF(OR($A73="",$C73="",$D73="",$C73&gt;AG$6,$D73&lt;AG$9),"",IF($J73="里程碑","◆",""))</f>
        <v/>
      </c>
      <c r="AH73" s="8" t="str">
        <f>IF(OR($A73="",$C73="",$D73="",$C73&gt;AH$6,$D73&lt;AH$9),"",IF($J73="里程碑","◆",""))</f>
        <v/>
      </c>
      <c r="AI73" s="8" t="str">
        <f>IF(OR($A73="",$C73="",$D73="",$C73&gt;AI$6,$D73&lt;AI$9),"",IF($J73="里程碑","◆",""))</f>
        <v/>
      </c>
      <c r="AJ73" s="8" t="str">
        <f>IF(OR($A73="",$C73="",$D73="",$C73&gt;AJ$6,$D73&lt;AJ$9),"",IF($J73="里程碑","◆",""))</f>
        <v/>
      </c>
      <c r="AK73" s="8" t="str">
        <f>IF(OR($A73="",$C73="",$D73="",$C73&gt;AK$6,$D73&lt;AK$9),"",IF($J73="里程碑","◆",""))</f>
        <v/>
      </c>
      <c r="AL73" s="8" t="str">
        <f>IF(OR($A73="",$C73="",$D73="",$C73&gt;AL$6,$D73&lt;AL$9),"",IF($J73="里程碑","◆",""))</f>
        <v/>
      </c>
      <c r="AM73" s="8" t="str">
        <f>IF(OR($A73="",$C73="",$D73="",$C73&gt;AM$6,$D73&lt;AM$9),"",IF($J73="里程碑","◆",""))</f>
        <v/>
      </c>
      <c r="AN73" s="8" t="str">
        <f>IF(OR($A73="",$C73="",$D73="",$C73&gt;AN$6,$D73&lt;AN$9),"",IF($J73="里程碑","◆",""))</f>
        <v/>
      </c>
      <c r="AO73" s="8" t="str">
        <f>IF(OR($A73="",$C73="",$D73="",$C73&gt;AO$6,$D73&lt;AO$9),"",IF($J73="里程碑","◆",""))</f>
        <v/>
      </c>
      <c r="AP73" s="8" t="str">
        <f>IF(OR($A73="",$C73="",$D73="",$C73&gt;AP$6,$D73&lt;AP$9),"",IF($J73="里程碑","◆",""))</f>
        <v/>
      </c>
      <c r="AQ73" s="8" t="str">
        <f>IF(OR($A73="",$C73="",$D73="",$C73&gt;AQ$6,$D73&lt;AQ$9),"",IF($J73="里程碑","◆",""))</f>
        <v/>
      </c>
      <c r="AR73" s="8" t="str">
        <f>IF(OR($A73="",$C73="",$D73="",$C73&gt;AR$6,$D73&lt;AR$9),"",IF($J73="里程碑","◆",""))</f>
        <v/>
      </c>
      <c r="AS73" s="8" t="str">
        <f>IF(OR($A73="",$C73="",$D73="",$C73&gt;AS$6,$D73&lt;AS$9),"",IF($J73="里程碑","◆",""))</f>
        <v/>
      </c>
      <c r="AT73" s="8" t="str">
        <f>IF(OR($A73="",$C73="",$D73="",$C73&gt;AT$6,$D73&lt;AT$9),"",IF($J73="里程碑","◆",""))</f>
        <v/>
      </c>
      <c r="AU73" s="8" t="str">
        <f>IF(OR($A73="",$C73="",$D73="",$C73&gt;AU$6,$D73&lt;AU$9),"",IF($J73="里程碑","◆",""))</f>
        <v/>
      </c>
      <c r="AV73" s="8" t="str">
        <f>IF(OR($A73="",$C73="",$D73="",$C73&gt;AV$6,$D73&lt;AV$9),"",IF($J73="里程碑","◆",""))</f>
        <v/>
      </c>
      <c r="AW73" s="8" t="str">
        <f>IF(OR($A73="",$C73="",$D73="",$C73&gt;AW$6,$D73&lt;AW$9),"",IF($J73="里程碑","◆",""))</f>
        <v/>
      </c>
      <c r="AX73" s="8" t="str">
        <f>IF(OR($A73="",$C73="",$D73="",$C73&gt;AX$6,$D73&lt;AX$9),"",IF($J73="里程碑","◆",""))</f>
        <v/>
      </c>
      <c r="AY73" s="8" t="str">
        <f>IF(OR($A73="",$C73="",$D73="",$C73&gt;AY$6,$D73&lt;AY$9),"",IF($J73="里程碑","◆",""))</f>
        <v/>
      </c>
      <c r="AZ73" s="8" t="str">
        <f>IF(OR($A73="",$C73="",$D73="",$C73&gt;AZ$6,$D73&lt;AZ$9),"",IF($J73="里程碑","◆",""))</f>
        <v/>
      </c>
      <c r="BA73" s="8" t="str">
        <f>IF(OR($A73="",$C73="",$D73="",$C73&gt;BA$6,$D73&lt;BA$9),"",IF($J73="里程碑","◆",""))</f>
        <v/>
      </c>
      <c r="BB73" s="8" t="str">
        <f>IF(OR($A73="",$C73="",$D73="",$C73&gt;BB$6,$D73&lt;BB$9),"",IF($J73="里程碑","◆",""))</f>
        <v/>
      </c>
      <c r="BC73" s="8" t="str">
        <f>IF(OR($A73="",$C73="",$D73="",$C73&gt;BC$6,$D73&lt;BC$9),"",IF($J73="里程碑","◆",""))</f>
        <v/>
      </c>
      <c r="BD73" s="8" t="str">
        <f>IF(OR($A73="",$C73="",$D73="",$C73&gt;BD$6,$D73&lt;BD$9),"",IF($J73="里程碑","◆",""))</f>
        <v/>
      </c>
      <c r="BE73" s="8" t="str">
        <f>IF(OR($A73="",$C73="",$D73="",$C73&gt;BE$6,$D73&lt;BE$9),"",IF($J73="里程碑","◆",""))</f>
        <v/>
      </c>
      <c r="BF73" s="8" t="str">
        <f>IF(OR($A73="",$C73="",$D73="",$C73&gt;BF$6,$D73&lt;BF$9),"",IF($J73="里程碑","◆",""))</f>
        <v/>
      </c>
      <c r="BG73" s="8" t="str">
        <f>IF(OR($A73="",$C73="",$D73="",$C73&gt;BG$6,$D73&lt;BG$9),"",IF($J73="里程碑","◆",""))</f>
        <v/>
      </c>
      <c r="BH73" s="8" t="str">
        <f>IF(OR($A73="",$C73="",$D73="",$C73&gt;BH$6,$D73&lt;BH$9),"",IF($J73="里程碑","◆",""))</f>
        <v/>
      </c>
      <c r="BI73" s="8" t="str">
        <f>IF(OR($A73="",$C73="",$D73="",$C73&gt;BI$6,$D73&lt;BI$9),"",IF($J73="里程碑","◆",""))</f>
        <v/>
      </c>
      <c r="BJ73" s="8" t="str">
        <f>IF(OR($A73="",$C73="",$D73="",$C73&gt;BJ$6,$D73&lt;BJ$9),"",IF($J73="里程碑","◆",""))</f>
        <v/>
      </c>
      <c r="BK73" s="8" t="str">
        <f>IF(OR($A73="",$C73="",$D73="",$C73&gt;BK$6,$D73&lt;BK$9),"",IF($J73="里程碑","◆",""))</f>
        <v/>
      </c>
      <c r="BL73" s="8" t="str">
        <f>IF(OR($A73="",$C73="",$D73="",$C73&gt;BL$6,$D73&lt;BL$9),"",IF($J73="里程碑","◆",""))</f>
        <v/>
      </c>
      <c r="BM73" s="8" t="str">
        <f>IF(OR($A73="",$C73="",$D73="",$C73&gt;BM$6,$D73&lt;BM$9),"",IF($J73="里程碑","◆",""))</f>
        <v/>
      </c>
      <c r="BN73" s="8" t="str">
        <f>IF(OR($A73="",$C73="",$D73="",$C73&gt;BN$6,$D73&lt;BN$9),"",IF($J73="里程碑","◆",""))</f>
        <v/>
      </c>
      <c r="BO73" s="8" t="str">
        <f>IF(OR($A73="",$C73="",$D73="",$C73&gt;BO$6,$D73&lt;BO$9),"",IF($J73="里程碑","◆",""))</f>
        <v/>
      </c>
      <c r="BP73" s="8" t="str">
        <f>IF(OR($A73="",$C73="",$D73="",$C73&gt;BP$6,$D73&lt;BP$9),"",IF($J73="里程碑","◆",""))</f>
        <v/>
      </c>
      <c r="BQ73" s="8" t="str">
        <f>IF(OR($A73="",$C73="",$D73="",$C73&gt;BQ$6,$D73&lt;BQ$9),"",IF($J73="里程碑","◆",""))</f>
        <v/>
      </c>
      <c r="BR73" s="8" t="str">
        <f>IF(OR($A73="",$C73="",$D73="",$C73&gt;BR$6,$D73&lt;BR$9),"",IF($J73="里程碑","◆",""))</f>
        <v/>
      </c>
      <c r="BS73" s="8" t="str">
        <f>IF(OR($A73="",$C73="",$D73="",$C73&gt;BS$6,$D73&lt;BS$9),"",IF($J73="里程碑","◆",""))</f>
        <v/>
      </c>
      <c r="BT73" s="8" t="str">
        <f>IF(OR($A73="",$C73="",$D73="",$C73&gt;BT$6,$D73&lt;BT$9),"",IF($J73="里程碑","◆",""))</f>
        <v/>
      </c>
      <c r="BU73" s="8" t="str">
        <f>IF(OR($A73="",$C73="",$D73="",$C73&gt;BU$6,$D73&lt;BU$9),"",IF($J73="里程碑","◆",""))</f>
        <v/>
      </c>
      <c r="BV73" s="8" t="str">
        <f>IF(OR($A73="",$C73="",$D73="",$C73&gt;BV$6,$D73&lt;BV$9),"",IF($J73="里程碑","◆",""))</f>
        <v/>
      </c>
      <c r="BW73" s="8" t="str">
        <f>IF(OR($A73="",$C73="",$D73="",$C73&gt;BW$6,$D73&lt;BW$9),"",IF($J73="里程碑","◆",""))</f>
        <v/>
      </c>
      <c r="BX73" s="8" t="str">
        <f>IF(OR($A73="",$C73="",$D73="",$C73&gt;BX$6,$D73&lt;BX$9),"",IF($J73="里程碑","◆",""))</f>
        <v/>
      </c>
      <c r="BY73" s="8" t="str">
        <f>IF(OR($A73="",$C73="",$D73="",$C73&gt;BY$6,$D73&lt;BY$9),"",IF($J73="里程碑","◆",""))</f>
        <v/>
      </c>
      <c r="BZ73" s="8" t="str">
        <f>IF(OR($A73="",$C73="",$D73="",$C73&gt;BZ$6,$D73&lt;BZ$9),"",IF($J73="里程碑","◆",""))</f>
        <v/>
      </c>
      <c r="CA73" s="8" t="str">
        <f>IF(OR($A73="",$C73="",$D73="",$C73&gt;CA$6,$D73&lt;CA$9),"",IF($J73="里程碑","◆",""))</f>
        <v/>
      </c>
      <c r="CB73" s="8" t="str">
        <f>IF(OR($A73="",$C73="",$D73="",$C73&gt;CB$6,$D73&lt;CB$9),"",IF($J73="里程碑","◆",""))</f>
        <v/>
      </c>
      <c r="CC73" s="8" t="str">
        <f>IF(OR($A73="",$C73="",$D73="",$C73&gt;CC$6,$D73&lt;CC$9),"",IF($J73="里程碑","◆",""))</f>
        <v/>
      </c>
      <c r="CD73" s="8" t="str">
        <f>IF(OR($A73="",$C73="",$D73="",$C73&gt;CD$6,$D73&lt;CD$9),"",IF($J73="里程碑","◆",""))</f>
        <v/>
      </c>
      <c r="CE73" s="8" t="str">
        <f>IF(OR($A73="",$C73="",$D73="",$C73&gt;CE$6,$D73&lt;CE$9),"",IF($J73="里程碑","◆",""))</f>
        <v/>
      </c>
      <c r="CF73" s="8" t="str">
        <f>IF(OR($A73="",$C73="",$D73="",$C73&gt;CF$6,$D73&lt;CF$9),"",IF($J73="里程碑","◆",""))</f>
        <v/>
      </c>
      <c r="CG73" s="8" t="str">
        <f>IF(OR($A73="",$C73="",$D73="",$C73&gt;CG$6,$D73&lt;CG$9),"",IF($J73="里程碑","◆",""))</f>
        <v/>
      </c>
      <c r="CH73" s="8" t="str">
        <f>IF(OR($A73="",$C73="",$D73="",$C73&gt;CH$6,$D73&lt;CH$9),"",IF($J73="里程碑","◆",""))</f>
        <v/>
      </c>
      <c r="CI73" s="8" t="str">
        <f>IF(OR($A73="",$C73="",$D73="",$C73&gt;CI$6,$D73&lt;CI$9),"",IF($J73="里程碑","◆",""))</f>
        <v/>
      </c>
      <c r="CJ73" s="8" t="str">
        <f>IF(OR($A73="",$C73="",$D73="",$C73&gt;CJ$6,$D73&lt;CJ$9),"",IF($J73="里程碑","◆",""))</f>
        <v/>
      </c>
      <c r="CK73" s="8" t="str">
        <f>IF(OR($A73="",$C73="",$D73="",$C73&gt;CK$6,$D73&lt;CK$9),"",IF($J73="里程碑","◆",""))</f>
        <v/>
      </c>
      <c r="CL73" s="8" t="str">
        <f>IF(OR($A73="",$C73="",$D73="",$C73&gt;CL$6,$D73&lt;CL$9),"",IF($J73="里程碑","◆",""))</f>
        <v/>
      </c>
      <c r="CM73" s="8" t="str">
        <f>IF(OR($A73="",$C73="",$D73="",$C73&gt;CM$6,$D73&lt;CM$9),"",IF($J73="里程碑","◆",""))</f>
        <v/>
      </c>
      <c r="CN73" s="8" t="str">
        <f>IF(OR($A73="",$C73="",$D73="",$C73&gt;CN$6,$D73&lt;CN$9),"",IF($J73="里程碑","◆",""))</f>
        <v/>
      </c>
      <c r="CO73" s="8" t="str">
        <f>IF(OR($A73="",$C73="",$D73="",$C73&gt;CO$6,$D73&lt;CO$9),"",IF($J73="里程碑","◆",""))</f>
        <v/>
      </c>
      <c r="CP73" s="8" t="str">
        <f>IF(OR($A73="",$C73="",$D73="",$C73&gt;CP$6,$D73&lt;CP$9),"",IF($J73="里程碑","◆",""))</f>
        <v/>
      </c>
      <c r="CQ73" s="8" t="str">
        <f>IF(OR($A73="",$C73="",$D73="",$C73&gt;CQ$6,$D73&lt;CQ$9),"",IF($J73="里程碑","◆",""))</f>
        <v/>
      </c>
      <c r="CR73" s="8" t="str">
        <f>IF(OR($A73="",$C73="",$D73="",$C73&gt;CR$6,$D73&lt;CR$9),"",IF($J73="里程碑","◆",""))</f>
        <v/>
      </c>
      <c r="CS73" s="8" t="str">
        <f>IF(OR($A73="",$C73="",$D73="",$C73&gt;CS$6,$D73&lt;CS$9),"",IF($J73="里程碑","◆",""))</f>
        <v/>
      </c>
      <c r="CT73" s="8" t="str">
        <f>IF(OR($A73="",$C73="",$D73="",$C73&gt;CT$6,$D73&lt;CT$9),"",IF($J73="里程碑","◆",""))</f>
        <v/>
      </c>
      <c r="CU73" s="8" t="str">
        <f>IF(OR($A73="",$C73="",$D73="",$C73&gt;CU$6,$D73&lt;CU$9),"",IF($J73="里程碑","◆",""))</f>
        <v/>
      </c>
      <c r="CV73" s="8" t="str">
        <f>IF(OR($A73="",$C73="",$D73="",$C73&gt;CV$6,$D73&lt;CV$9),"",IF($J73="里程碑","◆",""))</f>
        <v/>
      </c>
      <c r="CW73" s="8" t="str">
        <f>IF(OR($A73="",$C73="",$D73="",$C73&gt;CW$6,$D73&lt;CW$9),"",IF($J73="里程碑","◆",""))</f>
        <v/>
      </c>
      <c r="CX73" s="8" t="str">
        <f>IF(OR($A73="",$C73="",$D73="",$C73&gt;CX$6,$D73&lt;CX$9),"",IF($J73="里程碑","◆",""))</f>
        <v/>
      </c>
      <c r="CY73" s="8" t="str">
        <f>IF(OR($A73="",$C73="",$D73="",$C73&gt;CY$6,$D73&lt;CY$9),"",IF($J73="里程碑","◆",""))</f>
        <v/>
      </c>
      <c r="CZ73" s="8" t="str">
        <f>IF(OR($A73="",$C73="",$D73="",$C73&gt;CZ$6,$D73&lt;CZ$9),"",IF($J73="里程碑","◆",""))</f>
        <v/>
      </c>
      <c r="DA73" s="8" t="str">
        <f>IF(OR($A73="",$C73="",$D73="",$C73&gt;DA$6,$D73&lt;DA$9),"",IF($J73="里程碑","◆",""))</f>
        <v/>
      </c>
      <c r="DB73" s="8" t="str">
        <f>IF(OR($A73="",$C73="",$D73="",$C73&gt;DB$6,$D73&lt;DB$9),"",IF($J73="里程碑","◆",""))</f>
        <v/>
      </c>
      <c r="DC73" s="1" t="str">
        <f>IF(ROW()-9&gt;$DH$3,"",MATCH(ROW()-9,排期计算!$U$10:$U$109,0))</f>
        <v/>
      </c>
      <c r="DD73" s="1" t="str">
        <f>IF($DC73="","",INDEX(排期计算!$L$10:$L$109,$DC73))</f>
        <v/>
      </c>
      <c r="DE73" s="1"/>
      <c r="DF73" s="1"/>
      <c r="DG73" s="1"/>
      <c r="DH73" s="1"/>
      <c r="DI73" s="1"/>
      <c r="DJ73" s="1"/>
      <c r="DK73" s="1"/>
    </row>
    <row r="74" spans="1:115" ht="24.95" customHeight="1">
      <c r="A74" s="9" t="str">
        <f>IF($DC74="","",IF(AND(INDEX(排期计算!$A$10:$A$109,$DC74)="",NOT(ISNUMBER(INDEX(排期计算!$A$10:$A$109,$DC74)))),"",INDEX(排期计算!$A$10:$A$109,$DC74)))</f>
        <v/>
      </c>
      <c r="B74" s="1" t="str">
        <f>IF($DC74="","",REPT("　",$DD74-1)&amp;INDEX(排期计算!$B$10:$B$109,$DC74))</f>
        <v/>
      </c>
      <c r="C74" s="3" t="str">
        <f>IF($DC74="","",IF(AND(INDEX(排期计算!$M$10:$M$109,$DC74)="",NOT(ISNUMBER(INDEX(排期计算!$M$10:$M$109,$DC74)))),"",INDEX(排期计算!$M$10:$M$109,$DC74)))</f>
        <v/>
      </c>
      <c r="D74" s="3" t="str">
        <f>IF($DC74="","",IF(AND(INDEX(排期计算!$N$10:$N$109,$DC74)="",NOT(ISNUMBER(INDEX(排期计算!$N$10:$N$109,$DC74)))),"",INDEX(排期计算!$N$10:$N$109,$DC74)))</f>
        <v/>
      </c>
      <c r="E74" s="1" t="str">
        <f>IF(OR($C74="",$D74=""),"",IF($J74="里程碑",0,NETWORKDAYS($C74,$D74)))</f>
        <v/>
      </c>
      <c r="F74" s="7" t="str">
        <f>IF($DC74="","",IF(AND(INDEX(排期计算!$O$10:$O$109,$DC74)="",NOT(ISNUMBER(INDEX(排期计算!$O$10:$O$109,$DC74)))),"",INDEX(排期计算!$O$10:$O$109,$DC74)))</f>
        <v/>
      </c>
      <c r="G74" s="8" t="str">
        <f>IF($A74="","",IF(OR($C74="",$D74=""),"未排期",IF($F74&gt;=1,"已完成",IF($D74&lt;$B$4,"逾期",IF($C74&gt;$B$4,"未开始","进行中")))))</f>
        <v/>
      </c>
      <c r="H74" s="1" t="str">
        <f>IF($DC74="","",IF(AND(INDEX(排期计算!$C$10:$C$109,$DC74)="",NOT(ISNUMBER(INDEX(排期计算!$C$10:$C$109,$DC74)))),"",INDEX(排期计算!$C$10:$C$109,$DC74)))</f>
        <v/>
      </c>
      <c r="I74" s="1" t="str">
        <f>IF($DC74="","",IF(AND(INDEX(排期计算!$H$10:$H$109,$DC74)="",NOT(ISNUMBER(INDEX(排期计算!$H$10:$H$109,$DC74)))),"",INDEX(排期计算!$H$10:$H$109,$DC74)))</f>
        <v/>
      </c>
      <c r="J74" s="1" t="str">
        <f>IF($DC74="","",IF(AND(INDEX(排期计算!$K$10:$K$109,$DC74)="",NOT(ISNUMBER(INDEX(排期计算!$K$10:$K$109,$DC74)))),"",INDEX(排期计算!$K$10:$K$109,$DC74)))</f>
        <v/>
      </c>
      <c r="K74" s="8" t="str">
        <f>IF(OR($A74="",$C74="",$D74="",$C74&gt;K$6,$D74&lt;K$9),"",IF($J74="里程碑","◆",""))</f>
        <v/>
      </c>
      <c r="L74" s="8" t="str">
        <f>IF(OR($A74="",$C74="",$D74="",$C74&gt;L$6,$D74&lt;L$9),"",IF($J74="里程碑","◆",""))</f>
        <v/>
      </c>
      <c r="M74" s="8" t="str">
        <f>IF(OR($A74="",$C74="",$D74="",$C74&gt;M$6,$D74&lt;M$9),"",IF($J74="里程碑","◆",""))</f>
        <v/>
      </c>
      <c r="N74" s="8" t="str">
        <f>IF(OR($A74="",$C74="",$D74="",$C74&gt;N$6,$D74&lt;N$9),"",IF($J74="里程碑","◆",""))</f>
        <v/>
      </c>
      <c r="O74" s="8" t="str">
        <f>IF(OR($A74="",$C74="",$D74="",$C74&gt;O$6,$D74&lt;O$9),"",IF($J74="里程碑","◆",""))</f>
        <v/>
      </c>
      <c r="P74" s="8" t="str">
        <f>IF(OR($A74="",$C74="",$D74="",$C74&gt;P$6,$D74&lt;P$9),"",IF($J74="里程碑","◆",""))</f>
        <v/>
      </c>
      <c r="Q74" s="8" t="str">
        <f>IF(OR($A74="",$C74="",$D74="",$C74&gt;Q$6,$D74&lt;Q$9),"",IF($J74="里程碑","◆",""))</f>
        <v/>
      </c>
      <c r="R74" s="8" t="str">
        <f>IF(OR($A74="",$C74="",$D74="",$C74&gt;R$6,$D74&lt;R$9),"",IF($J74="里程碑","◆",""))</f>
        <v/>
      </c>
      <c r="S74" s="8" t="str">
        <f>IF(OR($A74="",$C74="",$D74="",$C74&gt;S$6,$D74&lt;S$9),"",IF($J74="里程碑","◆",""))</f>
        <v/>
      </c>
      <c r="T74" s="8" t="str">
        <f>IF(OR($A74="",$C74="",$D74="",$C74&gt;T$6,$D74&lt;T$9),"",IF($J74="里程碑","◆",""))</f>
        <v/>
      </c>
      <c r="U74" s="8" t="str">
        <f>IF(OR($A74="",$C74="",$D74="",$C74&gt;U$6,$D74&lt;U$9),"",IF($J74="里程碑","◆",""))</f>
        <v/>
      </c>
      <c r="V74" s="8" t="str">
        <f>IF(OR($A74="",$C74="",$D74="",$C74&gt;V$6,$D74&lt;V$9),"",IF($J74="里程碑","◆",""))</f>
        <v/>
      </c>
      <c r="W74" s="8" t="str">
        <f>IF(OR($A74="",$C74="",$D74="",$C74&gt;W$6,$D74&lt;W$9),"",IF($J74="里程碑","◆",""))</f>
        <v/>
      </c>
      <c r="X74" s="8" t="str">
        <f>IF(OR($A74="",$C74="",$D74="",$C74&gt;X$6,$D74&lt;X$9),"",IF($J74="里程碑","◆",""))</f>
        <v/>
      </c>
      <c r="Y74" s="8" t="str">
        <f>IF(OR($A74="",$C74="",$D74="",$C74&gt;Y$6,$D74&lt;Y$9),"",IF($J74="里程碑","◆",""))</f>
        <v/>
      </c>
      <c r="Z74" s="8" t="str">
        <f>IF(OR($A74="",$C74="",$D74="",$C74&gt;Z$6,$D74&lt;Z$9),"",IF($J74="里程碑","◆",""))</f>
        <v/>
      </c>
      <c r="AA74" s="8" t="str">
        <f>IF(OR($A74="",$C74="",$D74="",$C74&gt;AA$6,$D74&lt;AA$9),"",IF($J74="里程碑","◆",""))</f>
        <v/>
      </c>
      <c r="AB74" s="8" t="str">
        <f>IF(OR($A74="",$C74="",$D74="",$C74&gt;AB$6,$D74&lt;AB$9),"",IF($J74="里程碑","◆",""))</f>
        <v/>
      </c>
      <c r="AC74" s="8" t="str">
        <f>IF(OR($A74="",$C74="",$D74="",$C74&gt;AC$6,$D74&lt;AC$9),"",IF($J74="里程碑","◆",""))</f>
        <v/>
      </c>
      <c r="AD74" s="8" t="str">
        <f>IF(OR($A74="",$C74="",$D74="",$C74&gt;AD$6,$D74&lt;AD$9),"",IF($J74="里程碑","◆",""))</f>
        <v/>
      </c>
      <c r="AE74" s="8" t="str">
        <f>IF(OR($A74="",$C74="",$D74="",$C74&gt;AE$6,$D74&lt;AE$9),"",IF($J74="里程碑","◆",""))</f>
        <v/>
      </c>
      <c r="AF74" s="8" t="str">
        <f>IF(OR($A74="",$C74="",$D74="",$C74&gt;AF$6,$D74&lt;AF$9),"",IF($J74="里程碑","◆",""))</f>
        <v/>
      </c>
      <c r="AG74" s="8" t="str">
        <f>IF(OR($A74="",$C74="",$D74="",$C74&gt;AG$6,$D74&lt;AG$9),"",IF($J74="里程碑","◆",""))</f>
        <v/>
      </c>
      <c r="AH74" s="8" t="str">
        <f>IF(OR($A74="",$C74="",$D74="",$C74&gt;AH$6,$D74&lt;AH$9),"",IF($J74="里程碑","◆",""))</f>
        <v/>
      </c>
      <c r="AI74" s="8" t="str">
        <f>IF(OR($A74="",$C74="",$D74="",$C74&gt;AI$6,$D74&lt;AI$9),"",IF($J74="里程碑","◆",""))</f>
        <v/>
      </c>
      <c r="AJ74" s="8" t="str">
        <f>IF(OR($A74="",$C74="",$D74="",$C74&gt;AJ$6,$D74&lt;AJ$9),"",IF($J74="里程碑","◆",""))</f>
        <v/>
      </c>
      <c r="AK74" s="8" t="str">
        <f>IF(OR($A74="",$C74="",$D74="",$C74&gt;AK$6,$D74&lt;AK$9),"",IF($J74="里程碑","◆",""))</f>
        <v/>
      </c>
      <c r="AL74" s="8" t="str">
        <f>IF(OR($A74="",$C74="",$D74="",$C74&gt;AL$6,$D74&lt;AL$9),"",IF($J74="里程碑","◆",""))</f>
        <v/>
      </c>
      <c r="AM74" s="8" t="str">
        <f>IF(OR($A74="",$C74="",$D74="",$C74&gt;AM$6,$D74&lt;AM$9),"",IF($J74="里程碑","◆",""))</f>
        <v/>
      </c>
      <c r="AN74" s="8" t="str">
        <f>IF(OR($A74="",$C74="",$D74="",$C74&gt;AN$6,$D74&lt;AN$9),"",IF($J74="里程碑","◆",""))</f>
        <v/>
      </c>
      <c r="AO74" s="8" t="str">
        <f>IF(OR($A74="",$C74="",$D74="",$C74&gt;AO$6,$D74&lt;AO$9),"",IF($J74="里程碑","◆",""))</f>
        <v/>
      </c>
      <c r="AP74" s="8" t="str">
        <f>IF(OR($A74="",$C74="",$D74="",$C74&gt;AP$6,$D74&lt;AP$9),"",IF($J74="里程碑","◆",""))</f>
        <v/>
      </c>
      <c r="AQ74" s="8" t="str">
        <f>IF(OR($A74="",$C74="",$D74="",$C74&gt;AQ$6,$D74&lt;AQ$9),"",IF($J74="里程碑","◆",""))</f>
        <v/>
      </c>
      <c r="AR74" s="8" t="str">
        <f>IF(OR($A74="",$C74="",$D74="",$C74&gt;AR$6,$D74&lt;AR$9),"",IF($J74="里程碑","◆",""))</f>
        <v/>
      </c>
      <c r="AS74" s="8" t="str">
        <f>IF(OR($A74="",$C74="",$D74="",$C74&gt;AS$6,$D74&lt;AS$9),"",IF($J74="里程碑","◆",""))</f>
        <v/>
      </c>
      <c r="AT74" s="8" t="str">
        <f>IF(OR($A74="",$C74="",$D74="",$C74&gt;AT$6,$D74&lt;AT$9),"",IF($J74="里程碑","◆",""))</f>
        <v/>
      </c>
      <c r="AU74" s="8" t="str">
        <f>IF(OR($A74="",$C74="",$D74="",$C74&gt;AU$6,$D74&lt;AU$9),"",IF($J74="里程碑","◆",""))</f>
        <v/>
      </c>
      <c r="AV74" s="8" t="str">
        <f>IF(OR($A74="",$C74="",$D74="",$C74&gt;AV$6,$D74&lt;AV$9),"",IF($J74="里程碑","◆",""))</f>
        <v/>
      </c>
      <c r="AW74" s="8" t="str">
        <f>IF(OR($A74="",$C74="",$D74="",$C74&gt;AW$6,$D74&lt;AW$9),"",IF($J74="里程碑","◆",""))</f>
        <v/>
      </c>
      <c r="AX74" s="8" t="str">
        <f>IF(OR($A74="",$C74="",$D74="",$C74&gt;AX$6,$D74&lt;AX$9),"",IF($J74="里程碑","◆",""))</f>
        <v/>
      </c>
      <c r="AY74" s="8" t="str">
        <f>IF(OR($A74="",$C74="",$D74="",$C74&gt;AY$6,$D74&lt;AY$9),"",IF($J74="里程碑","◆",""))</f>
        <v/>
      </c>
      <c r="AZ74" s="8" t="str">
        <f>IF(OR($A74="",$C74="",$D74="",$C74&gt;AZ$6,$D74&lt;AZ$9),"",IF($J74="里程碑","◆",""))</f>
        <v/>
      </c>
      <c r="BA74" s="8" t="str">
        <f>IF(OR($A74="",$C74="",$D74="",$C74&gt;BA$6,$D74&lt;BA$9),"",IF($J74="里程碑","◆",""))</f>
        <v/>
      </c>
      <c r="BB74" s="8" t="str">
        <f>IF(OR($A74="",$C74="",$D74="",$C74&gt;BB$6,$D74&lt;BB$9),"",IF($J74="里程碑","◆",""))</f>
        <v/>
      </c>
      <c r="BC74" s="8" t="str">
        <f>IF(OR($A74="",$C74="",$D74="",$C74&gt;BC$6,$D74&lt;BC$9),"",IF($J74="里程碑","◆",""))</f>
        <v/>
      </c>
      <c r="BD74" s="8" t="str">
        <f>IF(OR($A74="",$C74="",$D74="",$C74&gt;BD$6,$D74&lt;BD$9),"",IF($J74="里程碑","◆",""))</f>
        <v/>
      </c>
      <c r="BE74" s="8" t="str">
        <f>IF(OR($A74="",$C74="",$D74="",$C74&gt;BE$6,$D74&lt;BE$9),"",IF($J74="里程碑","◆",""))</f>
        <v/>
      </c>
      <c r="BF74" s="8" t="str">
        <f>IF(OR($A74="",$C74="",$D74="",$C74&gt;BF$6,$D74&lt;BF$9),"",IF($J74="里程碑","◆",""))</f>
        <v/>
      </c>
      <c r="BG74" s="8" t="str">
        <f>IF(OR($A74="",$C74="",$D74="",$C74&gt;BG$6,$D74&lt;BG$9),"",IF($J74="里程碑","◆",""))</f>
        <v/>
      </c>
      <c r="BH74" s="8" t="str">
        <f>IF(OR($A74="",$C74="",$D74="",$C74&gt;BH$6,$D74&lt;BH$9),"",IF($J74="里程碑","◆",""))</f>
        <v/>
      </c>
      <c r="BI74" s="8" t="str">
        <f>IF(OR($A74="",$C74="",$D74="",$C74&gt;BI$6,$D74&lt;BI$9),"",IF($J74="里程碑","◆",""))</f>
        <v/>
      </c>
      <c r="BJ74" s="8" t="str">
        <f>IF(OR($A74="",$C74="",$D74="",$C74&gt;BJ$6,$D74&lt;BJ$9),"",IF($J74="里程碑","◆",""))</f>
        <v/>
      </c>
      <c r="BK74" s="8" t="str">
        <f>IF(OR($A74="",$C74="",$D74="",$C74&gt;BK$6,$D74&lt;BK$9),"",IF($J74="里程碑","◆",""))</f>
        <v/>
      </c>
      <c r="BL74" s="8" t="str">
        <f>IF(OR($A74="",$C74="",$D74="",$C74&gt;BL$6,$D74&lt;BL$9),"",IF($J74="里程碑","◆",""))</f>
        <v/>
      </c>
      <c r="BM74" s="8" t="str">
        <f>IF(OR($A74="",$C74="",$D74="",$C74&gt;BM$6,$D74&lt;BM$9),"",IF($J74="里程碑","◆",""))</f>
        <v/>
      </c>
      <c r="BN74" s="8" t="str">
        <f>IF(OR($A74="",$C74="",$D74="",$C74&gt;BN$6,$D74&lt;BN$9),"",IF($J74="里程碑","◆",""))</f>
        <v/>
      </c>
      <c r="BO74" s="8" t="str">
        <f>IF(OR($A74="",$C74="",$D74="",$C74&gt;BO$6,$D74&lt;BO$9),"",IF($J74="里程碑","◆",""))</f>
        <v/>
      </c>
      <c r="BP74" s="8" t="str">
        <f>IF(OR($A74="",$C74="",$D74="",$C74&gt;BP$6,$D74&lt;BP$9),"",IF($J74="里程碑","◆",""))</f>
        <v/>
      </c>
      <c r="BQ74" s="8" t="str">
        <f>IF(OR($A74="",$C74="",$D74="",$C74&gt;BQ$6,$D74&lt;BQ$9),"",IF($J74="里程碑","◆",""))</f>
        <v/>
      </c>
      <c r="BR74" s="8" t="str">
        <f>IF(OR($A74="",$C74="",$D74="",$C74&gt;BR$6,$D74&lt;BR$9),"",IF($J74="里程碑","◆",""))</f>
        <v/>
      </c>
      <c r="BS74" s="8" t="str">
        <f>IF(OR($A74="",$C74="",$D74="",$C74&gt;BS$6,$D74&lt;BS$9),"",IF($J74="里程碑","◆",""))</f>
        <v/>
      </c>
      <c r="BT74" s="8" t="str">
        <f>IF(OR($A74="",$C74="",$D74="",$C74&gt;BT$6,$D74&lt;BT$9),"",IF($J74="里程碑","◆",""))</f>
        <v/>
      </c>
      <c r="BU74" s="8" t="str">
        <f>IF(OR($A74="",$C74="",$D74="",$C74&gt;BU$6,$D74&lt;BU$9),"",IF($J74="里程碑","◆",""))</f>
        <v/>
      </c>
      <c r="BV74" s="8" t="str">
        <f>IF(OR($A74="",$C74="",$D74="",$C74&gt;BV$6,$D74&lt;BV$9),"",IF($J74="里程碑","◆",""))</f>
        <v/>
      </c>
      <c r="BW74" s="8" t="str">
        <f>IF(OR($A74="",$C74="",$D74="",$C74&gt;BW$6,$D74&lt;BW$9),"",IF($J74="里程碑","◆",""))</f>
        <v/>
      </c>
      <c r="BX74" s="8" t="str">
        <f>IF(OR($A74="",$C74="",$D74="",$C74&gt;BX$6,$D74&lt;BX$9),"",IF($J74="里程碑","◆",""))</f>
        <v/>
      </c>
      <c r="BY74" s="8" t="str">
        <f>IF(OR($A74="",$C74="",$D74="",$C74&gt;BY$6,$D74&lt;BY$9),"",IF($J74="里程碑","◆",""))</f>
        <v/>
      </c>
      <c r="BZ74" s="8" t="str">
        <f>IF(OR($A74="",$C74="",$D74="",$C74&gt;BZ$6,$D74&lt;BZ$9),"",IF($J74="里程碑","◆",""))</f>
        <v/>
      </c>
      <c r="CA74" s="8" t="str">
        <f>IF(OR($A74="",$C74="",$D74="",$C74&gt;CA$6,$D74&lt;CA$9),"",IF($J74="里程碑","◆",""))</f>
        <v/>
      </c>
      <c r="CB74" s="8" t="str">
        <f>IF(OR($A74="",$C74="",$D74="",$C74&gt;CB$6,$D74&lt;CB$9),"",IF($J74="里程碑","◆",""))</f>
        <v/>
      </c>
      <c r="CC74" s="8" t="str">
        <f>IF(OR($A74="",$C74="",$D74="",$C74&gt;CC$6,$D74&lt;CC$9),"",IF($J74="里程碑","◆",""))</f>
        <v/>
      </c>
      <c r="CD74" s="8" t="str">
        <f>IF(OR($A74="",$C74="",$D74="",$C74&gt;CD$6,$D74&lt;CD$9),"",IF($J74="里程碑","◆",""))</f>
        <v/>
      </c>
      <c r="CE74" s="8" t="str">
        <f>IF(OR($A74="",$C74="",$D74="",$C74&gt;CE$6,$D74&lt;CE$9),"",IF($J74="里程碑","◆",""))</f>
        <v/>
      </c>
      <c r="CF74" s="8" t="str">
        <f>IF(OR($A74="",$C74="",$D74="",$C74&gt;CF$6,$D74&lt;CF$9),"",IF($J74="里程碑","◆",""))</f>
        <v/>
      </c>
      <c r="CG74" s="8" t="str">
        <f>IF(OR($A74="",$C74="",$D74="",$C74&gt;CG$6,$D74&lt;CG$9),"",IF($J74="里程碑","◆",""))</f>
        <v/>
      </c>
      <c r="CH74" s="8" t="str">
        <f>IF(OR($A74="",$C74="",$D74="",$C74&gt;CH$6,$D74&lt;CH$9),"",IF($J74="里程碑","◆",""))</f>
        <v/>
      </c>
      <c r="CI74" s="8" t="str">
        <f>IF(OR($A74="",$C74="",$D74="",$C74&gt;CI$6,$D74&lt;CI$9),"",IF($J74="里程碑","◆",""))</f>
        <v/>
      </c>
      <c r="CJ74" s="8" t="str">
        <f>IF(OR($A74="",$C74="",$D74="",$C74&gt;CJ$6,$D74&lt;CJ$9),"",IF($J74="里程碑","◆",""))</f>
        <v/>
      </c>
      <c r="CK74" s="8" t="str">
        <f>IF(OR($A74="",$C74="",$D74="",$C74&gt;CK$6,$D74&lt;CK$9),"",IF($J74="里程碑","◆",""))</f>
        <v/>
      </c>
      <c r="CL74" s="8" t="str">
        <f>IF(OR($A74="",$C74="",$D74="",$C74&gt;CL$6,$D74&lt;CL$9),"",IF($J74="里程碑","◆",""))</f>
        <v/>
      </c>
      <c r="CM74" s="8" t="str">
        <f>IF(OR($A74="",$C74="",$D74="",$C74&gt;CM$6,$D74&lt;CM$9),"",IF($J74="里程碑","◆",""))</f>
        <v/>
      </c>
      <c r="CN74" s="8" t="str">
        <f>IF(OR($A74="",$C74="",$D74="",$C74&gt;CN$6,$D74&lt;CN$9),"",IF($J74="里程碑","◆",""))</f>
        <v/>
      </c>
      <c r="CO74" s="8" t="str">
        <f>IF(OR($A74="",$C74="",$D74="",$C74&gt;CO$6,$D74&lt;CO$9),"",IF($J74="里程碑","◆",""))</f>
        <v/>
      </c>
      <c r="CP74" s="8" t="str">
        <f>IF(OR($A74="",$C74="",$D74="",$C74&gt;CP$6,$D74&lt;CP$9),"",IF($J74="里程碑","◆",""))</f>
        <v/>
      </c>
      <c r="CQ74" s="8" t="str">
        <f>IF(OR($A74="",$C74="",$D74="",$C74&gt;CQ$6,$D74&lt;CQ$9),"",IF($J74="里程碑","◆",""))</f>
        <v/>
      </c>
      <c r="CR74" s="8" t="str">
        <f>IF(OR($A74="",$C74="",$D74="",$C74&gt;CR$6,$D74&lt;CR$9),"",IF($J74="里程碑","◆",""))</f>
        <v/>
      </c>
      <c r="CS74" s="8" t="str">
        <f>IF(OR($A74="",$C74="",$D74="",$C74&gt;CS$6,$D74&lt;CS$9),"",IF($J74="里程碑","◆",""))</f>
        <v/>
      </c>
      <c r="CT74" s="8" t="str">
        <f>IF(OR($A74="",$C74="",$D74="",$C74&gt;CT$6,$D74&lt;CT$9),"",IF($J74="里程碑","◆",""))</f>
        <v/>
      </c>
      <c r="CU74" s="8" t="str">
        <f>IF(OR($A74="",$C74="",$D74="",$C74&gt;CU$6,$D74&lt;CU$9),"",IF($J74="里程碑","◆",""))</f>
        <v/>
      </c>
      <c r="CV74" s="8" t="str">
        <f>IF(OR($A74="",$C74="",$D74="",$C74&gt;CV$6,$D74&lt;CV$9),"",IF($J74="里程碑","◆",""))</f>
        <v/>
      </c>
      <c r="CW74" s="8" t="str">
        <f>IF(OR($A74="",$C74="",$D74="",$C74&gt;CW$6,$D74&lt;CW$9),"",IF($J74="里程碑","◆",""))</f>
        <v/>
      </c>
      <c r="CX74" s="8" t="str">
        <f>IF(OR($A74="",$C74="",$D74="",$C74&gt;CX$6,$D74&lt;CX$9),"",IF($J74="里程碑","◆",""))</f>
        <v/>
      </c>
      <c r="CY74" s="8" t="str">
        <f>IF(OR($A74="",$C74="",$D74="",$C74&gt;CY$6,$D74&lt;CY$9),"",IF($J74="里程碑","◆",""))</f>
        <v/>
      </c>
      <c r="CZ74" s="8" t="str">
        <f>IF(OR($A74="",$C74="",$D74="",$C74&gt;CZ$6,$D74&lt;CZ$9),"",IF($J74="里程碑","◆",""))</f>
        <v/>
      </c>
      <c r="DA74" s="8" t="str">
        <f>IF(OR($A74="",$C74="",$D74="",$C74&gt;DA$6,$D74&lt;DA$9),"",IF($J74="里程碑","◆",""))</f>
        <v/>
      </c>
      <c r="DB74" s="8" t="str">
        <f>IF(OR($A74="",$C74="",$D74="",$C74&gt;DB$6,$D74&lt;DB$9),"",IF($J74="里程碑","◆",""))</f>
        <v/>
      </c>
      <c r="DC74" s="1" t="str">
        <f>IF(ROW()-9&gt;$DH$3,"",MATCH(ROW()-9,排期计算!$U$10:$U$109,0))</f>
        <v/>
      </c>
      <c r="DD74" s="1" t="str">
        <f>IF($DC74="","",INDEX(排期计算!$L$10:$L$109,$DC74))</f>
        <v/>
      </c>
      <c r="DE74" s="1"/>
      <c r="DF74" s="1"/>
      <c r="DG74" s="1"/>
      <c r="DH74" s="1"/>
      <c r="DI74" s="1"/>
      <c r="DJ74" s="1"/>
      <c r="DK74" s="1"/>
    </row>
    <row r="75" spans="1:115" ht="24.95" customHeight="1">
      <c r="A75" s="9" t="str">
        <f>IF($DC75="","",IF(AND(INDEX(排期计算!$A$10:$A$109,$DC75)="",NOT(ISNUMBER(INDEX(排期计算!$A$10:$A$109,$DC75)))),"",INDEX(排期计算!$A$10:$A$109,$DC75)))</f>
        <v/>
      </c>
      <c r="B75" s="1" t="str">
        <f>IF($DC75="","",REPT("　",$DD75-1)&amp;INDEX(排期计算!$B$10:$B$109,$DC75))</f>
        <v/>
      </c>
      <c r="C75" s="3" t="str">
        <f>IF($DC75="","",IF(AND(INDEX(排期计算!$M$10:$M$109,$DC75)="",NOT(ISNUMBER(INDEX(排期计算!$M$10:$M$109,$DC75)))),"",INDEX(排期计算!$M$10:$M$109,$DC75)))</f>
        <v/>
      </c>
      <c r="D75" s="3" t="str">
        <f>IF($DC75="","",IF(AND(INDEX(排期计算!$N$10:$N$109,$DC75)="",NOT(ISNUMBER(INDEX(排期计算!$N$10:$N$109,$DC75)))),"",INDEX(排期计算!$N$10:$N$109,$DC75)))</f>
        <v/>
      </c>
      <c r="E75" s="1" t="str">
        <f>IF(OR($C75="",$D75=""),"",IF($J75="里程碑",0,NETWORKDAYS($C75,$D75)))</f>
        <v/>
      </c>
      <c r="F75" s="7" t="str">
        <f>IF($DC75="","",IF(AND(INDEX(排期计算!$O$10:$O$109,$DC75)="",NOT(ISNUMBER(INDEX(排期计算!$O$10:$O$109,$DC75)))),"",INDEX(排期计算!$O$10:$O$109,$DC75)))</f>
        <v/>
      </c>
      <c r="G75" s="8" t="str">
        <f>IF($A75="","",IF(OR($C75="",$D75=""),"未排期",IF($F75&gt;=1,"已完成",IF($D75&lt;$B$4,"逾期",IF($C75&gt;$B$4,"未开始","进行中")))))</f>
        <v/>
      </c>
      <c r="H75" s="1" t="str">
        <f>IF($DC75="","",IF(AND(INDEX(排期计算!$C$10:$C$109,$DC75)="",NOT(ISNUMBER(INDEX(排期计算!$C$10:$C$109,$DC75)))),"",INDEX(排期计算!$C$10:$C$109,$DC75)))</f>
        <v/>
      </c>
      <c r="I75" s="1" t="str">
        <f>IF($DC75="","",IF(AND(INDEX(排期计算!$H$10:$H$109,$DC75)="",NOT(ISNUMBER(INDEX(排期计算!$H$10:$H$109,$DC75)))),"",INDEX(排期计算!$H$10:$H$109,$DC75)))</f>
        <v/>
      </c>
      <c r="J75" s="1" t="str">
        <f>IF($DC75="","",IF(AND(INDEX(排期计算!$K$10:$K$109,$DC75)="",NOT(ISNUMBER(INDEX(排期计算!$K$10:$K$109,$DC75)))),"",INDEX(排期计算!$K$10:$K$109,$DC75)))</f>
        <v/>
      </c>
      <c r="K75" s="8" t="str">
        <f>IF(OR($A75="",$C75="",$D75="",$C75&gt;K$6,$D75&lt;K$9),"",IF($J75="里程碑","◆",""))</f>
        <v/>
      </c>
      <c r="L75" s="8" t="str">
        <f>IF(OR($A75="",$C75="",$D75="",$C75&gt;L$6,$D75&lt;L$9),"",IF($J75="里程碑","◆",""))</f>
        <v/>
      </c>
      <c r="M75" s="8" t="str">
        <f>IF(OR($A75="",$C75="",$D75="",$C75&gt;M$6,$D75&lt;M$9),"",IF($J75="里程碑","◆",""))</f>
        <v/>
      </c>
      <c r="N75" s="8" t="str">
        <f>IF(OR($A75="",$C75="",$D75="",$C75&gt;N$6,$D75&lt;N$9),"",IF($J75="里程碑","◆",""))</f>
        <v/>
      </c>
      <c r="O75" s="8" t="str">
        <f>IF(OR($A75="",$C75="",$D75="",$C75&gt;O$6,$D75&lt;O$9),"",IF($J75="里程碑","◆",""))</f>
        <v/>
      </c>
      <c r="P75" s="8" t="str">
        <f>IF(OR($A75="",$C75="",$D75="",$C75&gt;P$6,$D75&lt;P$9),"",IF($J75="里程碑","◆",""))</f>
        <v/>
      </c>
      <c r="Q75" s="8" t="str">
        <f>IF(OR($A75="",$C75="",$D75="",$C75&gt;Q$6,$D75&lt;Q$9),"",IF($J75="里程碑","◆",""))</f>
        <v/>
      </c>
      <c r="R75" s="8" t="str">
        <f>IF(OR($A75="",$C75="",$D75="",$C75&gt;R$6,$D75&lt;R$9),"",IF($J75="里程碑","◆",""))</f>
        <v/>
      </c>
      <c r="S75" s="8" t="str">
        <f>IF(OR($A75="",$C75="",$D75="",$C75&gt;S$6,$D75&lt;S$9),"",IF($J75="里程碑","◆",""))</f>
        <v/>
      </c>
      <c r="T75" s="8" t="str">
        <f>IF(OR($A75="",$C75="",$D75="",$C75&gt;T$6,$D75&lt;T$9),"",IF($J75="里程碑","◆",""))</f>
        <v/>
      </c>
      <c r="U75" s="8" t="str">
        <f>IF(OR($A75="",$C75="",$D75="",$C75&gt;U$6,$D75&lt;U$9),"",IF($J75="里程碑","◆",""))</f>
        <v/>
      </c>
      <c r="V75" s="8" t="str">
        <f>IF(OR($A75="",$C75="",$D75="",$C75&gt;V$6,$D75&lt;V$9),"",IF($J75="里程碑","◆",""))</f>
        <v/>
      </c>
      <c r="W75" s="8" t="str">
        <f>IF(OR($A75="",$C75="",$D75="",$C75&gt;W$6,$D75&lt;W$9),"",IF($J75="里程碑","◆",""))</f>
        <v/>
      </c>
      <c r="X75" s="8" t="str">
        <f>IF(OR($A75="",$C75="",$D75="",$C75&gt;X$6,$D75&lt;X$9),"",IF($J75="里程碑","◆",""))</f>
        <v/>
      </c>
      <c r="Y75" s="8" t="str">
        <f>IF(OR($A75="",$C75="",$D75="",$C75&gt;Y$6,$D75&lt;Y$9),"",IF($J75="里程碑","◆",""))</f>
        <v/>
      </c>
      <c r="Z75" s="8" t="str">
        <f>IF(OR($A75="",$C75="",$D75="",$C75&gt;Z$6,$D75&lt;Z$9),"",IF($J75="里程碑","◆",""))</f>
        <v/>
      </c>
      <c r="AA75" s="8" t="str">
        <f>IF(OR($A75="",$C75="",$D75="",$C75&gt;AA$6,$D75&lt;AA$9),"",IF($J75="里程碑","◆",""))</f>
        <v/>
      </c>
      <c r="AB75" s="8" t="str">
        <f>IF(OR($A75="",$C75="",$D75="",$C75&gt;AB$6,$D75&lt;AB$9),"",IF($J75="里程碑","◆",""))</f>
        <v/>
      </c>
      <c r="AC75" s="8" t="str">
        <f>IF(OR($A75="",$C75="",$D75="",$C75&gt;AC$6,$D75&lt;AC$9),"",IF($J75="里程碑","◆",""))</f>
        <v/>
      </c>
      <c r="AD75" s="8" t="str">
        <f>IF(OR($A75="",$C75="",$D75="",$C75&gt;AD$6,$D75&lt;AD$9),"",IF($J75="里程碑","◆",""))</f>
        <v/>
      </c>
      <c r="AE75" s="8" t="str">
        <f>IF(OR($A75="",$C75="",$D75="",$C75&gt;AE$6,$D75&lt;AE$9),"",IF($J75="里程碑","◆",""))</f>
        <v/>
      </c>
      <c r="AF75" s="8" t="str">
        <f>IF(OR($A75="",$C75="",$D75="",$C75&gt;AF$6,$D75&lt;AF$9),"",IF($J75="里程碑","◆",""))</f>
        <v/>
      </c>
      <c r="AG75" s="8" t="str">
        <f>IF(OR($A75="",$C75="",$D75="",$C75&gt;AG$6,$D75&lt;AG$9),"",IF($J75="里程碑","◆",""))</f>
        <v/>
      </c>
      <c r="AH75" s="8" t="str">
        <f>IF(OR($A75="",$C75="",$D75="",$C75&gt;AH$6,$D75&lt;AH$9),"",IF($J75="里程碑","◆",""))</f>
        <v/>
      </c>
      <c r="AI75" s="8" t="str">
        <f>IF(OR($A75="",$C75="",$D75="",$C75&gt;AI$6,$D75&lt;AI$9),"",IF($J75="里程碑","◆",""))</f>
        <v/>
      </c>
      <c r="AJ75" s="8" t="str">
        <f>IF(OR($A75="",$C75="",$D75="",$C75&gt;AJ$6,$D75&lt;AJ$9),"",IF($J75="里程碑","◆",""))</f>
        <v/>
      </c>
      <c r="AK75" s="8" t="str">
        <f>IF(OR($A75="",$C75="",$D75="",$C75&gt;AK$6,$D75&lt;AK$9),"",IF($J75="里程碑","◆",""))</f>
        <v/>
      </c>
      <c r="AL75" s="8" t="str">
        <f>IF(OR($A75="",$C75="",$D75="",$C75&gt;AL$6,$D75&lt;AL$9),"",IF($J75="里程碑","◆",""))</f>
        <v/>
      </c>
      <c r="AM75" s="8" t="str">
        <f>IF(OR($A75="",$C75="",$D75="",$C75&gt;AM$6,$D75&lt;AM$9),"",IF($J75="里程碑","◆",""))</f>
        <v/>
      </c>
      <c r="AN75" s="8" t="str">
        <f>IF(OR($A75="",$C75="",$D75="",$C75&gt;AN$6,$D75&lt;AN$9),"",IF($J75="里程碑","◆",""))</f>
        <v/>
      </c>
      <c r="AO75" s="8" t="str">
        <f>IF(OR($A75="",$C75="",$D75="",$C75&gt;AO$6,$D75&lt;AO$9),"",IF($J75="里程碑","◆",""))</f>
        <v/>
      </c>
      <c r="AP75" s="8" t="str">
        <f>IF(OR($A75="",$C75="",$D75="",$C75&gt;AP$6,$D75&lt;AP$9),"",IF($J75="里程碑","◆",""))</f>
        <v/>
      </c>
      <c r="AQ75" s="8" t="str">
        <f>IF(OR($A75="",$C75="",$D75="",$C75&gt;AQ$6,$D75&lt;AQ$9),"",IF($J75="里程碑","◆",""))</f>
        <v/>
      </c>
      <c r="AR75" s="8" t="str">
        <f>IF(OR($A75="",$C75="",$D75="",$C75&gt;AR$6,$D75&lt;AR$9),"",IF($J75="里程碑","◆",""))</f>
        <v/>
      </c>
      <c r="AS75" s="8" t="str">
        <f>IF(OR($A75="",$C75="",$D75="",$C75&gt;AS$6,$D75&lt;AS$9),"",IF($J75="里程碑","◆",""))</f>
        <v/>
      </c>
      <c r="AT75" s="8" t="str">
        <f>IF(OR($A75="",$C75="",$D75="",$C75&gt;AT$6,$D75&lt;AT$9),"",IF($J75="里程碑","◆",""))</f>
        <v/>
      </c>
      <c r="AU75" s="8" t="str">
        <f>IF(OR($A75="",$C75="",$D75="",$C75&gt;AU$6,$D75&lt;AU$9),"",IF($J75="里程碑","◆",""))</f>
        <v/>
      </c>
      <c r="AV75" s="8" t="str">
        <f>IF(OR($A75="",$C75="",$D75="",$C75&gt;AV$6,$D75&lt;AV$9),"",IF($J75="里程碑","◆",""))</f>
        <v/>
      </c>
      <c r="AW75" s="8" t="str">
        <f>IF(OR($A75="",$C75="",$D75="",$C75&gt;AW$6,$D75&lt;AW$9),"",IF($J75="里程碑","◆",""))</f>
        <v/>
      </c>
      <c r="AX75" s="8" t="str">
        <f>IF(OR($A75="",$C75="",$D75="",$C75&gt;AX$6,$D75&lt;AX$9),"",IF($J75="里程碑","◆",""))</f>
        <v/>
      </c>
      <c r="AY75" s="8" t="str">
        <f>IF(OR($A75="",$C75="",$D75="",$C75&gt;AY$6,$D75&lt;AY$9),"",IF($J75="里程碑","◆",""))</f>
        <v/>
      </c>
      <c r="AZ75" s="8" t="str">
        <f>IF(OR($A75="",$C75="",$D75="",$C75&gt;AZ$6,$D75&lt;AZ$9),"",IF($J75="里程碑","◆",""))</f>
        <v/>
      </c>
      <c r="BA75" s="8" t="str">
        <f>IF(OR($A75="",$C75="",$D75="",$C75&gt;BA$6,$D75&lt;BA$9),"",IF($J75="里程碑","◆",""))</f>
        <v/>
      </c>
      <c r="BB75" s="8" t="str">
        <f>IF(OR($A75="",$C75="",$D75="",$C75&gt;BB$6,$D75&lt;BB$9),"",IF($J75="里程碑","◆",""))</f>
        <v/>
      </c>
      <c r="BC75" s="8" t="str">
        <f>IF(OR($A75="",$C75="",$D75="",$C75&gt;BC$6,$D75&lt;BC$9),"",IF($J75="里程碑","◆",""))</f>
        <v/>
      </c>
      <c r="BD75" s="8" t="str">
        <f>IF(OR($A75="",$C75="",$D75="",$C75&gt;BD$6,$D75&lt;BD$9),"",IF($J75="里程碑","◆",""))</f>
        <v/>
      </c>
      <c r="BE75" s="8" t="str">
        <f>IF(OR($A75="",$C75="",$D75="",$C75&gt;BE$6,$D75&lt;BE$9),"",IF($J75="里程碑","◆",""))</f>
        <v/>
      </c>
      <c r="BF75" s="8" t="str">
        <f>IF(OR($A75="",$C75="",$D75="",$C75&gt;BF$6,$D75&lt;BF$9),"",IF($J75="里程碑","◆",""))</f>
        <v/>
      </c>
      <c r="BG75" s="8" t="str">
        <f>IF(OR($A75="",$C75="",$D75="",$C75&gt;BG$6,$D75&lt;BG$9),"",IF($J75="里程碑","◆",""))</f>
        <v/>
      </c>
      <c r="BH75" s="8" t="str">
        <f>IF(OR($A75="",$C75="",$D75="",$C75&gt;BH$6,$D75&lt;BH$9),"",IF($J75="里程碑","◆",""))</f>
        <v/>
      </c>
      <c r="BI75" s="8" t="str">
        <f>IF(OR($A75="",$C75="",$D75="",$C75&gt;BI$6,$D75&lt;BI$9),"",IF($J75="里程碑","◆",""))</f>
        <v/>
      </c>
      <c r="BJ75" s="8" t="str">
        <f>IF(OR($A75="",$C75="",$D75="",$C75&gt;BJ$6,$D75&lt;BJ$9),"",IF($J75="里程碑","◆",""))</f>
        <v/>
      </c>
      <c r="BK75" s="8" t="str">
        <f>IF(OR($A75="",$C75="",$D75="",$C75&gt;BK$6,$D75&lt;BK$9),"",IF($J75="里程碑","◆",""))</f>
        <v/>
      </c>
      <c r="BL75" s="8" t="str">
        <f>IF(OR($A75="",$C75="",$D75="",$C75&gt;BL$6,$D75&lt;BL$9),"",IF($J75="里程碑","◆",""))</f>
        <v/>
      </c>
      <c r="BM75" s="8" t="str">
        <f>IF(OR($A75="",$C75="",$D75="",$C75&gt;BM$6,$D75&lt;BM$9),"",IF($J75="里程碑","◆",""))</f>
        <v/>
      </c>
      <c r="BN75" s="8" t="str">
        <f>IF(OR($A75="",$C75="",$D75="",$C75&gt;BN$6,$D75&lt;BN$9),"",IF($J75="里程碑","◆",""))</f>
        <v/>
      </c>
      <c r="BO75" s="8" t="str">
        <f>IF(OR($A75="",$C75="",$D75="",$C75&gt;BO$6,$D75&lt;BO$9),"",IF($J75="里程碑","◆",""))</f>
        <v/>
      </c>
      <c r="BP75" s="8" t="str">
        <f>IF(OR($A75="",$C75="",$D75="",$C75&gt;BP$6,$D75&lt;BP$9),"",IF($J75="里程碑","◆",""))</f>
        <v/>
      </c>
      <c r="BQ75" s="8" t="str">
        <f>IF(OR($A75="",$C75="",$D75="",$C75&gt;BQ$6,$D75&lt;BQ$9),"",IF($J75="里程碑","◆",""))</f>
        <v/>
      </c>
      <c r="BR75" s="8" t="str">
        <f>IF(OR($A75="",$C75="",$D75="",$C75&gt;BR$6,$D75&lt;BR$9),"",IF($J75="里程碑","◆",""))</f>
        <v/>
      </c>
      <c r="BS75" s="8" t="str">
        <f>IF(OR($A75="",$C75="",$D75="",$C75&gt;BS$6,$D75&lt;BS$9),"",IF($J75="里程碑","◆",""))</f>
        <v/>
      </c>
      <c r="BT75" s="8" t="str">
        <f>IF(OR($A75="",$C75="",$D75="",$C75&gt;BT$6,$D75&lt;BT$9),"",IF($J75="里程碑","◆",""))</f>
        <v/>
      </c>
      <c r="BU75" s="8" t="str">
        <f>IF(OR($A75="",$C75="",$D75="",$C75&gt;BU$6,$D75&lt;BU$9),"",IF($J75="里程碑","◆",""))</f>
        <v/>
      </c>
      <c r="BV75" s="8" t="str">
        <f>IF(OR($A75="",$C75="",$D75="",$C75&gt;BV$6,$D75&lt;BV$9),"",IF($J75="里程碑","◆",""))</f>
        <v/>
      </c>
      <c r="BW75" s="8" t="str">
        <f>IF(OR($A75="",$C75="",$D75="",$C75&gt;BW$6,$D75&lt;BW$9),"",IF($J75="里程碑","◆",""))</f>
        <v/>
      </c>
      <c r="BX75" s="8" t="str">
        <f>IF(OR($A75="",$C75="",$D75="",$C75&gt;BX$6,$D75&lt;BX$9),"",IF($J75="里程碑","◆",""))</f>
        <v/>
      </c>
      <c r="BY75" s="8" t="str">
        <f>IF(OR($A75="",$C75="",$D75="",$C75&gt;BY$6,$D75&lt;BY$9),"",IF($J75="里程碑","◆",""))</f>
        <v/>
      </c>
      <c r="BZ75" s="8" t="str">
        <f>IF(OR($A75="",$C75="",$D75="",$C75&gt;BZ$6,$D75&lt;BZ$9),"",IF($J75="里程碑","◆",""))</f>
        <v/>
      </c>
      <c r="CA75" s="8" t="str">
        <f>IF(OR($A75="",$C75="",$D75="",$C75&gt;CA$6,$D75&lt;CA$9),"",IF($J75="里程碑","◆",""))</f>
        <v/>
      </c>
      <c r="CB75" s="8" t="str">
        <f>IF(OR($A75="",$C75="",$D75="",$C75&gt;CB$6,$D75&lt;CB$9),"",IF($J75="里程碑","◆",""))</f>
        <v/>
      </c>
      <c r="CC75" s="8" t="str">
        <f>IF(OR($A75="",$C75="",$D75="",$C75&gt;CC$6,$D75&lt;CC$9),"",IF($J75="里程碑","◆",""))</f>
        <v/>
      </c>
      <c r="CD75" s="8" t="str">
        <f>IF(OR($A75="",$C75="",$D75="",$C75&gt;CD$6,$D75&lt;CD$9),"",IF($J75="里程碑","◆",""))</f>
        <v/>
      </c>
      <c r="CE75" s="8" t="str">
        <f>IF(OR($A75="",$C75="",$D75="",$C75&gt;CE$6,$D75&lt;CE$9),"",IF($J75="里程碑","◆",""))</f>
        <v/>
      </c>
      <c r="CF75" s="8" t="str">
        <f>IF(OR($A75="",$C75="",$D75="",$C75&gt;CF$6,$D75&lt;CF$9),"",IF($J75="里程碑","◆",""))</f>
        <v/>
      </c>
      <c r="CG75" s="8" t="str">
        <f>IF(OR($A75="",$C75="",$D75="",$C75&gt;CG$6,$D75&lt;CG$9),"",IF($J75="里程碑","◆",""))</f>
        <v/>
      </c>
      <c r="CH75" s="8" t="str">
        <f>IF(OR($A75="",$C75="",$D75="",$C75&gt;CH$6,$D75&lt;CH$9),"",IF($J75="里程碑","◆",""))</f>
        <v/>
      </c>
      <c r="CI75" s="8" t="str">
        <f>IF(OR($A75="",$C75="",$D75="",$C75&gt;CI$6,$D75&lt;CI$9),"",IF($J75="里程碑","◆",""))</f>
        <v/>
      </c>
      <c r="CJ75" s="8" t="str">
        <f>IF(OR($A75="",$C75="",$D75="",$C75&gt;CJ$6,$D75&lt;CJ$9),"",IF($J75="里程碑","◆",""))</f>
        <v/>
      </c>
      <c r="CK75" s="8" t="str">
        <f>IF(OR($A75="",$C75="",$D75="",$C75&gt;CK$6,$D75&lt;CK$9),"",IF($J75="里程碑","◆",""))</f>
        <v/>
      </c>
      <c r="CL75" s="8" t="str">
        <f>IF(OR($A75="",$C75="",$D75="",$C75&gt;CL$6,$D75&lt;CL$9),"",IF($J75="里程碑","◆",""))</f>
        <v/>
      </c>
      <c r="CM75" s="8" t="str">
        <f>IF(OR($A75="",$C75="",$D75="",$C75&gt;CM$6,$D75&lt;CM$9),"",IF($J75="里程碑","◆",""))</f>
        <v/>
      </c>
      <c r="CN75" s="8" t="str">
        <f>IF(OR($A75="",$C75="",$D75="",$C75&gt;CN$6,$D75&lt;CN$9),"",IF($J75="里程碑","◆",""))</f>
        <v/>
      </c>
      <c r="CO75" s="8" t="str">
        <f>IF(OR($A75="",$C75="",$D75="",$C75&gt;CO$6,$D75&lt;CO$9),"",IF($J75="里程碑","◆",""))</f>
        <v/>
      </c>
      <c r="CP75" s="8" t="str">
        <f>IF(OR($A75="",$C75="",$D75="",$C75&gt;CP$6,$D75&lt;CP$9),"",IF($J75="里程碑","◆",""))</f>
        <v/>
      </c>
      <c r="CQ75" s="8" t="str">
        <f>IF(OR($A75="",$C75="",$D75="",$C75&gt;CQ$6,$D75&lt;CQ$9),"",IF($J75="里程碑","◆",""))</f>
        <v/>
      </c>
      <c r="CR75" s="8" t="str">
        <f>IF(OR($A75="",$C75="",$D75="",$C75&gt;CR$6,$D75&lt;CR$9),"",IF($J75="里程碑","◆",""))</f>
        <v/>
      </c>
      <c r="CS75" s="8" t="str">
        <f>IF(OR($A75="",$C75="",$D75="",$C75&gt;CS$6,$D75&lt;CS$9),"",IF($J75="里程碑","◆",""))</f>
        <v/>
      </c>
      <c r="CT75" s="8" t="str">
        <f>IF(OR($A75="",$C75="",$D75="",$C75&gt;CT$6,$D75&lt;CT$9),"",IF($J75="里程碑","◆",""))</f>
        <v/>
      </c>
      <c r="CU75" s="8" t="str">
        <f>IF(OR($A75="",$C75="",$D75="",$C75&gt;CU$6,$D75&lt;CU$9),"",IF($J75="里程碑","◆",""))</f>
        <v/>
      </c>
      <c r="CV75" s="8" t="str">
        <f>IF(OR($A75="",$C75="",$D75="",$C75&gt;CV$6,$D75&lt;CV$9),"",IF($J75="里程碑","◆",""))</f>
        <v/>
      </c>
      <c r="CW75" s="8" t="str">
        <f>IF(OR($A75="",$C75="",$D75="",$C75&gt;CW$6,$D75&lt;CW$9),"",IF($J75="里程碑","◆",""))</f>
        <v/>
      </c>
      <c r="CX75" s="8" t="str">
        <f>IF(OR($A75="",$C75="",$D75="",$C75&gt;CX$6,$D75&lt;CX$9),"",IF($J75="里程碑","◆",""))</f>
        <v/>
      </c>
      <c r="CY75" s="8" t="str">
        <f>IF(OR($A75="",$C75="",$D75="",$C75&gt;CY$6,$D75&lt;CY$9),"",IF($J75="里程碑","◆",""))</f>
        <v/>
      </c>
      <c r="CZ75" s="8" t="str">
        <f>IF(OR($A75="",$C75="",$D75="",$C75&gt;CZ$6,$D75&lt;CZ$9),"",IF($J75="里程碑","◆",""))</f>
        <v/>
      </c>
      <c r="DA75" s="8" t="str">
        <f>IF(OR($A75="",$C75="",$D75="",$C75&gt;DA$6,$D75&lt;DA$9),"",IF($J75="里程碑","◆",""))</f>
        <v/>
      </c>
      <c r="DB75" s="8" t="str">
        <f>IF(OR($A75="",$C75="",$D75="",$C75&gt;DB$6,$D75&lt;DB$9),"",IF($J75="里程碑","◆",""))</f>
        <v/>
      </c>
      <c r="DC75" s="1" t="str">
        <f>IF(ROW()-9&gt;$DH$3,"",MATCH(ROW()-9,排期计算!$U$10:$U$109,0))</f>
        <v/>
      </c>
      <c r="DD75" s="1" t="str">
        <f>IF($DC75="","",INDEX(排期计算!$L$10:$L$109,$DC75))</f>
        <v/>
      </c>
      <c r="DE75" s="1"/>
      <c r="DF75" s="1"/>
      <c r="DG75" s="1"/>
      <c r="DH75" s="1"/>
      <c r="DI75" s="1"/>
      <c r="DJ75" s="1"/>
      <c r="DK75" s="1"/>
    </row>
    <row r="76" spans="1:115" ht="24.95" customHeight="1">
      <c r="A76" s="9" t="str">
        <f>IF($DC76="","",IF(AND(INDEX(排期计算!$A$10:$A$109,$DC76)="",NOT(ISNUMBER(INDEX(排期计算!$A$10:$A$109,$DC76)))),"",INDEX(排期计算!$A$10:$A$109,$DC76)))</f>
        <v/>
      </c>
      <c r="B76" s="1" t="str">
        <f>IF($DC76="","",REPT("　",$DD76-1)&amp;INDEX(排期计算!$B$10:$B$109,$DC76))</f>
        <v/>
      </c>
      <c r="C76" s="3" t="str">
        <f>IF($DC76="","",IF(AND(INDEX(排期计算!$M$10:$M$109,$DC76)="",NOT(ISNUMBER(INDEX(排期计算!$M$10:$M$109,$DC76)))),"",INDEX(排期计算!$M$10:$M$109,$DC76)))</f>
        <v/>
      </c>
      <c r="D76" s="3" t="str">
        <f>IF($DC76="","",IF(AND(INDEX(排期计算!$N$10:$N$109,$DC76)="",NOT(ISNUMBER(INDEX(排期计算!$N$10:$N$109,$DC76)))),"",INDEX(排期计算!$N$10:$N$109,$DC76)))</f>
        <v/>
      </c>
      <c r="E76" s="1" t="str">
        <f>IF(OR($C76="",$D76=""),"",IF($J76="里程碑",0,NETWORKDAYS($C76,$D76)))</f>
        <v/>
      </c>
      <c r="F76" s="7" t="str">
        <f>IF($DC76="","",IF(AND(INDEX(排期计算!$O$10:$O$109,$DC76)="",NOT(ISNUMBER(INDEX(排期计算!$O$10:$O$109,$DC76)))),"",INDEX(排期计算!$O$10:$O$109,$DC76)))</f>
        <v/>
      </c>
      <c r="G76" s="8" t="str">
        <f>IF($A76="","",IF(OR($C76="",$D76=""),"未排期",IF($F76&gt;=1,"已完成",IF($D76&lt;$B$4,"逾期",IF($C76&gt;$B$4,"未开始","进行中")))))</f>
        <v/>
      </c>
      <c r="H76" s="1" t="str">
        <f>IF($DC76="","",IF(AND(INDEX(排期计算!$C$10:$C$109,$DC76)="",NOT(ISNUMBER(INDEX(排期计算!$C$10:$C$109,$DC76)))),"",INDEX(排期计算!$C$10:$C$109,$DC76)))</f>
        <v/>
      </c>
      <c r="I76" s="1" t="str">
        <f>IF($DC76="","",IF(AND(INDEX(排期计算!$H$10:$H$109,$DC76)="",NOT(ISNUMBER(INDEX(排期计算!$H$10:$H$109,$DC76)))),"",INDEX(排期计算!$H$10:$H$109,$DC76)))</f>
        <v/>
      </c>
      <c r="J76" s="1" t="str">
        <f>IF($DC76="","",IF(AND(INDEX(排期计算!$K$10:$K$109,$DC76)="",NOT(ISNUMBER(INDEX(排期计算!$K$10:$K$109,$DC76)))),"",INDEX(排期计算!$K$10:$K$109,$DC76)))</f>
        <v/>
      </c>
      <c r="K76" s="8" t="str">
        <f>IF(OR($A76="",$C76="",$D76="",$C76&gt;K$6,$D76&lt;K$9),"",IF($J76="里程碑","◆",""))</f>
        <v/>
      </c>
      <c r="L76" s="8" t="str">
        <f>IF(OR($A76="",$C76="",$D76="",$C76&gt;L$6,$D76&lt;L$9),"",IF($J76="里程碑","◆",""))</f>
        <v/>
      </c>
      <c r="M76" s="8" t="str">
        <f>IF(OR($A76="",$C76="",$D76="",$C76&gt;M$6,$D76&lt;M$9),"",IF($J76="里程碑","◆",""))</f>
        <v/>
      </c>
      <c r="N76" s="8" t="str">
        <f>IF(OR($A76="",$C76="",$D76="",$C76&gt;N$6,$D76&lt;N$9),"",IF($J76="里程碑","◆",""))</f>
        <v/>
      </c>
      <c r="O76" s="8" t="str">
        <f>IF(OR($A76="",$C76="",$D76="",$C76&gt;O$6,$D76&lt;O$9),"",IF($J76="里程碑","◆",""))</f>
        <v/>
      </c>
      <c r="P76" s="8" t="str">
        <f>IF(OR($A76="",$C76="",$D76="",$C76&gt;P$6,$D76&lt;P$9),"",IF($J76="里程碑","◆",""))</f>
        <v/>
      </c>
      <c r="Q76" s="8" t="str">
        <f>IF(OR($A76="",$C76="",$D76="",$C76&gt;Q$6,$D76&lt;Q$9),"",IF($J76="里程碑","◆",""))</f>
        <v/>
      </c>
      <c r="R76" s="8" t="str">
        <f>IF(OR($A76="",$C76="",$D76="",$C76&gt;R$6,$D76&lt;R$9),"",IF($J76="里程碑","◆",""))</f>
        <v/>
      </c>
      <c r="S76" s="8" t="str">
        <f>IF(OR($A76="",$C76="",$D76="",$C76&gt;S$6,$D76&lt;S$9),"",IF($J76="里程碑","◆",""))</f>
        <v/>
      </c>
      <c r="T76" s="8" t="str">
        <f>IF(OR($A76="",$C76="",$D76="",$C76&gt;T$6,$D76&lt;T$9),"",IF($J76="里程碑","◆",""))</f>
        <v/>
      </c>
      <c r="U76" s="8" t="str">
        <f>IF(OR($A76="",$C76="",$D76="",$C76&gt;U$6,$D76&lt;U$9),"",IF($J76="里程碑","◆",""))</f>
        <v/>
      </c>
      <c r="V76" s="8" t="str">
        <f>IF(OR($A76="",$C76="",$D76="",$C76&gt;V$6,$D76&lt;V$9),"",IF($J76="里程碑","◆",""))</f>
        <v/>
      </c>
      <c r="W76" s="8" t="str">
        <f>IF(OR($A76="",$C76="",$D76="",$C76&gt;W$6,$D76&lt;W$9),"",IF($J76="里程碑","◆",""))</f>
        <v/>
      </c>
      <c r="X76" s="8" t="str">
        <f>IF(OR($A76="",$C76="",$D76="",$C76&gt;X$6,$D76&lt;X$9),"",IF($J76="里程碑","◆",""))</f>
        <v/>
      </c>
      <c r="Y76" s="8" t="str">
        <f>IF(OR($A76="",$C76="",$D76="",$C76&gt;Y$6,$D76&lt;Y$9),"",IF($J76="里程碑","◆",""))</f>
        <v/>
      </c>
      <c r="Z76" s="8" t="str">
        <f>IF(OR($A76="",$C76="",$D76="",$C76&gt;Z$6,$D76&lt;Z$9),"",IF($J76="里程碑","◆",""))</f>
        <v/>
      </c>
      <c r="AA76" s="8" t="str">
        <f>IF(OR($A76="",$C76="",$D76="",$C76&gt;AA$6,$D76&lt;AA$9),"",IF($J76="里程碑","◆",""))</f>
        <v/>
      </c>
      <c r="AB76" s="8" t="str">
        <f>IF(OR($A76="",$C76="",$D76="",$C76&gt;AB$6,$D76&lt;AB$9),"",IF($J76="里程碑","◆",""))</f>
        <v/>
      </c>
      <c r="AC76" s="8" t="str">
        <f>IF(OR($A76="",$C76="",$D76="",$C76&gt;AC$6,$D76&lt;AC$9),"",IF($J76="里程碑","◆",""))</f>
        <v/>
      </c>
      <c r="AD76" s="8" t="str">
        <f>IF(OR($A76="",$C76="",$D76="",$C76&gt;AD$6,$D76&lt;AD$9),"",IF($J76="里程碑","◆",""))</f>
        <v/>
      </c>
      <c r="AE76" s="8" t="str">
        <f>IF(OR($A76="",$C76="",$D76="",$C76&gt;AE$6,$D76&lt;AE$9),"",IF($J76="里程碑","◆",""))</f>
        <v/>
      </c>
      <c r="AF76" s="8" t="str">
        <f>IF(OR($A76="",$C76="",$D76="",$C76&gt;AF$6,$D76&lt;AF$9),"",IF($J76="里程碑","◆",""))</f>
        <v/>
      </c>
      <c r="AG76" s="8" t="str">
        <f>IF(OR($A76="",$C76="",$D76="",$C76&gt;AG$6,$D76&lt;AG$9),"",IF($J76="里程碑","◆",""))</f>
        <v/>
      </c>
      <c r="AH76" s="8" t="str">
        <f>IF(OR($A76="",$C76="",$D76="",$C76&gt;AH$6,$D76&lt;AH$9),"",IF($J76="里程碑","◆",""))</f>
        <v/>
      </c>
      <c r="AI76" s="8" t="str">
        <f>IF(OR($A76="",$C76="",$D76="",$C76&gt;AI$6,$D76&lt;AI$9),"",IF($J76="里程碑","◆",""))</f>
        <v/>
      </c>
      <c r="AJ76" s="8" t="str">
        <f>IF(OR($A76="",$C76="",$D76="",$C76&gt;AJ$6,$D76&lt;AJ$9),"",IF($J76="里程碑","◆",""))</f>
        <v/>
      </c>
      <c r="AK76" s="8" t="str">
        <f>IF(OR($A76="",$C76="",$D76="",$C76&gt;AK$6,$D76&lt;AK$9),"",IF($J76="里程碑","◆",""))</f>
        <v/>
      </c>
      <c r="AL76" s="8" t="str">
        <f>IF(OR($A76="",$C76="",$D76="",$C76&gt;AL$6,$D76&lt;AL$9),"",IF($J76="里程碑","◆",""))</f>
        <v/>
      </c>
      <c r="AM76" s="8" t="str">
        <f>IF(OR($A76="",$C76="",$D76="",$C76&gt;AM$6,$D76&lt;AM$9),"",IF($J76="里程碑","◆",""))</f>
        <v/>
      </c>
      <c r="AN76" s="8" t="str">
        <f>IF(OR($A76="",$C76="",$D76="",$C76&gt;AN$6,$D76&lt;AN$9),"",IF($J76="里程碑","◆",""))</f>
        <v/>
      </c>
      <c r="AO76" s="8" t="str">
        <f>IF(OR($A76="",$C76="",$D76="",$C76&gt;AO$6,$D76&lt;AO$9),"",IF($J76="里程碑","◆",""))</f>
        <v/>
      </c>
      <c r="AP76" s="8" t="str">
        <f>IF(OR($A76="",$C76="",$D76="",$C76&gt;AP$6,$D76&lt;AP$9),"",IF($J76="里程碑","◆",""))</f>
        <v/>
      </c>
      <c r="AQ76" s="8" t="str">
        <f>IF(OR($A76="",$C76="",$D76="",$C76&gt;AQ$6,$D76&lt;AQ$9),"",IF($J76="里程碑","◆",""))</f>
        <v/>
      </c>
      <c r="AR76" s="8" t="str">
        <f>IF(OR($A76="",$C76="",$D76="",$C76&gt;AR$6,$D76&lt;AR$9),"",IF($J76="里程碑","◆",""))</f>
        <v/>
      </c>
      <c r="AS76" s="8" t="str">
        <f>IF(OR($A76="",$C76="",$D76="",$C76&gt;AS$6,$D76&lt;AS$9),"",IF($J76="里程碑","◆",""))</f>
        <v/>
      </c>
      <c r="AT76" s="8" t="str">
        <f>IF(OR($A76="",$C76="",$D76="",$C76&gt;AT$6,$D76&lt;AT$9),"",IF($J76="里程碑","◆",""))</f>
        <v/>
      </c>
      <c r="AU76" s="8" t="str">
        <f>IF(OR($A76="",$C76="",$D76="",$C76&gt;AU$6,$D76&lt;AU$9),"",IF($J76="里程碑","◆",""))</f>
        <v/>
      </c>
      <c r="AV76" s="8" t="str">
        <f>IF(OR($A76="",$C76="",$D76="",$C76&gt;AV$6,$D76&lt;AV$9),"",IF($J76="里程碑","◆",""))</f>
        <v/>
      </c>
      <c r="AW76" s="8" t="str">
        <f>IF(OR($A76="",$C76="",$D76="",$C76&gt;AW$6,$D76&lt;AW$9),"",IF($J76="里程碑","◆",""))</f>
        <v/>
      </c>
      <c r="AX76" s="8" t="str">
        <f>IF(OR($A76="",$C76="",$D76="",$C76&gt;AX$6,$D76&lt;AX$9),"",IF($J76="里程碑","◆",""))</f>
        <v/>
      </c>
      <c r="AY76" s="8" t="str">
        <f>IF(OR($A76="",$C76="",$D76="",$C76&gt;AY$6,$D76&lt;AY$9),"",IF($J76="里程碑","◆",""))</f>
        <v/>
      </c>
      <c r="AZ76" s="8" t="str">
        <f>IF(OR($A76="",$C76="",$D76="",$C76&gt;AZ$6,$D76&lt;AZ$9),"",IF($J76="里程碑","◆",""))</f>
        <v/>
      </c>
      <c r="BA76" s="8" t="str">
        <f>IF(OR($A76="",$C76="",$D76="",$C76&gt;BA$6,$D76&lt;BA$9),"",IF($J76="里程碑","◆",""))</f>
        <v/>
      </c>
      <c r="BB76" s="8" t="str">
        <f>IF(OR($A76="",$C76="",$D76="",$C76&gt;BB$6,$D76&lt;BB$9),"",IF($J76="里程碑","◆",""))</f>
        <v/>
      </c>
      <c r="BC76" s="8" t="str">
        <f>IF(OR($A76="",$C76="",$D76="",$C76&gt;BC$6,$D76&lt;BC$9),"",IF($J76="里程碑","◆",""))</f>
        <v/>
      </c>
      <c r="BD76" s="8" t="str">
        <f>IF(OR($A76="",$C76="",$D76="",$C76&gt;BD$6,$D76&lt;BD$9),"",IF($J76="里程碑","◆",""))</f>
        <v/>
      </c>
      <c r="BE76" s="8" t="str">
        <f>IF(OR($A76="",$C76="",$D76="",$C76&gt;BE$6,$D76&lt;BE$9),"",IF($J76="里程碑","◆",""))</f>
        <v/>
      </c>
      <c r="BF76" s="8" t="str">
        <f>IF(OR($A76="",$C76="",$D76="",$C76&gt;BF$6,$D76&lt;BF$9),"",IF($J76="里程碑","◆",""))</f>
        <v/>
      </c>
      <c r="BG76" s="8" t="str">
        <f>IF(OR($A76="",$C76="",$D76="",$C76&gt;BG$6,$D76&lt;BG$9),"",IF($J76="里程碑","◆",""))</f>
        <v/>
      </c>
      <c r="BH76" s="8" t="str">
        <f>IF(OR($A76="",$C76="",$D76="",$C76&gt;BH$6,$D76&lt;BH$9),"",IF($J76="里程碑","◆",""))</f>
        <v/>
      </c>
      <c r="BI76" s="8" t="str">
        <f>IF(OR($A76="",$C76="",$D76="",$C76&gt;BI$6,$D76&lt;BI$9),"",IF($J76="里程碑","◆",""))</f>
        <v/>
      </c>
      <c r="BJ76" s="8" t="str">
        <f>IF(OR($A76="",$C76="",$D76="",$C76&gt;BJ$6,$D76&lt;BJ$9),"",IF($J76="里程碑","◆",""))</f>
        <v/>
      </c>
      <c r="BK76" s="8" t="str">
        <f>IF(OR($A76="",$C76="",$D76="",$C76&gt;BK$6,$D76&lt;BK$9),"",IF($J76="里程碑","◆",""))</f>
        <v/>
      </c>
      <c r="BL76" s="8" t="str">
        <f>IF(OR($A76="",$C76="",$D76="",$C76&gt;BL$6,$D76&lt;BL$9),"",IF($J76="里程碑","◆",""))</f>
        <v/>
      </c>
      <c r="BM76" s="8" t="str">
        <f>IF(OR($A76="",$C76="",$D76="",$C76&gt;BM$6,$D76&lt;BM$9),"",IF($J76="里程碑","◆",""))</f>
        <v/>
      </c>
      <c r="BN76" s="8" t="str">
        <f>IF(OR($A76="",$C76="",$D76="",$C76&gt;BN$6,$D76&lt;BN$9),"",IF($J76="里程碑","◆",""))</f>
        <v/>
      </c>
      <c r="BO76" s="8" t="str">
        <f>IF(OR($A76="",$C76="",$D76="",$C76&gt;BO$6,$D76&lt;BO$9),"",IF($J76="里程碑","◆",""))</f>
        <v/>
      </c>
      <c r="BP76" s="8" t="str">
        <f>IF(OR($A76="",$C76="",$D76="",$C76&gt;BP$6,$D76&lt;BP$9),"",IF($J76="里程碑","◆",""))</f>
        <v/>
      </c>
      <c r="BQ76" s="8" t="str">
        <f>IF(OR($A76="",$C76="",$D76="",$C76&gt;BQ$6,$D76&lt;BQ$9),"",IF($J76="里程碑","◆",""))</f>
        <v/>
      </c>
      <c r="BR76" s="8" t="str">
        <f>IF(OR($A76="",$C76="",$D76="",$C76&gt;BR$6,$D76&lt;BR$9),"",IF($J76="里程碑","◆",""))</f>
        <v/>
      </c>
      <c r="BS76" s="8" t="str">
        <f>IF(OR($A76="",$C76="",$D76="",$C76&gt;BS$6,$D76&lt;BS$9),"",IF($J76="里程碑","◆",""))</f>
        <v/>
      </c>
      <c r="BT76" s="8" t="str">
        <f>IF(OR($A76="",$C76="",$D76="",$C76&gt;BT$6,$D76&lt;BT$9),"",IF($J76="里程碑","◆",""))</f>
        <v/>
      </c>
      <c r="BU76" s="8" t="str">
        <f>IF(OR($A76="",$C76="",$D76="",$C76&gt;BU$6,$D76&lt;BU$9),"",IF($J76="里程碑","◆",""))</f>
        <v/>
      </c>
      <c r="BV76" s="8" t="str">
        <f>IF(OR($A76="",$C76="",$D76="",$C76&gt;BV$6,$D76&lt;BV$9),"",IF($J76="里程碑","◆",""))</f>
        <v/>
      </c>
      <c r="BW76" s="8" t="str">
        <f>IF(OR($A76="",$C76="",$D76="",$C76&gt;BW$6,$D76&lt;BW$9),"",IF($J76="里程碑","◆",""))</f>
        <v/>
      </c>
      <c r="BX76" s="8" t="str">
        <f>IF(OR($A76="",$C76="",$D76="",$C76&gt;BX$6,$D76&lt;BX$9),"",IF($J76="里程碑","◆",""))</f>
        <v/>
      </c>
      <c r="BY76" s="8" t="str">
        <f>IF(OR($A76="",$C76="",$D76="",$C76&gt;BY$6,$D76&lt;BY$9),"",IF($J76="里程碑","◆",""))</f>
        <v/>
      </c>
      <c r="BZ76" s="8" t="str">
        <f>IF(OR($A76="",$C76="",$D76="",$C76&gt;BZ$6,$D76&lt;BZ$9),"",IF($J76="里程碑","◆",""))</f>
        <v/>
      </c>
      <c r="CA76" s="8" t="str">
        <f>IF(OR($A76="",$C76="",$D76="",$C76&gt;CA$6,$D76&lt;CA$9),"",IF($J76="里程碑","◆",""))</f>
        <v/>
      </c>
      <c r="CB76" s="8" t="str">
        <f>IF(OR($A76="",$C76="",$D76="",$C76&gt;CB$6,$D76&lt;CB$9),"",IF($J76="里程碑","◆",""))</f>
        <v/>
      </c>
      <c r="CC76" s="8" t="str">
        <f>IF(OR($A76="",$C76="",$D76="",$C76&gt;CC$6,$D76&lt;CC$9),"",IF($J76="里程碑","◆",""))</f>
        <v/>
      </c>
      <c r="CD76" s="8" t="str">
        <f>IF(OR($A76="",$C76="",$D76="",$C76&gt;CD$6,$D76&lt;CD$9),"",IF($J76="里程碑","◆",""))</f>
        <v/>
      </c>
      <c r="CE76" s="8" t="str">
        <f>IF(OR($A76="",$C76="",$D76="",$C76&gt;CE$6,$D76&lt;CE$9),"",IF($J76="里程碑","◆",""))</f>
        <v/>
      </c>
      <c r="CF76" s="8" t="str">
        <f>IF(OR($A76="",$C76="",$D76="",$C76&gt;CF$6,$D76&lt;CF$9),"",IF($J76="里程碑","◆",""))</f>
        <v/>
      </c>
      <c r="CG76" s="8" t="str">
        <f>IF(OR($A76="",$C76="",$D76="",$C76&gt;CG$6,$D76&lt;CG$9),"",IF($J76="里程碑","◆",""))</f>
        <v/>
      </c>
      <c r="CH76" s="8" t="str">
        <f>IF(OR($A76="",$C76="",$D76="",$C76&gt;CH$6,$D76&lt;CH$9),"",IF($J76="里程碑","◆",""))</f>
        <v/>
      </c>
      <c r="CI76" s="8" t="str">
        <f>IF(OR($A76="",$C76="",$D76="",$C76&gt;CI$6,$D76&lt;CI$9),"",IF($J76="里程碑","◆",""))</f>
        <v/>
      </c>
      <c r="CJ76" s="8" t="str">
        <f>IF(OR($A76="",$C76="",$D76="",$C76&gt;CJ$6,$D76&lt;CJ$9),"",IF($J76="里程碑","◆",""))</f>
        <v/>
      </c>
      <c r="CK76" s="8" t="str">
        <f>IF(OR($A76="",$C76="",$D76="",$C76&gt;CK$6,$D76&lt;CK$9),"",IF($J76="里程碑","◆",""))</f>
        <v/>
      </c>
      <c r="CL76" s="8" t="str">
        <f>IF(OR($A76="",$C76="",$D76="",$C76&gt;CL$6,$D76&lt;CL$9),"",IF($J76="里程碑","◆",""))</f>
        <v/>
      </c>
      <c r="CM76" s="8" t="str">
        <f>IF(OR($A76="",$C76="",$D76="",$C76&gt;CM$6,$D76&lt;CM$9),"",IF($J76="里程碑","◆",""))</f>
        <v/>
      </c>
      <c r="CN76" s="8" t="str">
        <f>IF(OR($A76="",$C76="",$D76="",$C76&gt;CN$6,$D76&lt;CN$9),"",IF($J76="里程碑","◆",""))</f>
        <v/>
      </c>
      <c r="CO76" s="8" t="str">
        <f>IF(OR($A76="",$C76="",$D76="",$C76&gt;CO$6,$D76&lt;CO$9),"",IF($J76="里程碑","◆",""))</f>
        <v/>
      </c>
      <c r="CP76" s="8" t="str">
        <f>IF(OR($A76="",$C76="",$D76="",$C76&gt;CP$6,$D76&lt;CP$9),"",IF($J76="里程碑","◆",""))</f>
        <v/>
      </c>
      <c r="CQ76" s="8" t="str">
        <f>IF(OR($A76="",$C76="",$D76="",$C76&gt;CQ$6,$D76&lt;CQ$9),"",IF($J76="里程碑","◆",""))</f>
        <v/>
      </c>
      <c r="CR76" s="8" t="str">
        <f>IF(OR($A76="",$C76="",$D76="",$C76&gt;CR$6,$D76&lt;CR$9),"",IF($J76="里程碑","◆",""))</f>
        <v/>
      </c>
      <c r="CS76" s="8" t="str">
        <f>IF(OR($A76="",$C76="",$D76="",$C76&gt;CS$6,$D76&lt;CS$9),"",IF($J76="里程碑","◆",""))</f>
        <v/>
      </c>
      <c r="CT76" s="8" t="str">
        <f>IF(OR($A76="",$C76="",$D76="",$C76&gt;CT$6,$D76&lt;CT$9),"",IF($J76="里程碑","◆",""))</f>
        <v/>
      </c>
      <c r="CU76" s="8" t="str">
        <f>IF(OR($A76="",$C76="",$D76="",$C76&gt;CU$6,$D76&lt;CU$9),"",IF($J76="里程碑","◆",""))</f>
        <v/>
      </c>
      <c r="CV76" s="8" t="str">
        <f>IF(OR($A76="",$C76="",$D76="",$C76&gt;CV$6,$D76&lt;CV$9),"",IF($J76="里程碑","◆",""))</f>
        <v/>
      </c>
      <c r="CW76" s="8" t="str">
        <f>IF(OR($A76="",$C76="",$D76="",$C76&gt;CW$6,$D76&lt;CW$9),"",IF($J76="里程碑","◆",""))</f>
        <v/>
      </c>
      <c r="CX76" s="8" t="str">
        <f>IF(OR($A76="",$C76="",$D76="",$C76&gt;CX$6,$D76&lt;CX$9),"",IF($J76="里程碑","◆",""))</f>
        <v/>
      </c>
      <c r="CY76" s="8" t="str">
        <f>IF(OR($A76="",$C76="",$D76="",$C76&gt;CY$6,$D76&lt;CY$9),"",IF($J76="里程碑","◆",""))</f>
        <v/>
      </c>
      <c r="CZ76" s="8" t="str">
        <f>IF(OR($A76="",$C76="",$D76="",$C76&gt;CZ$6,$D76&lt;CZ$9),"",IF($J76="里程碑","◆",""))</f>
        <v/>
      </c>
      <c r="DA76" s="8" t="str">
        <f>IF(OR($A76="",$C76="",$D76="",$C76&gt;DA$6,$D76&lt;DA$9),"",IF($J76="里程碑","◆",""))</f>
        <v/>
      </c>
      <c r="DB76" s="8" t="str">
        <f>IF(OR($A76="",$C76="",$D76="",$C76&gt;DB$6,$D76&lt;DB$9),"",IF($J76="里程碑","◆",""))</f>
        <v/>
      </c>
      <c r="DC76" s="1" t="str">
        <f>IF(ROW()-9&gt;$DH$3,"",MATCH(ROW()-9,排期计算!$U$10:$U$109,0))</f>
        <v/>
      </c>
      <c r="DD76" s="1" t="str">
        <f>IF($DC76="","",INDEX(排期计算!$L$10:$L$109,$DC76))</f>
        <v/>
      </c>
      <c r="DE76" s="1"/>
      <c r="DF76" s="1"/>
      <c r="DG76" s="1"/>
      <c r="DH76" s="1"/>
      <c r="DI76" s="1"/>
      <c r="DJ76" s="1"/>
      <c r="DK76" s="1"/>
    </row>
    <row r="77" spans="1:115" ht="24.95" customHeight="1">
      <c r="A77" s="9" t="str">
        <f>IF($DC77="","",IF(AND(INDEX(排期计算!$A$10:$A$109,$DC77)="",NOT(ISNUMBER(INDEX(排期计算!$A$10:$A$109,$DC77)))),"",INDEX(排期计算!$A$10:$A$109,$DC77)))</f>
        <v/>
      </c>
      <c r="B77" s="1" t="str">
        <f>IF($DC77="","",REPT("　",$DD77-1)&amp;INDEX(排期计算!$B$10:$B$109,$DC77))</f>
        <v/>
      </c>
      <c r="C77" s="3" t="str">
        <f>IF($DC77="","",IF(AND(INDEX(排期计算!$M$10:$M$109,$DC77)="",NOT(ISNUMBER(INDEX(排期计算!$M$10:$M$109,$DC77)))),"",INDEX(排期计算!$M$10:$M$109,$DC77)))</f>
        <v/>
      </c>
      <c r="D77" s="3" t="str">
        <f>IF($DC77="","",IF(AND(INDEX(排期计算!$N$10:$N$109,$DC77)="",NOT(ISNUMBER(INDEX(排期计算!$N$10:$N$109,$DC77)))),"",INDEX(排期计算!$N$10:$N$109,$DC77)))</f>
        <v/>
      </c>
      <c r="E77" s="1" t="str">
        <f>IF(OR($C77="",$D77=""),"",IF($J77="里程碑",0,NETWORKDAYS($C77,$D77)))</f>
        <v/>
      </c>
      <c r="F77" s="7" t="str">
        <f>IF($DC77="","",IF(AND(INDEX(排期计算!$O$10:$O$109,$DC77)="",NOT(ISNUMBER(INDEX(排期计算!$O$10:$O$109,$DC77)))),"",INDEX(排期计算!$O$10:$O$109,$DC77)))</f>
        <v/>
      </c>
      <c r="G77" s="8" t="str">
        <f>IF($A77="","",IF(OR($C77="",$D77=""),"未排期",IF($F77&gt;=1,"已完成",IF($D77&lt;$B$4,"逾期",IF($C77&gt;$B$4,"未开始","进行中")))))</f>
        <v/>
      </c>
      <c r="H77" s="1" t="str">
        <f>IF($DC77="","",IF(AND(INDEX(排期计算!$C$10:$C$109,$DC77)="",NOT(ISNUMBER(INDEX(排期计算!$C$10:$C$109,$DC77)))),"",INDEX(排期计算!$C$10:$C$109,$DC77)))</f>
        <v/>
      </c>
      <c r="I77" s="1" t="str">
        <f>IF($DC77="","",IF(AND(INDEX(排期计算!$H$10:$H$109,$DC77)="",NOT(ISNUMBER(INDEX(排期计算!$H$10:$H$109,$DC77)))),"",INDEX(排期计算!$H$10:$H$109,$DC77)))</f>
        <v/>
      </c>
      <c r="J77" s="1" t="str">
        <f>IF($DC77="","",IF(AND(INDEX(排期计算!$K$10:$K$109,$DC77)="",NOT(ISNUMBER(INDEX(排期计算!$K$10:$K$109,$DC77)))),"",INDEX(排期计算!$K$10:$K$109,$DC77)))</f>
        <v/>
      </c>
      <c r="K77" s="8" t="str">
        <f>IF(OR($A77="",$C77="",$D77="",$C77&gt;K$6,$D77&lt;K$9),"",IF($J77="里程碑","◆",""))</f>
        <v/>
      </c>
      <c r="L77" s="8" t="str">
        <f>IF(OR($A77="",$C77="",$D77="",$C77&gt;L$6,$D77&lt;L$9),"",IF($J77="里程碑","◆",""))</f>
        <v/>
      </c>
      <c r="M77" s="8" t="str">
        <f>IF(OR($A77="",$C77="",$D77="",$C77&gt;M$6,$D77&lt;M$9),"",IF($J77="里程碑","◆",""))</f>
        <v/>
      </c>
      <c r="N77" s="8" t="str">
        <f>IF(OR($A77="",$C77="",$D77="",$C77&gt;N$6,$D77&lt;N$9),"",IF($J77="里程碑","◆",""))</f>
        <v/>
      </c>
      <c r="O77" s="8" t="str">
        <f>IF(OR($A77="",$C77="",$D77="",$C77&gt;O$6,$D77&lt;O$9),"",IF($J77="里程碑","◆",""))</f>
        <v/>
      </c>
      <c r="P77" s="8" t="str">
        <f>IF(OR($A77="",$C77="",$D77="",$C77&gt;P$6,$D77&lt;P$9),"",IF($J77="里程碑","◆",""))</f>
        <v/>
      </c>
      <c r="Q77" s="8" t="str">
        <f>IF(OR($A77="",$C77="",$D77="",$C77&gt;Q$6,$D77&lt;Q$9),"",IF($J77="里程碑","◆",""))</f>
        <v/>
      </c>
      <c r="R77" s="8" t="str">
        <f>IF(OR($A77="",$C77="",$D77="",$C77&gt;R$6,$D77&lt;R$9),"",IF($J77="里程碑","◆",""))</f>
        <v/>
      </c>
      <c r="S77" s="8" t="str">
        <f>IF(OR($A77="",$C77="",$D77="",$C77&gt;S$6,$D77&lt;S$9),"",IF($J77="里程碑","◆",""))</f>
        <v/>
      </c>
      <c r="T77" s="8" t="str">
        <f>IF(OR($A77="",$C77="",$D77="",$C77&gt;T$6,$D77&lt;T$9),"",IF($J77="里程碑","◆",""))</f>
        <v/>
      </c>
      <c r="U77" s="8" t="str">
        <f>IF(OR($A77="",$C77="",$D77="",$C77&gt;U$6,$D77&lt;U$9),"",IF($J77="里程碑","◆",""))</f>
        <v/>
      </c>
      <c r="V77" s="8" t="str">
        <f>IF(OR($A77="",$C77="",$D77="",$C77&gt;V$6,$D77&lt;V$9),"",IF($J77="里程碑","◆",""))</f>
        <v/>
      </c>
      <c r="W77" s="8" t="str">
        <f>IF(OR($A77="",$C77="",$D77="",$C77&gt;W$6,$D77&lt;W$9),"",IF($J77="里程碑","◆",""))</f>
        <v/>
      </c>
      <c r="X77" s="8" t="str">
        <f>IF(OR($A77="",$C77="",$D77="",$C77&gt;X$6,$D77&lt;X$9),"",IF($J77="里程碑","◆",""))</f>
        <v/>
      </c>
      <c r="Y77" s="8" t="str">
        <f>IF(OR($A77="",$C77="",$D77="",$C77&gt;Y$6,$D77&lt;Y$9),"",IF($J77="里程碑","◆",""))</f>
        <v/>
      </c>
      <c r="Z77" s="8" t="str">
        <f>IF(OR($A77="",$C77="",$D77="",$C77&gt;Z$6,$D77&lt;Z$9),"",IF($J77="里程碑","◆",""))</f>
        <v/>
      </c>
      <c r="AA77" s="8" t="str">
        <f>IF(OR($A77="",$C77="",$D77="",$C77&gt;AA$6,$D77&lt;AA$9),"",IF($J77="里程碑","◆",""))</f>
        <v/>
      </c>
      <c r="AB77" s="8" t="str">
        <f>IF(OR($A77="",$C77="",$D77="",$C77&gt;AB$6,$D77&lt;AB$9),"",IF($J77="里程碑","◆",""))</f>
        <v/>
      </c>
      <c r="AC77" s="8" t="str">
        <f>IF(OR($A77="",$C77="",$D77="",$C77&gt;AC$6,$D77&lt;AC$9),"",IF($J77="里程碑","◆",""))</f>
        <v/>
      </c>
      <c r="AD77" s="8" t="str">
        <f>IF(OR($A77="",$C77="",$D77="",$C77&gt;AD$6,$D77&lt;AD$9),"",IF($J77="里程碑","◆",""))</f>
        <v/>
      </c>
      <c r="AE77" s="8" t="str">
        <f>IF(OR($A77="",$C77="",$D77="",$C77&gt;AE$6,$D77&lt;AE$9),"",IF($J77="里程碑","◆",""))</f>
        <v/>
      </c>
      <c r="AF77" s="8" t="str">
        <f>IF(OR($A77="",$C77="",$D77="",$C77&gt;AF$6,$D77&lt;AF$9),"",IF($J77="里程碑","◆",""))</f>
        <v/>
      </c>
      <c r="AG77" s="8" t="str">
        <f>IF(OR($A77="",$C77="",$D77="",$C77&gt;AG$6,$D77&lt;AG$9),"",IF($J77="里程碑","◆",""))</f>
        <v/>
      </c>
      <c r="AH77" s="8" t="str">
        <f>IF(OR($A77="",$C77="",$D77="",$C77&gt;AH$6,$D77&lt;AH$9),"",IF($J77="里程碑","◆",""))</f>
        <v/>
      </c>
      <c r="AI77" s="8" t="str">
        <f>IF(OR($A77="",$C77="",$D77="",$C77&gt;AI$6,$D77&lt;AI$9),"",IF($J77="里程碑","◆",""))</f>
        <v/>
      </c>
      <c r="AJ77" s="8" t="str">
        <f>IF(OR($A77="",$C77="",$D77="",$C77&gt;AJ$6,$D77&lt;AJ$9),"",IF($J77="里程碑","◆",""))</f>
        <v/>
      </c>
      <c r="AK77" s="8" t="str">
        <f>IF(OR($A77="",$C77="",$D77="",$C77&gt;AK$6,$D77&lt;AK$9),"",IF($J77="里程碑","◆",""))</f>
        <v/>
      </c>
      <c r="AL77" s="8" t="str">
        <f>IF(OR($A77="",$C77="",$D77="",$C77&gt;AL$6,$D77&lt;AL$9),"",IF($J77="里程碑","◆",""))</f>
        <v/>
      </c>
      <c r="AM77" s="8" t="str">
        <f>IF(OR($A77="",$C77="",$D77="",$C77&gt;AM$6,$D77&lt;AM$9),"",IF($J77="里程碑","◆",""))</f>
        <v/>
      </c>
      <c r="AN77" s="8" t="str">
        <f>IF(OR($A77="",$C77="",$D77="",$C77&gt;AN$6,$D77&lt;AN$9),"",IF($J77="里程碑","◆",""))</f>
        <v/>
      </c>
      <c r="AO77" s="8" t="str">
        <f>IF(OR($A77="",$C77="",$D77="",$C77&gt;AO$6,$D77&lt;AO$9),"",IF($J77="里程碑","◆",""))</f>
        <v/>
      </c>
      <c r="AP77" s="8" t="str">
        <f>IF(OR($A77="",$C77="",$D77="",$C77&gt;AP$6,$D77&lt;AP$9),"",IF($J77="里程碑","◆",""))</f>
        <v/>
      </c>
      <c r="AQ77" s="8" t="str">
        <f>IF(OR($A77="",$C77="",$D77="",$C77&gt;AQ$6,$D77&lt;AQ$9),"",IF($J77="里程碑","◆",""))</f>
        <v/>
      </c>
      <c r="AR77" s="8" t="str">
        <f>IF(OR($A77="",$C77="",$D77="",$C77&gt;AR$6,$D77&lt;AR$9),"",IF($J77="里程碑","◆",""))</f>
        <v/>
      </c>
      <c r="AS77" s="8" t="str">
        <f>IF(OR($A77="",$C77="",$D77="",$C77&gt;AS$6,$D77&lt;AS$9),"",IF($J77="里程碑","◆",""))</f>
        <v/>
      </c>
      <c r="AT77" s="8" t="str">
        <f>IF(OR($A77="",$C77="",$D77="",$C77&gt;AT$6,$D77&lt;AT$9),"",IF($J77="里程碑","◆",""))</f>
        <v/>
      </c>
      <c r="AU77" s="8" t="str">
        <f>IF(OR($A77="",$C77="",$D77="",$C77&gt;AU$6,$D77&lt;AU$9),"",IF($J77="里程碑","◆",""))</f>
        <v/>
      </c>
      <c r="AV77" s="8" t="str">
        <f>IF(OR($A77="",$C77="",$D77="",$C77&gt;AV$6,$D77&lt;AV$9),"",IF($J77="里程碑","◆",""))</f>
        <v/>
      </c>
      <c r="AW77" s="8" t="str">
        <f>IF(OR($A77="",$C77="",$D77="",$C77&gt;AW$6,$D77&lt;AW$9),"",IF($J77="里程碑","◆",""))</f>
        <v/>
      </c>
      <c r="AX77" s="8" t="str">
        <f>IF(OR($A77="",$C77="",$D77="",$C77&gt;AX$6,$D77&lt;AX$9),"",IF($J77="里程碑","◆",""))</f>
        <v/>
      </c>
      <c r="AY77" s="8" t="str">
        <f>IF(OR($A77="",$C77="",$D77="",$C77&gt;AY$6,$D77&lt;AY$9),"",IF($J77="里程碑","◆",""))</f>
        <v/>
      </c>
      <c r="AZ77" s="8" t="str">
        <f>IF(OR($A77="",$C77="",$D77="",$C77&gt;AZ$6,$D77&lt;AZ$9),"",IF($J77="里程碑","◆",""))</f>
        <v/>
      </c>
      <c r="BA77" s="8" t="str">
        <f>IF(OR($A77="",$C77="",$D77="",$C77&gt;BA$6,$D77&lt;BA$9),"",IF($J77="里程碑","◆",""))</f>
        <v/>
      </c>
      <c r="BB77" s="8" t="str">
        <f>IF(OR($A77="",$C77="",$D77="",$C77&gt;BB$6,$D77&lt;BB$9),"",IF($J77="里程碑","◆",""))</f>
        <v/>
      </c>
      <c r="BC77" s="8" t="str">
        <f>IF(OR($A77="",$C77="",$D77="",$C77&gt;BC$6,$D77&lt;BC$9),"",IF($J77="里程碑","◆",""))</f>
        <v/>
      </c>
      <c r="BD77" s="8" t="str">
        <f>IF(OR($A77="",$C77="",$D77="",$C77&gt;BD$6,$D77&lt;BD$9),"",IF($J77="里程碑","◆",""))</f>
        <v/>
      </c>
      <c r="BE77" s="8" t="str">
        <f>IF(OR($A77="",$C77="",$D77="",$C77&gt;BE$6,$D77&lt;BE$9),"",IF($J77="里程碑","◆",""))</f>
        <v/>
      </c>
      <c r="BF77" s="8" t="str">
        <f>IF(OR($A77="",$C77="",$D77="",$C77&gt;BF$6,$D77&lt;BF$9),"",IF($J77="里程碑","◆",""))</f>
        <v/>
      </c>
      <c r="BG77" s="8" t="str">
        <f>IF(OR($A77="",$C77="",$D77="",$C77&gt;BG$6,$D77&lt;BG$9),"",IF($J77="里程碑","◆",""))</f>
        <v/>
      </c>
      <c r="BH77" s="8" t="str">
        <f>IF(OR($A77="",$C77="",$D77="",$C77&gt;BH$6,$D77&lt;BH$9),"",IF($J77="里程碑","◆",""))</f>
        <v/>
      </c>
      <c r="BI77" s="8" t="str">
        <f>IF(OR($A77="",$C77="",$D77="",$C77&gt;BI$6,$D77&lt;BI$9),"",IF($J77="里程碑","◆",""))</f>
        <v/>
      </c>
      <c r="BJ77" s="8" t="str">
        <f>IF(OR($A77="",$C77="",$D77="",$C77&gt;BJ$6,$D77&lt;BJ$9),"",IF($J77="里程碑","◆",""))</f>
        <v/>
      </c>
      <c r="BK77" s="8" t="str">
        <f>IF(OR($A77="",$C77="",$D77="",$C77&gt;BK$6,$D77&lt;BK$9),"",IF($J77="里程碑","◆",""))</f>
        <v/>
      </c>
      <c r="BL77" s="8" t="str">
        <f>IF(OR($A77="",$C77="",$D77="",$C77&gt;BL$6,$D77&lt;BL$9),"",IF($J77="里程碑","◆",""))</f>
        <v/>
      </c>
      <c r="BM77" s="8" t="str">
        <f>IF(OR($A77="",$C77="",$D77="",$C77&gt;BM$6,$D77&lt;BM$9),"",IF($J77="里程碑","◆",""))</f>
        <v/>
      </c>
      <c r="BN77" s="8" t="str">
        <f>IF(OR($A77="",$C77="",$D77="",$C77&gt;BN$6,$D77&lt;BN$9),"",IF($J77="里程碑","◆",""))</f>
        <v/>
      </c>
      <c r="BO77" s="8" t="str">
        <f>IF(OR($A77="",$C77="",$D77="",$C77&gt;BO$6,$D77&lt;BO$9),"",IF($J77="里程碑","◆",""))</f>
        <v/>
      </c>
      <c r="BP77" s="8" t="str">
        <f>IF(OR($A77="",$C77="",$D77="",$C77&gt;BP$6,$D77&lt;BP$9),"",IF($J77="里程碑","◆",""))</f>
        <v/>
      </c>
      <c r="BQ77" s="8" t="str">
        <f>IF(OR($A77="",$C77="",$D77="",$C77&gt;BQ$6,$D77&lt;BQ$9),"",IF($J77="里程碑","◆",""))</f>
        <v/>
      </c>
      <c r="BR77" s="8" t="str">
        <f>IF(OR($A77="",$C77="",$D77="",$C77&gt;BR$6,$D77&lt;BR$9),"",IF($J77="里程碑","◆",""))</f>
        <v/>
      </c>
      <c r="BS77" s="8" t="str">
        <f>IF(OR($A77="",$C77="",$D77="",$C77&gt;BS$6,$D77&lt;BS$9),"",IF($J77="里程碑","◆",""))</f>
        <v/>
      </c>
      <c r="BT77" s="8" t="str">
        <f>IF(OR($A77="",$C77="",$D77="",$C77&gt;BT$6,$D77&lt;BT$9),"",IF($J77="里程碑","◆",""))</f>
        <v/>
      </c>
      <c r="BU77" s="8" t="str">
        <f>IF(OR($A77="",$C77="",$D77="",$C77&gt;BU$6,$D77&lt;BU$9),"",IF($J77="里程碑","◆",""))</f>
        <v/>
      </c>
      <c r="BV77" s="8" t="str">
        <f>IF(OR($A77="",$C77="",$D77="",$C77&gt;BV$6,$D77&lt;BV$9),"",IF($J77="里程碑","◆",""))</f>
        <v/>
      </c>
      <c r="BW77" s="8" t="str">
        <f>IF(OR($A77="",$C77="",$D77="",$C77&gt;BW$6,$D77&lt;BW$9),"",IF($J77="里程碑","◆",""))</f>
        <v/>
      </c>
      <c r="BX77" s="8" t="str">
        <f>IF(OR($A77="",$C77="",$D77="",$C77&gt;BX$6,$D77&lt;BX$9),"",IF($J77="里程碑","◆",""))</f>
        <v/>
      </c>
      <c r="BY77" s="8" t="str">
        <f>IF(OR($A77="",$C77="",$D77="",$C77&gt;BY$6,$D77&lt;BY$9),"",IF($J77="里程碑","◆",""))</f>
        <v/>
      </c>
      <c r="BZ77" s="8" t="str">
        <f>IF(OR($A77="",$C77="",$D77="",$C77&gt;BZ$6,$D77&lt;BZ$9),"",IF($J77="里程碑","◆",""))</f>
        <v/>
      </c>
      <c r="CA77" s="8" t="str">
        <f>IF(OR($A77="",$C77="",$D77="",$C77&gt;CA$6,$D77&lt;CA$9),"",IF($J77="里程碑","◆",""))</f>
        <v/>
      </c>
      <c r="CB77" s="8" t="str">
        <f>IF(OR($A77="",$C77="",$D77="",$C77&gt;CB$6,$D77&lt;CB$9),"",IF($J77="里程碑","◆",""))</f>
        <v/>
      </c>
      <c r="CC77" s="8" t="str">
        <f>IF(OR($A77="",$C77="",$D77="",$C77&gt;CC$6,$D77&lt;CC$9),"",IF($J77="里程碑","◆",""))</f>
        <v/>
      </c>
      <c r="CD77" s="8" t="str">
        <f>IF(OR($A77="",$C77="",$D77="",$C77&gt;CD$6,$D77&lt;CD$9),"",IF($J77="里程碑","◆",""))</f>
        <v/>
      </c>
      <c r="CE77" s="8" t="str">
        <f>IF(OR($A77="",$C77="",$D77="",$C77&gt;CE$6,$D77&lt;CE$9),"",IF($J77="里程碑","◆",""))</f>
        <v/>
      </c>
      <c r="CF77" s="8" t="str">
        <f>IF(OR($A77="",$C77="",$D77="",$C77&gt;CF$6,$D77&lt;CF$9),"",IF($J77="里程碑","◆",""))</f>
        <v/>
      </c>
      <c r="CG77" s="8" t="str">
        <f>IF(OR($A77="",$C77="",$D77="",$C77&gt;CG$6,$D77&lt;CG$9),"",IF($J77="里程碑","◆",""))</f>
        <v/>
      </c>
      <c r="CH77" s="8" t="str">
        <f>IF(OR($A77="",$C77="",$D77="",$C77&gt;CH$6,$D77&lt;CH$9),"",IF($J77="里程碑","◆",""))</f>
        <v/>
      </c>
      <c r="CI77" s="8" t="str">
        <f>IF(OR($A77="",$C77="",$D77="",$C77&gt;CI$6,$D77&lt;CI$9),"",IF($J77="里程碑","◆",""))</f>
        <v/>
      </c>
      <c r="CJ77" s="8" t="str">
        <f>IF(OR($A77="",$C77="",$D77="",$C77&gt;CJ$6,$D77&lt;CJ$9),"",IF($J77="里程碑","◆",""))</f>
        <v/>
      </c>
      <c r="CK77" s="8" t="str">
        <f>IF(OR($A77="",$C77="",$D77="",$C77&gt;CK$6,$D77&lt;CK$9),"",IF($J77="里程碑","◆",""))</f>
        <v/>
      </c>
      <c r="CL77" s="8" t="str">
        <f>IF(OR($A77="",$C77="",$D77="",$C77&gt;CL$6,$D77&lt;CL$9),"",IF($J77="里程碑","◆",""))</f>
        <v/>
      </c>
      <c r="CM77" s="8" t="str">
        <f>IF(OR($A77="",$C77="",$D77="",$C77&gt;CM$6,$D77&lt;CM$9),"",IF($J77="里程碑","◆",""))</f>
        <v/>
      </c>
      <c r="CN77" s="8" t="str">
        <f>IF(OR($A77="",$C77="",$D77="",$C77&gt;CN$6,$D77&lt;CN$9),"",IF($J77="里程碑","◆",""))</f>
        <v/>
      </c>
      <c r="CO77" s="8" t="str">
        <f>IF(OR($A77="",$C77="",$D77="",$C77&gt;CO$6,$D77&lt;CO$9),"",IF($J77="里程碑","◆",""))</f>
        <v/>
      </c>
      <c r="CP77" s="8" t="str">
        <f>IF(OR($A77="",$C77="",$D77="",$C77&gt;CP$6,$D77&lt;CP$9),"",IF($J77="里程碑","◆",""))</f>
        <v/>
      </c>
      <c r="CQ77" s="8" t="str">
        <f>IF(OR($A77="",$C77="",$D77="",$C77&gt;CQ$6,$D77&lt;CQ$9),"",IF($J77="里程碑","◆",""))</f>
        <v/>
      </c>
      <c r="CR77" s="8" t="str">
        <f>IF(OR($A77="",$C77="",$D77="",$C77&gt;CR$6,$D77&lt;CR$9),"",IF($J77="里程碑","◆",""))</f>
        <v/>
      </c>
      <c r="CS77" s="8" t="str">
        <f>IF(OR($A77="",$C77="",$D77="",$C77&gt;CS$6,$D77&lt;CS$9),"",IF($J77="里程碑","◆",""))</f>
        <v/>
      </c>
      <c r="CT77" s="8" t="str">
        <f>IF(OR($A77="",$C77="",$D77="",$C77&gt;CT$6,$D77&lt;CT$9),"",IF($J77="里程碑","◆",""))</f>
        <v/>
      </c>
      <c r="CU77" s="8" t="str">
        <f>IF(OR($A77="",$C77="",$D77="",$C77&gt;CU$6,$D77&lt;CU$9),"",IF($J77="里程碑","◆",""))</f>
        <v/>
      </c>
      <c r="CV77" s="8" t="str">
        <f>IF(OR($A77="",$C77="",$D77="",$C77&gt;CV$6,$D77&lt;CV$9),"",IF($J77="里程碑","◆",""))</f>
        <v/>
      </c>
      <c r="CW77" s="8" t="str">
        <f>IF(OR($A77="",$C77="",$D77="",$C77&gt;CW$6,$D77&lt;CW$9),"",IF($J77="里程碑","◆",""))</f>
        <v/>
      </c>
      <c r="CX77" s="8" t="str">
        <f>IF(OR($A77="",$C77="",$D77="",$C77&gt;CX$6,$D77&lt;CX$9),"",IF($J77="里程碑","◆",""))</f>
        <v/>
      </c>
      <c r="CY77" s="8" t="str">
        <f>IF(OR($A77="",$C77="",$D77="",$C77&gt;CY$6,$D77&lt;CY$9),"",IF($J77="里程碑","◆",""))</f>
        <v/>
      </c>
      <c r="CZ77" s="8" t="str">
        <f>IF(OR($A77="",$C77="",$D77="",$C77&gt;CZ$6,$D77&lt;CZ$9),"",IF($J77="里程碑","◆",""))</f>
        <v/>
      </c>
      <c r="DA77" s="8" t="str">
        <f>IF(OR($A77="",$C77="",$D77="",$C77&gt;DA$6,$D77&lt;DA$9),"",IF($J77="里程碑","◆",""))</f>
        <v/>
      </c>
      <c r="DB77" s="8" t="str">
        <f>IF(OR($A77="",$C77="",$D77="",$C77&gt;DB$6,$D77&lt;DB$9),"",IF($J77="里程碑","◆",""))</f>
        <v/>
      </c>
      <c r="DC77" s="1" t="str">
        <f>IF(ROW()-9&gt;$DH$3,"",MATCH(ROW()-9,排期计算!$U$10:$U$109,0))</f>
        <v/>
      </c>
      <c r="DD77" s="1" t="str">
        <f>IF($DC77="","",INDEX(排期计算!$L$10:$L$109,$DC77))</f>
        <v/>
      </c>
      <c r="DE77" s="1"/>
      <c r="DF77" s="1"/>
      <c r="DG77" s="1"/>
      <c r="DH77" s="1"/>
      <c r="DI77" s="1"/>
      <c r="DJ77" s="1"/>
      <c r="DK77" s="1"/>
    </row>
    <row r="78" spans="1:115" ht="24.95" customHeight="1">
      <c r="A78" s="9" t="str">
        <f>IF($DC78="","",IF(AND(INDEX(排期计算!$A$10:$A$109,$DC78)="",NOT(ISNUMBER(INDEX(排期计算!$A$10:$A$109,$DC78)))),"",INDEX(排期计算!$A$10:$A$109,$DC78)))</f>
        <v/>
      </c>
      <c r="B78" s="1" t="str">
        <f>IF($DC78="","",REPT("　",$DD78-1)&amp;INDEX(排期计算!$B$10:$B$109,$DC78))</f>
        <v/>
      </c>
      <c r="C78" s="3" t="str">
        <f>IF($DC78="","",IF(AND(INDEX(排期计算!$M$10:$M$109,$DC78)="",NOT(ISNUMBER(INDEX(排期计算!$M$10:$M$109,$DC78)))),"",INDEX(排期计算!$M$10:$M$109,$DC78)))</f>
        <v/>
      </c>
      <c r="D78" s="3" t="str">
        <f>IF($DC78="","",IF(AND(INDEX(排期计算!$N$10:$N$109,$DC78)="",NOT(ISNUMBER(INDEX(排期计算!$N$10:$N$109,$DC78)))),"",INDEX(排期计算!$N$10:$N$109,$DC78)))</f>
        <v/>
      </c>
      <c r="E78" s="1" t="str">
        <f>IF(OR($C78="",$D78=""),"",IF($J78="里程碑",0,NETWORKDAYS($C78,$D78)))</f>
        <v/>
      </c>
      <c r="F78" s="7" t="str">
        <f>IF($DC78="","",IF(AND(INDEX(排期计算!$O$10:$O$109,$DC78)="",NOT(ISNUMBER(INDEX(排期计算!$O$10:$O$109,$DC78)))),"",INDEX(排期计算!$O$10:$O$109,$DC78)))</f>
        <v/>
      </c>
      <c r="G78" s="8" t="str">
        <f>IF($A78="","",IF(OR($C78="",$D78=""),"未排期",IF($F78&gt;=1,"已完成",IF($D78&lt;$B$4,"逾期",IF($C78&gt;$B$4,"未开始","进行中")))))</f>
        <v/>
      </c>
      <c r="H78" s="1" t="str">
        <f>IF($DC78="","",IF(AND(INDEX(排期计算!$C$10:$C$109,$DC78)="",NOT(ISNUMBER(INDEX(排期计算!$C$10:$C$109,$DC78)))),"",INDEX(排期计算!$C$10:$C$109,$DC78)))</f>
        <v/>
      </c>
      <c r="I78" s="1" t="str">
        <f>IF($DC78="","",IF(AND(INDEX(排期计算!$H$10:$H$109,$DC78)="",NOT(ISNUMBER(INDEX(排期计算!$H$10:$H$109,$DC78)))),"",INDEX(排期计算!$H$10:$H$109,$DC78)))</f>
        <v/>
      </c>
      <c r="J78" s="1" t="str">
        <f>IF($DC78="","",IF(AND(INDEX(排期计算!$K$10:$K$109,$DC78)="",NOT(ISNUMBER(INDEX(排期计算!$K$10:$K$109,$DC78)))),"",INDEX(排期计算!$K$10:$K$109,$DC78)))</f>
        <v/>
      </c>
      <c r="K78" s="8" t="str">
        <f>IF(OR($A78="",$C78="",$D78="",$C78&gt;K$6,$D78&lt;K$9),"",IF($J78="里程碑","◆",""))</f>
        <v/>
      </c>
      <c r="L78" s="8" t="str">
        <f>IF(OR($A78="",$C78="",$D78="",$C78&gt;L$6,$D78&lt;L$9),"",IF($J78="里程碑","◆",""))</f>
        <v/>
      </c>
      <c r="M78" s="8" t="str">
        <f>IF(OR($A78="",$C78="",$D78="",$C78&gt;M$6,$D78&lt;M$9),"",IF($J78="里程碑","◆",""))</f>
        <v/>
      </c>
      <c r="N78" s="8" t="str">
        <f>IF(OR($A78="",$C78="",$D78="",$C78&gt;N$6,$D78&lt;N$9),"",IF($J78="里程碑","◆",""))</f>
        <v/>
      </c>
      <c r="O78" s="8" t="str">
        <f>IF(OR($A78="",$C78="",$D78="",$C78&gt;O$6,$D78&lt;O$9),"",IF($J78="里程碑","◆",""))</f>
        <v/>
      </c>
      <c r="P78" s="8" t="str">
        <f>IF(OR($A78="",$C78="",$D78="",$C78&gt;P$6,$D78&lt;P$9),"",IF($J78="里程碑","◆",""))</f>
        <v/>
      </c>
      <c r="Q78" s="8" t="str">
        <f>IF(OR($A78="",$C78="",$D78="",$C78&gt;Q$6,$D78&lt;Q$9),"",IF($J78="里程碑","◆",""))</f>
        <v/>
      </c>
      <c r="R78" s="8" t="str">
        <f>IF(OR($A78="",$C78="",$D78="",$C78&gt;R$6,$D78&lt;R$9),"",IF($J78="里程碑","◆",""))</f>
        <v/>
      </c>
      <c r="S78" s="8" t="str">
        <f>IF(OR($A78="",$C78="",$D78="",$C78&gt;S$6,$D78&lt;S$9),"",IF($J78="里程碑","◆",""))</f>
        <v/>
      </c>
      <c r="T78" s="8" t="str">
        <f>IF(OR($A78="",$C78="",$D78="",$C78&gt;T$6,$D78&lt;T$9),"",IF($J78="里程碑","◆",""))</f>
        <v/>
      </c>
      <c r="U78" s="8" t="str">
        <f>IF(OR($A78="",$C78="",$D78="",$C78&gt;U$6,$D78&lt;U$9),"",IF($J78="里程碑","◆",""))</f>
        <v/>
      </c>
      <c r="V78" s="8" t="str">
        <f>IF(OR($A78="",$C78="",$D78="",$C78&gt;V$6,$D78&lt;V$9),"",IF($J78="里程碑","◆",""))</f>
        <v/>
      </c>
      <c r="W78" s="8" t="str">
        <f>IF(OR($A78="",$C78="",$D78="",$C78&gt;W$6,$D78&lt;W$9),"",IF($J78="里程碑","◆",""))</f>
        <v/>
      </c>
      <c r="X78" s="8" t="str">
        <f>IF(OR($A78="",$C78="",$D78="",$C78&gt;X$6,$D78&lt;X$9),"",IF($J78="里程碑","◆",""))</f>
        <v/>
      </c>
      <c r="Y78" s="8" t="str">
        <f>IF(OR($A78="",$C78="",$D78="",$C78&gt;Y$6,$D78&lt;Y$9),"",IF($J78="里程碑","◆",""))</f>
        <v/>
      </c>
      <c r="Z78" s="8" t="str">
        <f>IF(OR($A78="",$C78="",$D78="",$C78&gt;Z$6,$D78&lt;Z$9),"",IF($J78="里程碑","◆",""))</f>
        <v/>
      </c>
      <c r="AA78" s="8" t="str">
        <f>IF(OR($A78="",$C78="",$D78="",$C78&gt;AA$6,$D78&lt;AA$9),"",IF($J78="里程碑","◆",""))</f>
        <v/>
      </c>
      <c r="AB78" s="8" t="str">
        <f>IF(OR($A78="",$C78="",$D78="",$C78&gt;AB$6,$D78&lt;AB$9),"",IF($J78="里程碑","◆",""))</f>
        <v/>
      </c>
      <c r="AC78" s="8" t="str">
        <f>IF(OR($A78="",$C78="",$D78="",$C78&gt;AC$6,$D78&lt;AC$9),"",IF($J78="里程碑","◆",""))</f>
        <v/>
      </c>
      <c r="AD78" s="8" t="str">
        <f>IF(OR($A78="",$C78="",$D78="",$C78&gt;AD$6,$D78&lt;AD$9),"",IF($J78="里程碑","◆",""))</f>
        <v/>
      </c>
      <c r="AE78" s="8" t="str">
        <f>IF(OR($A78="",$C78="",$D78="",$C78&gt;AE$6,$D78&lt;AE$9),"",IF($J78="里程碑","◆",""))</f>
        <v/>
      </c>
      <c r="AF78" s="8" t="str">
        <f>IF(OR($A78="",$C78="",$D78="",$C78&gt;AF$6,$D78&lt;AF$9),"",IF($J78="里程碑","◆",""))</f>
        <v/>
      </c>
      <c r="AG78" s="8" t="str">
        <f>IF(OR($A78="",$C78="",$D78="",$C78&gt;AG$6,$D78&lt;AG$9),"",IF($J78="里程碑","◆",""))</f>
        <v/>
      </c>
      <c r="AH78" s="8" t="str">
        <f>IF(OR($A78="",$C78="",$D78="",$C78&gt;AH$6,$D78&lt;AH$9),"",IF($J78="里程碑","◆",""))</f>
        <v/>
      </c>
      <c r="AI78" s="8" t="str">
        <f>IF(OR($A78="",$C78="",$D78="",$C78&gt;AI$6,$D78&lt;AI$9),"",IF($J78="里程碑","◆",""))</f>
        <v/>
      </c>
      <c r="AJ78" s="8" t="str">
        <f>IF(OR($A78="",$C78="",$D78="",$C78&gt;AJ$6,$D78&lt;AJ$9),"",IF($J78="里程碑","◆",""))</f>
        <v/>
      </c>
      <c r="AK78" s="8" t="str">
        <f>IF(OR($A78="",$C78="",$D78="",$C78&gt;AK$6,$D78&lt;AK$9),"",IF($J78="里程碑","◆",""))</f>
        <v/>
      </c>
      <c r="AL78" s="8" t="str">
        <f>IF(OR($A78="",$C78="",$D78="",$C78&gt;AL$6,$D78&lt;AL$9),"",IF($J78="里程碑","◆",""))</f>
        <v/>
      </c>
      <c r="AM78" s="8" t="str">
        <f>IF(OR($A78="",$C78="",$D78="",$C78&gt;AM$6,$D78&lt;AM$9),"",IF($J78="里程碑","◆",""))</f>
        <v/>
      </c>
      <c r="AN78" s="8" t="str">
        <f>IF(OR($A78="",$C78="",$D78="",$C78&gt;AN$6,$D78&lt;AN$9),"",IF($J78="里程碑","◆",""))</f>
        <v/>
      </c>
      <c r="AO78" s="8" t="str">
        <f>IF(OR($A78="",$C78="",$D78="",$C78&gt;AO$6,$D78&lt;AO$9),"",IF($J78="里程碑","◆",""))</f>
        <v/>
      </c>
      <c r="AP78" s="8" t="str">
        <f>IF(OR($A78="",$C78="",$D78="",$C78&gt;AP$6,$D78&lt;AP$9),"",IF($J78="里程碑","◆",""))</f>
        <v/>
      </c>
      <c r="AQ78" s="8" t="str">
        <f>IF(OR($A78="",$C78="",$D78="",$C78&gt;AQ$6,$D78&lt;AQ$9),"",IF($J78="里程碑","◆",""))</f>
        <v/>
      </c>
      <c r="AR78" s="8" t="str">
        <f>IF(OR($A78="",$C78="",$D78="",$C78&gt;AR$6,$D78&lt;AR$9),"",IF($J78="里程碑","◆",""))</f>
        <v/>
      </c>
      <c r="AS78" s="8" t="str">
        <f>IF(OR($A78="",$C78="",$D78="",$C78&gt;AS$6,$D78&lt;AS$9),"",IF($J78="里程碑","◆",""))</f>
        <v/>
      </c>
      <c r="AT78" s="8" t="str">
        <f>IF(OR($A78="",$C78="",$D78="",$C78&gt;AT$6,$D78&lt;AT$9),"",IF($J78="里程碑","◆",""))</f>
        <v/>
      </c>
      <c r="AU78" s="8" t="str">
        <f>IF(OR($A78="",$C78="",$D78="",$C78&gt;AU$6,$D78&lt;AU$9),"",IF($J78="里程碑","◆",""))</f>
        <v/>
      </c>
      <c r="AV78" s="8" t="str">
        <f>IF(OR($A78="",$C78="",$D78="",$C78&gt;AV$6,$D78&lt;AV$9),"",IF($J78="里程碑","◆",""))</f>
        <v/>
      </c>
      <c r="AW78" s="8" t="str">
        <f>IF(OR($A78="",$C78="",$D78="",$C78&gt;AW$6,$D78&lt;AW$9),"",IF($J78="里程碑","◆",""))</f>
        <v/>
      </c>
      <c r="AX78" s="8" t="str">
        <f>IF(OR($A78="",$C78="",$D78="",$C78&gt;AX$6,$D78&lt;AX$9),"",IF($J78="里程碑","◆",""))</f>
        <v/>
      </c>
      <c r="AY78" s="8" t="str">
        <f>IF(OR($A78="",$C78="",$D78="",$C78&gt;AY$6,$D78&lt;AY$9),"",IF($J78="里程碑","◆",""))</f>
        <v/>
      </c>
      <c r="AZ78" s="8" t="str">
        <f>IF(OR($A78="",$C78="",$D78="",$C78&gt;AZ$6,$D78&lt;AZ$9),"",IF($J78="里程碑","◆",""))</f>
        <v/>
      </c>
      <c r="BA78" s="8" t="str">
        <f>IF(OR($A78="",$C78="",$D78="",$C78&gt;BA$6,$D78&lt;BA$9),"",IF($J78="里程碑","◆",""))</f>
        <v/>
      </c>
      <c r="BB78" s="8" t="str">
        <f>IF(OR($A78="",$C78="",$D78="",$C78&gt;BB$6,$D78&lt;BB$9),"",IF($J78="里程碑","◆",""))</f>
        <v/>
      </c>
      <c r="BC78" s="8" t="str">
        <f>IF(OR($A78="",$C78="",$D78="",$C78&gt;BC$6,$D78&lt;BC$9),"",IF($J78="里程碑","◆",""))</f>
        <v/>
      </c>
      <c r="BD78" s="8" t="str">
        <f>IF(OR($A78="",$C78="",$D78="",$C78&gt;BD$6,$D78&lt;BD$9),"",IF($J78="里程碑","◆",""))</f>
        <v/>
      </c>
      <c r="BE78" s="8" t="str">
        <f>IF(OR($A78="",$C78="",$D78="",$C78&gt;BE$6,$D78&lt;BE$9),"",IF($J78="里程碑","◆",""))</f>
        <v/>
      </c>
      <c r="BF78" s="8" t="str">
        <f>IF(OR($A78="",$C78="",$D78="",$C78&gt;BF$6,$D78&lt;BF$9),"",IF($J78="里程碑","◆",""))</f>
        <v/>
      </c>
      <c r="BG78" s="8" t="str">
        <f>IF(OR($A78="",$C78="",$D78="",$C78&gt;BG$6,$D78&lt;BG$9),"",IF($J78="里程碑","◆",""))</f>
        <v/>
      </c>
      <c r="BH78" s="8" t="str">
        <f>IF(OR($A78="",$C78="",$D78="",$C78&gt;BH$6,$D78&lt;BH$9),"",IF($J78="里程碑","◆",""))</f>
        <v/>
      </c>
      <c r="BI78" s="8" t="str">
        <f>IF(OR($A78="",$C78="",$D78="",$C78&gt;BI$6,$D78&lt;BI$9),"",IF($J78="里程碑","◆",""))</f>
        <v/>
      </c>
      <c r="BJ78" s="8" t="str">
        <f>IF(OR($A78="",$C78="",$D78="",$C78&gt;BJ$6,$D78&lt;BJ$9),"",IF($J78="里程碑","◆",""))</f>
        <v/>
      </c>
      <c r="BK78" s="8" t="str">
        <f>IF(OR($A78="",$C78="",$D78="",$C78&gt;BK$6,$D78&lt;BK$9),"",IF($J78="里程碑","◆",""))</f>
        <v/>
      </c>
      <c r="BL78" s="8" t="str">
        <f>IF(OR($A78="",$C78="",$D78="",$C78&gt;BL$6,$D78&lt;BL$9),"",IF($J78="里程碑","◆",""))</f>
        <v/>
      </c>
      <c r="BM78" s="8" t="str">
        <f>IF(OR($A78="",$C78="",$D78="",$C78&gt;BM$6,$D78&lt;BM$9),"",IF($J78="里程碑","◆",""))</f>
        <v/>
      </c>
      <c r="BN78" s="8" t="str">
        <f>IF(OR($A78="",$C78="",$D78="",$C78&gt;BN$6,$D78&lt;BN$9),"",IF($J78="里程碑","◆",""))</f>
        <v/>
      </c>
      <c r="BO78" s="8" t="str">
        <f>IF(OR($A78="",$C78="",$D78="",$C78&gt;BO$6,$D78&lt;BO$9),"",IF($J78="里程碑","◆",""))</f>
        <v/>
      </c>
      <c r="BP78" s="8" t="str">
        <f>IF(OR($A78="",$C78="",$D78="",$C78&gt;BP$6,$D78&lt;BP$9),"",IF($J78="里程碑","◆",""))</f>
        <v/>
      </c>
      <c r="BQ78" s="8" t="str">
        <f>IF(OR($A78="",$C78="",$D78="",$C78&gt;BQ$6,$D78&lt;BQ$9),"",IF($J78="里程碑","◆",""))</f>
        <v/>
      </c>
      <c r="BR78" s="8" t="str">
        <f>IF(OR($A78="",$C78="",$D78="",$C78&gt;BR$6,$D78&lt;BR$9),"",IF($J78="里程碑","◆",""))</f>
        <v/>
      </c>
      <c r="BS78" s="8" t="str">
        <f>IF(OR($A78="",$C78="",$D78="",$C78&gt;BS$6,$D78&lt;BS$9),"",IF($J78="里程碑","◆",""))</f>
        <v/>
      </c>
      <c r="BT78" s="8" t="str">
        <f>IF(OR($A78="",$C78="",$D78="",$C78&gt;BT$6,$D78&lt;BT$9),"",IF($J78="里程碑","◆",""))</f>
        <v/>
      </c>
      <c r="BU78" s="8" t="str">
        <f>IF(OR($A78="",$C78="",$D78="",$C78&gt;BU$6,$D78&lt;BU$9),"",IF($J78="里程碑","◆",""))</f>
        <v/>
      </c>
      <c r="BV78" s="8" t="str">
        <f>IF(OR($A78="",$C78="",$D78="",$C78&gt;BV$6,$D78&lt;BV$9),"",IF($J78="里程碑","◆",""))</f>
        <v/>
      </c>
      <c r="BW78" s="8" t="str">
        <f>IF(OR($A78="",$C78="",$D78="",$C78&gt;BW$6,$D78&lt;BW$9),"",IF($J78="里程碑","◆",""))</f>
        <v/>
      </c>
      <c r="BX78" s="8" t="str">
        <f>IF(OR($A78="",$C78="",$D78="",$C78&gt;BX$6,$D78&lt;BX$9),"",IF($J78="里程碑","◆",""))</f>
        <v/>
      </c>
      <c r="BY78" s="8" t="str">
        <f>IF(OR($A78="",$C78="",$D78="",$C78&gt;BY$6,$D78&lt;BY$9),"",IF($J78="里程碑","◆",""))</f>
        <v/>
      </c>
      <c r="BZ78" s="8" t="str">
        <f>IF(OR($A78="",$C78="",$D78="",$C78&gt;BZ$6,$D78&lt;BZ$9),"",IF($J78="里程碑","◆",""))</f>
        <v/>
      </c>
      <c r="CA78" s="8" t="str">
        <f>IF(OR($A78="",$C78="",$D78="",$C78&gt;CA$6,$D78&lt;CA$9),"",IF($J78="里程碑","◆",""))</f>
        <v/>
      </c>
      <c r="CB78" s="8" t="str">
        <f>IF(OR($A78="",$C78="",$D78="",$C78&gt;CB$6,$D78&lt;CB$9),"",IF($J78="里程碑","◆",""))</f>
        <v/>
      </c>
      <c r="CC78" s="8" t="str">
        <f>IF(OR($A78="",$C78="",$D78="",$C78&gt;CC$6,$D78&lt;CC$9),"",IF($J78="里程碑","◆",""))</f>
        <v/>
      </c>
      <c r="CD78" s="8" t="str">
        <f>IF(OR($A78="",$C78="",$D78="",$C78&gt;CD$6,$D78&lt;CD$9),"",IF($J78="里程碑","◆",""))</f>
        <v/>
      </c>
      <c r="CE78" s="8" t="str">
        <f>IF(OR($A78="",$C78="",$D78="",$C78&gt;CE$6,$D78&lt;CE$9),"",IF($J78="里程碑","◆",""))</f>
        <v/>
      </c>
      <c r="CF78" s="8" t="str">
        <f>IF(OR($A78="",$C78="",$D78="",$C78&gt;CF$6,$D78&lt;CF$9),"",IF($J78="里程碑","◆",""))</f>
        <v/>
      </c>
      <c r="CG78" s="8" t="str">
        <f>IF(OR($A78="",$C78="",$D78="",$C78&gt;CG$6,$D78&lt;CG$9),"",IF($J78="里程碑","◆",""))</f>
        <v/>
      </c>
      <c r="CH78" s="8" t="str">
        <f>IF(OR($A78="",$C78="",$D78="",$C78&gt;CH$6,$D78&lt;CH$9),"",IF($J78="里程碑","◆",""))</f>
        <v/>
      </c>
      <c r="CI78" s="8" t="str">
        <f>IF(OR($A78="",$C78="",$D78="",$C78&gt;CI$6,$D78&lt;CI$9),"",IF($J78="里程碑","◆",""))</f>
        <v/>
      </c>
      <c r="CJ78" s="8" t="str">
        <f>IF(OR($A78="",$C78="",$D78="",$C78&gt;CJ$6,$D78&lt;CJ$9),"",IF($J78="里程碑","◆",""))</f>
        <v/>
      </c>
      <c r="CK78" s="8" t="str">
        <f>IF(OR($A78="",$C78="",$D78="",$C78&gt;CK$6,$D78&lt;CK$9),"",IF($J78="里程碑","◆",""))</f>
        <v/>
      </c>
      <c r="CL78" s="8" t="str">
        <f>IF(OR($A78="",$C78="",$D78="",$C78&gt;CL$6,$D78&lt;CL$9),"",IF($J78="里程碑","◆",""))</f>
        <v/>
      </c>
      <c r="CM78" s="8" t="str">
        <f>IF(OR($A78="",$C78="",$D78="",$C78&gt;CM$6,$D78&lt;CM$9),"",IF($J78="里程碑","◆",""))</f>
        <v/>
      </c>
      <c r="CN78" s="8" t="str">
        <f>IF(OR($A78="",$C78="",$D78="",$C78&gt;CN$6,$D78&lt;CN$9),"",IF($J78="里程碑","◆",""))</f>
        <v/>
      </c>
      <c r="CO78" s="8" t="str">
        <f>IF(OR($A78="",$C78="",$D78="",$C78&gt;CO$6,$D78&lt;CO$9),"",IF($J78="里程碑","◆",""))</f>
        <v/>
      </c>
      <c r="CP78" s="8" t="str">
        <f>IF(OR($A78="",$C78="",$D78="",$C78&gt;CP$6,$D78&lt;CP$9),"",IF($J78="里程碑","◆",""))</f>
        <v/>
      </c>
      <c r="CQ78" s="8" t="str">
        <f>IF(OR($A78="",$C78="",$D78="",$C78&gt;CQ$6,$D78&lt;CQ$9),"",IF($J78="里程碑","◆",""))</f>
        <v/>
      </c>
      <c r="CR78" s="8" t="str">
        <f>IF(OR($A78="",$C78="",$D78="",$C78&gt;CR$6,$D78&lt;CR$9),"",IF($J78="里程碑","◆",""))</f>
        <v/>
      </c>
      <c r="CS78" s="8" t="str">
        <f>IF(OR($A78="",$C78="",$D78="",$C78&gt;CS$6,$D78&lt;CS$9),"",IF($J78="里程碑","◆",""))</f>
        <v/>
      </c>
      <c r="CT78" s="8" t="str">
        <f>IF(OR($A78="",$C78="",$D78="",$C78&gt;CT$6,$D78&lt;CT$9),"",IF($J78="里程碑","◆",""))</f>
        <v/>
      </c>
      <c r="CU78" s="8" t="str">
        <f>IF(OR($A78="",$C78="",$D78="",$C78&gt;CU$6,$D78&lt;CU$9),"",IF($J78="里程碑","◆",""))</f>
        <v/>
      </c>
      <c r="CV78" s="8" t="str">
        <f>IF(OR($A78="",$C78="",$D78="",$C78&gt;CV$6,$D78&lt;CV$9),"",IF($J78="里程碑","◆",""))</f>
        <v/>
      </c>
      <c r="CW78" s="8" t="str">
        <f>IF(OR($A78="",$C78="",$D78="",$C78&gt;CW$6,$D78&lt;CW$9),"",IF($J78="里程碑","◆",""))</f>
        <v/>
      </c>
      <c r="CX78" s="8" t="str">
        <f>IF(OR($A78="",$C78="",$D78="",$C78&gt;CX$6,$D78&lt;CX$9),"",IF($J78="里程碑","◆",""))</f>
        <v/>
      </c>
      <c r="CY78" s="8" t="str">
        <f>IF(OR($A78="",$C78="",$D78="",$C78&gt;CY$6,$D78&lt;CY$9),"",IF($J78="里程碑","◆",""))</f>
        <v/>
      </c>
      <c r="CZ78" s="8" t="str">
        <f>IF(OR($A78="",$C78="",$D78="",$C78&gt;CZ$6,$D78&lt;CZ$9),"",IF($J78="里程碑","◆",""))</f>
        <v/>
      </c>
      <c r="DA78" s="8" t="str">
        <f>IF(OR($A78="",$C78="",$D78="",$C78&gt;DA$6,$D78&lt;DA$9),"",IF($J78="里程碑","◆",""))</f>
        <v/>
      </c>
      <c r="DB78" s="8" t="str">
        <f>IF(OR($A78="",$C78="",$D78="",$C78&gt;DB$6,$D78&lt;DB$9),"",IF($J78="里程碑","◆",""))</f>
        <v/>
      </c>
      <c r="DC78" s="1" t="str">
        <f>IF(ROW()-9&gt;$DH$3,"",MATCH(ROW()-9,排期计算!$U$10:$U$109,0))</f>
        <v/>
      </c>
      <c r="DD78" s="1" t="str">
        <f>IF($DC78="","",INDEX(排期计算!$L$10:$L$109,$DC78))</f>
        <v/>
      </c>
      <c r="DE78" s="1"/>
      <c r="DF78" s="1"/>
      <c r="DG78" s="1"/>
      <c r="DH78" s="1"/>
      <c r="DI78" s="1"/>
      <c r="DJ78" s="1"/>
      <c r="DK78" s="1"/>
    </row>
    <row r="79" spans="1:115" ht="24.95" customHeight="1">
      <c r="A79" s="9" t="str">
        <f>IF($DC79="","",IF(AND(INDEX(排期计算!$A$10:$A$109,$DC79)="",NOT(ISNUMBER(INDEX(排期计算!$A$10:$A$109,$DC79)))),"",INDEX(排期计算!$A$10:$A$109,$DC79)))</f>
        <v/>
      </c>
      <c r="B79" s="1" t="str">
        <f>IF($DC79="","",REPT("　",$DD79-1)&amp;INDEX(排期计算!$B$10:$B$109,$DC79))</f>
        <v/>
      </c>
      <c r="C79" s="3" t="str">
        <f>IF($DC79="","",IF(AND(INDEX(排期计算!$M$10:$M$109,$DC79)="",NOT(ISNUMBER(INDEX(排期计算!$M$10:$M$109,$DC79)))),"",INDEX(排期计算!$M$10:$M$109,$DC79)))</f>
        <v/>
      </c>
      <c r="D79" s="3" t="str">
        <f>IF($DC79="","",IF(AND(INDEX(排期计算!$N$10:$N$109,$DC79)="",NOT(ISNUMBER(INDEX(排期计算!$N$10:$N$109,$DC79)))),"",INDEX(排期计算!$N$10:$N$109,$DC79)))</f>
        <v/>
      </c>
      <c r="E79" s="1" t="str">
        <f>IF(OR($C79="",$D79=""),"",IF($J79="里程碑",0,NETWORKDAYS($C79,$D79)))</f>
        <v/>
      </c>
      <c r="F79" s="7" t="str">
        <f>IF($DC79="","",IF(AND(INDEX(排期计算!$O$10:$O$109,$DC79)="",NOT(ISNUMBER(INDEX(排期计算!$O$10:$O$109,$DC79)))),"",INDEX(排期计算!$O$10:$O$109,$DC79)))</f>
        <v/>
      </c>
      <c r="G79" s="8" t="str">
        <f>IF($A79="","",IF(OR($C79="",$D79=""),"未排期",IF($F79&gt;=1,"已完成",IF($D79&lt;$B$4,"逾期",IF($C79&gt;$B$4,"未开始","进行中")))))</f>
        <v/>
      </c>
      <c r="H79" s="1" t="str">
        <f>IF($DC79="","",IF(AND(INDEX(排期计算!$C$10:$C$109,$DC79)="",NOT(ISNUMBER(INDEX(排期计算!$C$10:$C$109,$DC79)))),"",INDEX(排期计算!$C$10:$C$109,$DC79)))</f>
        <v/>
      </c>
      <c r="I79" s="1" t="str">
        <f>IF($DC79="","",IF(AND(INDEX(排期计算!$H$10:$H$109,$DC79)="",NOT(ISNUMBER(INDEX(排期计算!$H$10:$H$109,$DC79)))),"",INDEX(排期计算!$H$10:$H$109,$DC79)))</f>
        <v/>
      </c>
      <c r="J79" s="1" t="str">
        <f>IF($DC79="","",IF(AND(INDEX(排期计算!$K$10:$K$109,$DC79)="",NOT(ISNUMBER(INDEX(排期计算!$K$10:$K$109,$DC79)))),"",INDEX(排期计算!$K$10:$K$109,$DC79)))</f>
        <v/>
      </c>
      <c r="K79" s="8" t="str">
        <f>IF(OR($A79="",$C79="",$D79="",$C79&gt;K$6,$D79&lt;K$9),"",IF($J79="里程碑","◆",""))</f>
        <v/>
      </c>
      <c r="L79" s="8" t="str">
        <f>IF(OR($A79="",$C79="",$D79="",$C79&gt;L$6,$D79&lt;L$9),"",IF($J79="里程碑","◆",""))</f>
        <v/>
      </c>
      <c r="M79" s="8" t="str">
        <f>IF(OR($A79="",$C79="",$D79="",$C79&gt;M$6,$D79&lt;M$9),"",IF($J79="里程碑","◆",""))</f>
        <v/>
      </c>
      <c r="N79" s="8" t="str">
        <f>IF(OR($A79="",$C79="",$D79="",$C79&gt;N$6,$D79&lt;N$9),"",IF($J79="里程碑","◆",""))</f>
        <v/>
      </c>
      <c r="O79" s="8" t="str">
        <f>IF(OR($A79="",$C79="",$D79="",$C79&gt;O$6,$D79&lt;O$9),"",IF($J79="里程碑","◆",""))</f>
        <v/>
      </c>
      <c r="P79" s="8" t="str">
        <f>IF(OR($A79="",$C79="",$D79="",$C79&gt;P$6,$D79&lt;P$9),"",IF($J79="里程碑","◆",""))</f>
        <v/>
      </c>
      <c r="Q79" s="8" t="str">
        <f>IF(OR($A79="",$C79="",$D79="",$C79&gt;Q$6,$D79&lt;Q$9),"",IF($J79="里程碑","◆",""))</f>
        <v/>
      </c>
      <c r="R79" s="8" t="str">
        <f>IF(OR($A79="",$C79="",$D79="",$C79&gt;R$6,$D79&lt;R$9),"",IF($J79="里程碑","◆",""))</f>
        <v/>
      </c>
      <c r="S79" s="8" t="str">
        <f>IF(OR($A79="",$C79="",$D79="",$C79&gt;S$6,$D79&lt;S$9),"",IF($J79="里程碑","◆",""))</f>
        <v/>
      </c>
      <c r="T79" s="8" t="str">
        <f>IF(OR($A79="",$C79="",$D79="",$C79&gt;T$6,$D79&lt;T$9),"",IF($J79="里程碑","◆",""))</f>
        <v/>
      </c>
      <c r="U79" s="8" t="str">
        <f>IF(OR($A79="",$C79="",$D79="",$C79&gt;U$6,$D79&lt;U$9),"",IF($J79="里程碑","◆",""))</f>
        <v/>
      </c>
      <c r="V79" s="8" t="str">
        <f>IF(OR($A79="",$C79="",$D79="",$C79&gt;V$6,$D79&lt;V$9),"",IF($J79="里程碑","◆",""))</f>
        <v/>
      </c>
      <c r="W79" s="8" t="str">
        <f>IF(OR($A79="",$C79="",$D79="",$C79&gt;W$6,$D79&lt;W$9),"",IF($J79="里程碑","◆",""))</f>
        <v/>
      </c>
      <c r="X79" s="8" t="str">
        <f>IF(OR($A79="",$C79="",$D79="",$C79&gt;X$6,$D79&lt;X$9),"",IF($J79="里程碑","◆",""))</f>
        <v/>
      </c>
      <c r="Y79" s="8" t="str">
        <f>IF(OR($A79="",$C79="",$D79="",$C79&gt;Y$6,$D79&lt;Y$9),"",IF($J79="里程碑","◆",""))</f>
        <v/>
      </c>
      <c r="Z79" s="8" t="str">
        <f>IF(OR($A79="",$C79="",$D79="",$C79&gt;Z$6,$D79&lt;Z$9),"",IF($J79="里程碑","◆",""))</f>
        <v/>
      </c>
      <c r="AA79" s="8" t="str">
        <f>IF(OR($A79="",$C79="",$D79="",$C79&gt;AA$6,$D79&lt;AA$9),"",IF($J79="里程碑","◆",""))</f>
        <v/>
      </c>
      <c r="AB79" s="8" t="str">
        <f>IF(OR($A79="",$C79="",$D79="",$C79&gt;AB$6,$D79&lt;AB$9),"",IF($J79="里程碑","◆",""))</f>
        <v/>
      </c>
      <c r="AC79" s="8" t="str">
        <f>IF(OR($A79="",$C79="",$D79="",$C79&gt;AC$6,$D79&lt;AC$9),"",IF($J79="里程碑","◆",""))</f>
        <v/>
      </c>
      <c r="AD79" s="8" t="str">
        <f>IF(OR($A79="",$C79="",$D79="",$C79&gt;AD$6,$D79&lt;AD$9),"",IF($J79="里程碑","◆",""))</f>
        <v/>
      </c>
      <c r="AE79" s="8" t="str">
        <f>IF(OR($A79="",$C79="",$D79="",$C79&gt;AE$6,$D79&lt;AE$9),"",IF($J79="里程碑","◆",""))</f>
        <v/>
      </c>
      <c r="AF79" s="8" t="str">
        <f>IF(OR($A79="",$C79="",$D79="",$C79&gt;AF$6,$D79&lt;AF$9),"",IF($J79="里程碑","◆",""))</f>
        <v/>
      </c>
      <c r="AG79" s="8" t="str">
        <f>IF(OR($A79="",$C79="",$D79="",$C79&gt;AG$6,$D79&lt;AG$9),"",IF($J79="里程碑","◆",""))</f>
        <v/>
      </c>
      <c r="AH79" s="8" t="str">
        <f>IF(OR($A79="",$C79="",$D79="",$C79&gt;AH$6,$D79&lt;AH$9),"",IF($J79="里程碑","◆",""))</f>
        <v/>
      </c>
      <c r="AI79" s="8" t="str">
        <f>IF(OR($A79="",$C79="",$D79="",$C79&gt;AI$6,$D79&lt;AI$9),"",IF($J79="里程碑","◆",""))</f>
        <v/>
      </c>
      <c r="AJ79" s="8" t="str">
        <f>IF(OR($A79="",$C79="",$D79="",$C79&gt;AJ$6,$D79&lt;AJ$9),"",IF($J79="里程碑","◆",""))</f>
        <v/>
      </c>
      <c r="AK79" s="8" t="str">
        <f>IF(OR($A79="",$C79="",$D79="",$C79&gt;AK$6,$D79&lt;AK$9),"",IF($J79="里程碑","◆",""))</f>
        <v/>
      </c>
      <c r="AL79" s="8" t="str">
        <f>IF(OR($A79="",$C79="",$D79="",$C79&gt;AL$6,$D79&lt;AL$9),"",IF($J79="里程碑","◆",""))</f>
        <v/>
      </c>
      <c r="AM79" s="8" t="str">
        <f>IF(OR($A79="",$C79="",$D79="",$C79&gt;AM$6,$D79&lt;AM$9),"",IF($J79="里程碑","◆",""))</f>
        <v/>
      </c>
      <c r="AN79" s="8" t="str">
        <f>IF(OR($A79="",$C79="",$D79="",$C79&gt;AN$6,$D79&lt;AN$9),"",IF($J79="里程碑","◆",""))</f>
        <v/>
      </c>
      <c r="AO79" s="8" t="str">
        <f>IF(OR($A79="",$C79="",$D79="",$C79&gt;AO$6,$D79&lt;AO$9),"",IF($J79="里程碑","◆",""))</f>
        <v/>
      </c>
      <c r="AP79" s="8" t="str">
        <f>IF(OR($A79="",$C79="",$D79="",$C79&gt;AP$6,$D79&lt;AP$9),"",IF($J79="里程碑","◆",""))</f>
        <v/>
      </c>
      <c r="AQ79" s="8" t="str">
        <f>IF(OR($A79="",$C79="",$D79="",$C79&gt;AQ$6,$D79&lt;AQ$9),"",IF($J79="里程碑","◆",""))</f>
        <v/>
      </c>
      <c r="AR79" s="8" t="str">
        <f>IF(OR($A79="",$C79="",$D79="",$C79&gt;AR$6,$D79&lt;AR$9),"",IF($J79="里程碑","◆",""))</f>
        <v/>
      </c>
      <c r="AS79" s="8" t="str">
        <f>IF(OR($A79="",$C79="",$D79="",$C79&gt;AS$6,$D79&lt;AS$9),"",IF($J79="里程碑","◆",""))</f>
        <v/>
      </c>
      <c r="AT79" s="8" t="str">
        <f>IF(OR($A79="",$C79="",$D79="",$C79&gt;AT$6,$D79&lt;AT$9),"",IF($J79="里程碑","◆",""))</f>
        <v/>
      </c>
      <c r="AU79" s="8" t="str">
        <f>IF(OR($A79="",$C79="",$D79="",$C79&gt;AU$6,$D79&lt;AU$9),"",IF($J79="里程碑","◆",""))</f>
        <v/>
      </c>
      <c r="AV79" s="8" t="str">
        <f>IF(OR($A79="",$C79="",$D79="",$C79&gt;AV$6,$D79&lt;AV$9),"",IF($J79="里程碑","◆",""))</f>
        <v/>
      </c>
      <c r="AW79" s="8" t="str">
        <f>IF(OR($A79="",$C79="",$D79="",$C79&gt;AW$6,$D79&lt;AW$9),"",IF($J79="里程碑","◆",""))</f>
        <v/>
      </c>
      <c r="AX79" s="8" t="str">
        <f>IF(OR($A79="",$C79="",$D79="",$C79&gt;AX$6,$D79&lt;AX$9),"",IF($J79="里程碑","◆",""))</f>
        <v/>
      </c>
      <c r="AY79" s="8" t="str">
        <f>IF(OR($A79="",$C79="",$D79="",$C79&gt;AY$6,$D79&lt;AY$9),"",IF($J79="里程碑","◆",""))</f>
        <v/>
      </c>
      <c r="AZ79" s="8" t="str">
        <f>IF(OR($A79="",$C79="",$D79="",$C79&gt;AZ$6,$D79&lt;AZ$9),"",IF($J79="里程碑","◆",""))</f>
        <v/>
      </c>
      <c r="BA79" s="8" t="str">
        <f>IF(OR($A79="",$C79="",$D79="",$C79&gt;BA$6,$D79&lt;BA$9),"",IF($J79="里程碑","◆",""))</f>
        <v/>
      </c>
      <c r="BB79" s="8" t="str">
        <f>IF(OR($A79="",$C79="",$D79="",$C79&gt;BB$6,$D79&lt;BB$9),"",IF($J79="里程碑","◆",""))</f>
        <v/>
      </c>
      <c r="BC79" s="8" t="str">
        <f>IF(OR($A79="",$C79="",$D79="",$C79&gt;BC$6,$D79&lt;BC$9),"",IF($J79="里程碑","◆",""))</f>
        <v/>
      </c>
      <c r="BD79" s="8" t="str">
        <f>IF(OR($A79="",$C79="",$D79="",$C79&gt;BD$6,$D79&lt;BD$9),"",IF($J79="里程碑","◆",""))</f>
        <v/>
      </c>
      <c r="BE79" s="8" t="str">
        <f>IF(OR($A79="",$C79="",$D79="",$C79&gt;BE$6,$D79&lt;BE$9),"",IF($J79="里程碑","◆",""))</f>
        <v/>
      </c>
      <c r="BF79" s="8" t="str">
        <f>IF(OR($A79="",$C79="",$D79="",$C79&gt;BF$6,$D79&lt;BF$9),"",IF($J79="里程碑","◆",""))</f>
        <v/>
      </c>
      <c r="BG79" s="8" t="str">
        <f>IF(OR($A79="",$C79="",$D79="",$C79&gt;BG$6,$D79&lt;BG$9),"",IF($J79="里程碑","◆",""))</f>
        <v/>
      </c>
      <c r="BH79" s="8" t="str">
        <f>IF(OR($A79="",$C79="",$D79="",$C79&gt;BH$6,$D79&lt;BH$9),"",IF($J79="里程碑","◆",""))</f>
        <v/>
      </c>
      <c r="BI79" s="8" t="str">
        <f>IF(OR($A79="",$C79="",$D79="",$C79&gt;BI$6,$D79&lt;BI$9),"",IF($J79="里程碑","◆",""))</f>
        <v/>
      </c>
      <c r="BJ79" s="8" t="str">
        <f>IF(OR($A79="",$C79="",$D79="",$C79&gt;BJ$6,$D79&lt;BJ$9),"",IF($J79="里程碑","◆",""))</f>
        <v/>
      </c>
      <c r="BK79" s="8" t="str">
        <f>IF(OR($A79="",$C79="",$D79="",$C79&gt;BK$6,$D79&lt;BK$9),"",IF($J79="里程碑","◆",""))</f>
        <v/>
      </c>
      <c r="BL79" s="8" t="str">
        <f>IF(OR($A79="",$C79="",$D79="",$C79&gt;BL$6,$D79&lt;BL$9),"",IF($J79="里程碑","◆",""))</f>
        <v/>
      </c>
      <c r="BM79" s="8" t="str">
        <f>IF(OR($A79="",$C79="",$D79="",$C79&gt;BM$6,$D79&lt;BM$9),"",IF($J79="里程碑","◆",""))</f>
        <v/>
      </c>
      <c r="BN79" s="8" t="str">
        <f>IF(OR($A79="",$C79="",$D79="",$C79&gt;BN$6,$D79&lt;BN$9),"",IF($J79="里程碑","◆",""))</f>
        <v/>
      </c>
      <c r="BO79" s="8" t="str">
        <f>IF(OR($A79="",$C79="",$D79="",$C79&gt;BO$6,$D79&lt;BO$9),"",IF($J79="里程碑","◆",""))</f>
        <v/>
      </c>
      <c r="BP79" s="8" t="str">
        <f>IF(OR($A79="",$C79="",$D79="",$C79&gt;BP$6,$D79&lt;BP$9),"",IF($J79="里程碑","◆",""))</f>
        <v/>
      </c>
      <c r="BQ79" s="8" t="str">
        <f>IF(OR($A79="",$C79="",$D79="",$C79&gt;BQ$6,$D79&lt;BQ$9),"",IF($J79="里程碑","◆",""))</f>
        <v/>
      </c>
      <c r="BR79" s="8" t="str">
        <f>IF(OR($A79="",$C79="",$D79="",$C79&gt;BR$6,$D79&lt;BR$9),"",IF($J79="里程碑","◆",""))</f>
        <v/>
      </c>
      <c r="BS79" s="8" t="str">
        <f>IF(OR($A79="",$C79="",$D79="",$C79&gt;BS$6,$D79&lt;BS$9),"",IF($J79="里程碑","◆",""))</f>
        <v/>
      </c>
      <c r="BT79" s="8" t="str">
        <f>IF(OR($A79="",$C79="",$D79="",$C79&gt;BT$6,$D79&lt;BT$9),"",IF($J79="里程碑","◆",""))</f>
        <v/>
      </c>
      <c r="BU79" s="8" t="str">
        <f>IF(OR($A79="",$C79="",$D79="",$C79&gt;BU$6,$D79&lt;BU$9),"",IF($J79="里程碑","◆",""))</f>
        <v/>
      </c>
      <c r="BV79" s="8" t="str">
        <f>IF(OR($A79="",$C79="",$D79="",$C79&gt;BV$6,$D79&lt;BV$9),"",IF($J79="里程碑","◆",""))</f>
        <v/>
      </c>
      <c r="BW79" s="8" t="str">
        <f>IF(OR($A79="",$C79="",$D79="",$C79&gt;BW$6,$D79&lt;BW$9),"",IF($J79="里程碑","◆",""))</f>
        <v/>
      </c>
      <c r="BX79" s="8" t="str">
        <f>IF(OR($A79="",$C79="",$D79="",$C79&gt;BX$6,$D79&lt;BX$9),"",IF($J79="里程碑","◆",""))</f>
        <v/>
      </c>
      <c r="BY79" s="8" t="str">
        <f>IF(OR($A79="",$C79="",$D79="",$C79&gt;BY$6,$D79&lt;BY$9),"",IF($J79="里程碑","◆",""))</f>
        <v/>
      </c>
      <c r="BZ79" s="8" t="str">
        <f>IF(OR($A79="",$C79="",$D79="",$C79&gt;BZ$6,$D79&lt;BZ$9),"",IF($J79="里程碑","◆",""))</f>
        <v/>
      </c>
      <c r="CA79" s="8" t="str">
        <f>IF(OR($A79="",$C79="",$D79="",$C79&gt;CA$6,$D79&lt;CA$9),"",IF($J79="里程碑","◆",""))</f>
        <v/>
      </c>
      <c r="CB79" s="8" t="str">
        <f>IF(OR($A79="",$C79="",$D79="",$C79&gt;CB$6,$D79&lt;CB$9),"",IF($J79="里程碑","◆",""))</f>
        <v/>
      </c>
      <c r="CC79" s="8" t="str">
        <f>IF(OR($A79="",$C79="",$D79="",$C79&gt;CC$6,$D79&lt;CC$9),"",IF($J79="里程碑","◆",""))</f>
        <v/>
      </c>
      <c r="CD79" s="8" t="str">
        <f>IF(OR($A79="",$C79="",$D79="",$C79&gt;CD$6,$D79&lt;CD$9),"",IF($J79="里程碑","◆",""))</f>
        <v/>
      </c>
      <c r="CE79" s="8" t="str">
        <f>IF(OR($A79="",$C79="",$D79="",$C79&gt;CE$6,$D79&lt;CE$9),"",IF($J79="里程碑","◆",""))</f>
        <v/>
      </c>
      <c r="CF79" s="8" t="str">
        <f>IF(OR($A79="",$C79="",$D79="",$C79&gt;CF$6,$D79&lt;CF$9),"",IF($J79="里程碑","◆",""))</f>
        <v/>
      </c>
      <c r="CG79" s="8" t="str">
        <f>IF(OR($A79="",$C79="",$D79="",$C79&gt;CG$6,$D79&lt;CG$9),"",IF($J79="里程碑","◆",""))</f>
        <v/>
      </c>
      <c r="CH79" s="8" t="str">
        <f>IF(OR($A79="",$C79="",$D79="",$C79&gt;CH$6,$D79&lt;CH$9),"",IF($J79="里程碑","◆",""))</f>
        <v/>
      </c>
      <c r="CI79" s="8" t="str">
        <f>IF(OR($A79="",$C79="",$D79="",$C79&gt;CI$6,$D79&lt;CI$9),"",IF($J79="里程碑","◆",""))</f>
        <v/>
      </c>
      <c r="CJ79" s="8" t="str">
        <f>IF(OR($A79="",$C79="",$D79="",$C79&gt;CJ$6,$D79&lt;CJ$9),"",IF($J79="里程碑","◆",""))</f>
        <v/>
      </c>
      <c r="CK79" s="8" t="str">
        <f>IF(OR($A79="",$C79="",$D79="",$C79&gt;CK$6,$D79&lt;CK$9),"",IF($J79="里程碑","◆",""))</f>
        <v/>
      </c>
      <c r="CL79" s="8" t="str">
        <f>IF(OR($A79="",$C79="",$D79="",$C79&gt;CL$6,$D79&lt;CL$9),"",IF($J79="里程碑","◆",""))</f>
        <v/>
      </c>
      <c r="CM79" s="8" t="str">
        <f>IF(OR($A79="",$C79="",$D79="",$C79&gt;CM$6,$D79&lt;CM$9),"",IF($J79="里程碑","◆",""))</f>
        <v/>
      </c>
      <c r="CN79" s="8" t="str">
        <f>IF(OR($A79="",$C79="",$D79="",$C79&gt;CN$6,$D79&lt;CN$9),"",IF($J79="里程碑","◆",""))</f>
        <v/>
      </c>
      <c r="CO79" s="8" t="str">
        <f>IF(OR($A79="",$C79="",$D79="",$C79&gt;CO$6,$D79&lt;CO$9),"",IF($J79="里程碑","◆",""))</f>
        <v/>
      </c>
      <c r="CP79" s="8" t="str">
        <f>IF(OR($A79="",$C79="",$D79="",$C79&gt;CP$6,$D79&lt;CP$9),"",IF($J79="里程碑","◆",""))</f>
        <v/>
      </c>
      <c r="CQ79" s="8" t="str">
        <f>IF(OR($A79="",$C79="",$D79="",$C79&gt;CQ$6,$D79&lt;CQ$9),"",IF($J79="里程碑","◆",""))</f>
        <v/>
      </c>
      <c r="CR79" s="8" t="str">
        <f>IF(OR($A79="",$C79="",$D79="",$C79&gt;CR$6,$D79&lt;CR$9),"",IF($J79="里程碑","◆",""))</f>
        <v/>
      </c>
      <c r="CS79" s="8" t="str">
        <f>IF(OR($A79="",$C79="",$D79="",$C79&gt;CS$6,$D79&lt;CS$9),"",IF($J79="里程碑","◆",""))</f>
        <v/>
      </c>
      <c r="CT79" s="8" t="str">
        <f>IF(OR($A79="",$C79="",$D79="",$C79&gt;CT$6,$D79&lt;CT$9),"",IF($J79="里程碑","◆",""))</f>
        <v/>
      </c>
      <c r="CU79" s="8" t="str">
        <f>IF(OR($A79="",$C79="",$D79="",$C79&gt;CU$6,$D79&lt;CU$9),"",IF($J79="里程碑","◆",""))</f>
        <v/>
      </c>
      <c r="CV79" s="8" t="str">
        <f>IF(OR($A79="",$C79="",$D79="",$C79&gt;CV$6,$D79&lt;CV$9),"",IF($J79="里程碑","◆",""))</f>
        <v/>
      </c>
      <c r="CW79" s="8" t="str">
        <f>IF(OR($A79="",$C79="",$D79="",$C79&gt;CW$6,$D79&lt;CW$9),"",IF($J79="里程碑","◆",""))</f>
        <v/>
      </c>
      <c r="CX79" s="8" t="str">
        <f>IF(OR($A79="",$C79="",$D79="",$C79&gt;CX$6,$D79&lt;CX$9),"",IF($J79="里程碑","◆",""))</f>
        <v/>
      </c>
      <c r="CY79" s="8" t="str">
        <f>IF(OR($A79="",$C79="",$D79="",$C79&gt;CY$6,$D79&lt;CY$9),"",IF($J79="里程碑","◆",""))</f>
        <v/>
      </c>
      <c r="CZ79" s="8" t="str">
        <f>IF(OR($A79="",$C79="",$D79="",$C79&gt;CZ$6,$D79&lt;CZ$9),"",IF($J79="里程碑","◆",""))</f>
        <v/>
      </c>
      <c r="DA79" s="8" t="str">
        <f>IF(OR($A79="",$C79="",$D79="",$C79&gt;DA$6,$D79&lt;DA$9),"",IF($J79="里程碑","◆",""))</f>
        <v/>
      </c>
      <c r="DB79" s="8" t="str">
        <f>IF(OR($A79="",$C79="",$D79="",$C79&gt;DB$6,$D79&lt;DB$9),"",IF($J79="里程碑","◆",""))</f>
        <v/>
      </c>
      <c r="DC79" s="1" t="str">
        <f>IF(ROW()-9&gt;$DH$3,"",MATCH(ROW()-9,排期计算!$U$10:$U$109,0))</f>
        <v/>
      </c>
      <c r="DD79" s="1" t="str">
        <f>IF($DC79="","",INDEX(排期计算!$L$10:$L$109,$DC79))</f>
        <v/>
      </c>
      <c r="DE79" s="1"/>
      <c r="DF79" s="1"/>
      <c r="DG79" s="1"/>
      <c r="DH79" s="1"/>
      <c r="DI79" s="1"/>
      <c r="DJ79" s="1"/>
      <c r="DK79" s="1"/>
    </row>
    <row r="80" spans="1:115" ht="24.95" customHeight="1">
      <c r="A80" s="9" t="str">
        <f>IF($DC80="","",IF(AND(INDEX(排期计算!$A$10:$A$109,$DC80)="",NOT(ISNUMBER(INDEX(排期计算!$A$10:$A$109,$DC80)))),"",INDEX(排期计算!$A$10:$A$109,$DC80)))</f>
        <v/>
      </c>
      <c r="B80" s="1" t="str">
        <f>IF($DC80="","",REPT("　",$DD80-1)&amp;INDEX(排期计算!$B$10:$B$109,$DC80))</f>
        <v/>
      </c>
      <c r="C80" s="3" t="str">
        <f>IF($DC80="","",IF(AND(INDEX(排期计算!$M$10:$M$109,$DC80)="",NOT(ISNUMBER(INDEX(排期计算!$M$10:$M$109,$DC80)))),"",INDEX(排期计算!$M$10:$M$109,$DC80)))</f>
        <v/>
      </c>
      <c r="D80" s="3" t="str">
        <f>IF($DC80="","",IF(AND(INDEX(排期计算!$N$10:$N$109,$DC80)="",NOT(ISNUMBER(INDEX(排期计算!$N$10:$N$109,$DC80)))),"",INDEX(排期计算!$N$10:$N$109,$DC80)))</f>
        <v/>
      </c>
      <c r="E80" s="1" t="str">
        <f>IF(OR($C80="",$D80=""),"",IF($J80="里程碑",0,NETWORKDAYS($C80,$D80)))</f>
        <v/>
      </c>
      <c r="F80" s="7" t="str">
        <f>IF($DC80="","",IF(AND(INDEX(排期计算!$O$10:$O$109,$DC80)="",NOT(ISNUMBER(INDEX(排期计算!$O$10:$O$109,$DC80)))),"",INDEX(排期计算!$O$10:$O$109,$DC80)))</f>
        <v/>
      </c>
      <c r="G80" s="8" t="str">
        <f>IF($A80="","",IF(OR($C80="",$D80=""),"未排期",IF($F80&gt;=1,"已完成",IF($D80&lt;$B$4,"逾期",IF($C80&gt;$B$4,"未开始","进行中")))))</f>
        <v/>
      </c>
      <c r="H80" s="1" t="str">
        <f>IF($DC80="","",IF(AND(INDEX(排期计算!$C$10:$C$109,$DC80)="",NOT(ISNUMBER(INDEX(排期计算!$C$10:$C$109,$DC80)))),"",INDEX(排期计算!$C$10:$C$109,$DC80)))</f>
        <v/>
      </c>
      <c r="I80" s="1" t="str">
        <f>IF($DC80="","",IF(AND(INDEX(排期计算!$H$10:$H$109,$DC80)="",NOT(ISNUMBER(INDEX(排期计算!$H$10:$H$109,$DC80)))),"",INDEX(排期计算!$H$10:$H$109,$DC80)))</f>
        <v/>
      </c>
      <c r="J80" s="1" t="str">
        <f>IF($DC80="","",IF(AND(INDEX(排期计算!$K$10:$K$109,$DC80)="",NOT(ISNUMBER(INDEX(排期计算!$K$10:$K$109,$DC80)))),"",INDEX(排期计算!$K$10:$K$109,$DC80)))</f>
        <v/>
      </c>
      <c r="K80" s="8" t="str">
        <f>IF(OR($A80="",$C80="",$D80="",$C80&gt;K$6,$D80&lt;K$9),"",IF($J80="里程碑","◆",""))</f>
        <v/>
      </c>
      <c r="L80" s="8" t="str">
        <f>IF(OR($A80="",$C80="",$D80="",$C80&gt;L$6,$D80&lt;L$9),"",IF($J80="里程碑","◆",""))</f>
        <v/>
      </c>
      <c r="M80" s="8" t="str">
        <f>IF(OR($A80="",$C80="",$D80="",$C80&gt;M$6,$D80&lt;M$9),"",IF($J80="里程碑","◆",""))</f>
        <v/>
      </c>
      <c r="N80" s="8" t="str">
        <f>IF(OR($A80="",$C80="",$D80="",$C80&gt;N$6,$D80&lt;N$9),"",IF($J80="里程碑","◆",""))</f>
        <v/>
      </c>
      <c r="O80" s="8" t="str">
        <f>IF(OR($A80="",$C80="",$D80="",$C80&gt;O$6,$D80&lt;O$9),"",IF($J80="里程碑","◆",""))</f>
        <v/>
      </c>
      <c r="P80" s="8" t="str">
        <f>IF(OR($A80="",$C80="",$D80="",$C80&gt;P$6,$D80&lt;P$9),"",IF($J80="里程碑","◆",""))</f>
        <v/>
      </c>
      <c r="Q80" s="8" t="str">
        <f>IF(OR($A80="",$C80="",$D80="",$C80&gt;Q$6,$D80&lt;Q$9),"",IF($J80="里程碑","◆",""))</f>
        <v/>
      </c>
      <c r="R80" s="8" t="str">
        <f>IF(OR($A80="",$C80="",$D80="",$C80&gt;R$6,$D80&lt;R$9),"",IF($J80="里程碑","◆",""))</f>
        <v/>
      </c>
      <c r="S80" s="8" t="str">
        <f>IF(OR($A80="",$C80="",$D80="",$C80&gt;S$6,$D80&lt;S$9),"",IF($J80="里程碑","◆",""))</f>
        <v/>
      </c>
      <c r="T80" s="8" t="str">
        <f>IF(OR($A80="",$C80="",$D80="",$C80&gt;T$6,$D80&lt;T$9),"",IF($J80="里程碑","◆",""))</f>
        <v/>
      </c>
      <c r="U80" s="8" t="str">
        <f>IF(OR($A80="",$C80="",$D80="",$C80&gt;U$6,$D80&lt;U$9),"",IF($J80="里程碑","◆",""))</f>
        <v/>
      </c>
      <c r="V80" s="8" t="str">
        <f>IF(OR($A80="",$C80="",$D80="",$C80&gt;V$6,$D80&lt;V$9),"",IF($J80="里程碑","◆",""))</f>
        <v/>
      </c>
      <c r="W80" s="8" t="str">
        <f>IF(OR($A80="",$C80="",$D80="",$C80&gt;W$6,$D80&lt;W$9),"",IF($J80="里程碑","◆",""))</f>
        <v/>
      </c>
      <c r="X80" s="8" t="str">
        <f>IF(OR($A80="",$C80="",$D80="",$C80&gt;X$6,$D80&lt;X$9),"",IF($J80="里程碑","◆",""))</f>
        <v/>
      </c>
      <c r="Y80" s="8" t="str">
        <f>IF(OR($A80="",$C80="",$D80="",$C80&gt;Y$6,$D80&lt;Y$9),"",IF($J80="里程碑","◆",""))</f>
        <v/>
      </c>
      <c r="Z80" s="8" t="str">
        <f>IF(OR($A80="",$C80="",$D80="",$C80&gt;Z$6,$D80&lt;Z$9),"",IF($J80="里程碑","◆",""))</f>
        <v/>
      </c>
      <c r="AA80" s="8" t="str">
        <f>IF(OR($A80="",$C80="",$D80="",$C80&gt;AA$6,$D80&lt;AA$9),"",IF($J80="里程碑","◆",""))</f>
        <v/>
      </c>
      <c r="AB80" s="8" t="str">
        <f>IF(OR($A80="",$C80="",$D80="",$C80&gt;AB$6,$D80&lt;AB$9),"",IF($J80="里程碑","◆",""))</f>
        <v/>
      </c>
      <c r="AC80" s="8" t="str">
        <f>IF(OR($A80="",$C80="",$D80="",$C80&gt;AC$6,$D80&lt;AC$9),"",IF($J80="里程碑","◆",""))</f>
        <v/>
      </c>
      <c r="AD80" s="8" t="str">
        <f>IF(OR($A80="",$C80="",$D80="",$C80&gt;AD$6,$D80&lt;AD$9),"",IF($J80="里程碑","◆",""))</f>
        <v/>
      </c>
      <c r="AE80" s="8" t="str">
        <f>IF(OR($A80="",$C80="",$D80="",$C80&gt;AE$6,$D80&lt;AE$9),"",IF($J80="里程碑","◆",""))</f>
        <v/>
      </c>
      <c r="AF80" s="8" t="str">
        <f>IF(OR($A80="",$C80="",$D80="",$C80&gt;AF$6,$D80&lt;AF$9),"",IF($J80="里程碑","◆",""))</f>
        <v/>
      </c>
      <c r="AG80" s="8" t="str">
        <f>IF(OR($A80="",$C80="",$D80="",$C80&gt;AG$6,$D80&lt;AG$9),"",IF($J80="里程碑","◆",""))</f>
        <v/>
      </c>
      <c r="AH80" s="8" t="str">
        <f>IF(OR($A80="",$C80="",$D80="",$C80&gt;AH$6,$D80&lt;AH$9),"",IF($J80="里程碑","◆",""))</f>
        <v/>
      </c>
      <c r="AI80" s="8" t="str">
        <f>IF(OR($A80="",$C80="",$D80="",$C80&gt;AI$6,$D80&lt;AI$9),"",IF($J80="里程碑","◆",""))</f>
        <v/>
      </c>
      <c r="AJ80" s="8" t="str">
        <f>IF(OR($A80="",$C80="",$D80="",$C80&gt;AJ$6,$D80&lt;AJ$9),"",IF($J80="里程碑","◆",""))</f>
        <v/>
      </c>
      <c r="AK80" s="8" t="str">
        <f>IF(OR($A80="",$C80="",$D80="",$C80&gt;AK$6,$D80&lt;AK$9),"",IF($J80="里程碑","◆",""))</f>
        <v/>
      </c>
      <c r="AL80" s="8" t="str">
        <f>IF(OR($A80="",$C80="",$D80="",$C80&gt;AL$6,$D80&lt;AL$9),"",IF($J80="里程碑","◆",""))</f>
        <v/>
      </c>
      <c r="AM80" s="8" t="str">
        <f>IF(OR($A80="",$C80="",$D80="",$C80&gt;AM$6,$D80&lt;AM$9),"",IF($J80="里程碑","◆",""))</f>
        <v/>
      </c>
      <c r="AN80" s="8" t="str">
        <f>IF(OR($A80="",$C80="",$D80="",$C80&gt;AN$6,$D80&lt;AN$9),"",IF($J80="里程碑","◆",""))</f>
        <v/>
      </c>
      <c r="AO80" s="8" t="str">
        <f>IF(OR($A80="",$C80="",$D80="",$C80&gt;AO$6,$D80&lt;AO$9),"",IF($J80="里程碑","◆",""))</f>
        <v/>
      </c>
      <c r="AP80" s="8" t="str">
        <f>IF(OR($A80="",$C80="",$D80="",$C80&gt;AP$6,$D80&lt;AP$9),"",IF($J80="里程碑","◆",""))</f>
        <v/>
      </c>
      <c r="AQ80" s="8" t="str">
        <f>IF(OR($A80="",$C80="",$D80="",$C80&gt;AQ$6,$D80&lt;AQ$9),"",IF($J80="里程碑","◆",""))</f>
        <v/>
      </c>
      <c r="AR80" s="8" t="str">
        <f>IF(OR($A80="",$C80="",$D80="",$C80&gt;AR$6,$D80&lt;AR$9),"",IF($J80="里程碑","◆",""))</f>
        <v/>
      </c>
      <c r="AS80" s="8" t="str">
        <f>IF(OR($A80="",$C80="",$D80="",$C80&gt;AS$6,$D80&lt;AS$9),"",IF($J80="里程碑","◆",""))</f>
        <v/>
      </c>
      <c r="AT80" s="8" t="str">
        <f>IF(OR($A80="",$C80="",$D80="",$C80&gt;AT$6,$D80&lt;AT$9),"",IF($J80="里程碑","◆",""))</f>
        <v/>
      </c>
      <c r="AU80" s="8" t="str">
        <f>IF(OR($A80="",$C80="",$D80="",$C80&gt;AU$6,$D80&lt;AU$9),"",IF($J80="里程碑","◆",""))</f>
        <v/>
      </c>
      <c r="AV80" s="8" t="str">
        <f>IF(OR($A80="",$C80="",$D80="",$C80&gt;AV$6,$D80&lt;AV$9),"",IF($J80="里程碑","◆",""))</f>
        <v/>
      </c>
      <c r="AW80" s="8" t="str">
        <f>IF(OR($A80="",$C80="",$D80="",$C80&gt;AW$6,$D80&lt;AW$9),"",IF($J80="里程碑","◆",""))</f>
        <v/>
      </c>
      <c r="AX80" s="8" t="str">
        <f>IF(OR($A80="",$C80="",$D80="",$C80&gt;AX$6,$D80&lt;AX$9),"",IF($J80="里程碑","◆",""))</f>
        <v/>
      </c>
      <c r="AY80" s="8" t="str">
        <f>IF(OR($A80="",$C80="",$D80="",$C80&gt;AY$6,$D80&lt;AY$9),"",IF($J80="里程碑","◆",""))</f>
        <v/>
      </c>
      <c r="AZ80" s="8" t="str">
        <f>IF(OR($A80="",$C80="",$D80="",$C80&gt;AZ$6,$D80&lt;AZ$9),"",IF($J80="里程碑","◆",""))</f>
        <v/>
      </c>
      <c r="BA80" s="8" t="str">
        <f>IF(OR($A80="",$C80="",$D80="",$C80&gt;BA$6,$D80&lt;BA$9),"",IF($J80="里程碑","◆",""))</f>
        <v/>
      </c>
      <c r="BB80" s="8" t="str">
        <f>IF(OR($A80="",$C80="",$D80="",$C80&gt;BB$6,$D80&lt;BB$9),"",IF($J80="里程碑","◆",""))</f>
        <v/>
      </c>
      <c r="BC80" s="8" t="str">
        <f>IF(OR($A80="",$C80="",$D80="",$C80&gt;BC$6,$D80&lt;BC$9),"",IF($J80="里程碑","◆",""))</f>
        <v/>
      </c>
      <c r="BD80" s="8" t="str">
        <f>IF(OR($A80="",$C80="",$D80="",$C80&gt;BD$6,$D80&lt;BD$9),"",IF($J80="里程碑","◆",""))</f>
        <v/>
      </c>
      <c r="BE80" s="8" t="str">
        <f>IF(OR($A80="",$C80="",$D80="",$C80&gt;BE$6,$D80&lt;BE$9),"",IF($J80="里程碑","◆",""))</f>
        <v/>
      </c>
      <c r="BF80" s="8" t="str">
        <f>IF(OR($A80="",$C80="",$D80="",$C80&gt;BF$6,$D80&lt;BF$9),"",IF($J80="里程碑","◆",""))</f>
        <v/>
      </c>
      <c r="BG80" s="8" t="str">
        <f>IF(OR($A80="",$C80="",$D80="",$C80&gt;BG$6,$D80&lt;BG$9),"",IF($J80="里程碑","◆",""))</f>
        <v/>
      </c>
      <c r="BH80" s="8" t="str">
        <f>IF(OR($A80="",$C80="",$D80="",$C80&gt;BH$6,$D80&lt;BH$9),"",IF($J80="里程碑","◆",""))</f>
        <v/>
      </c>
      <c r="BI80" s="8" t="str">
        <f>IF(OR($A80="",$C80="",$D80="",$C80&gt;BI$6,$D80&lt;BI$9),"",IF($J80="里程碑","◆",""))</f>
        <v/>
      </c>
      <c r="BJ80" s="8" t="str">
        <f>IF(OR($A80="",$C80="",$D80="",$C80&gt;BJ$6,$D80&lt;BJ$9),"",IF($J80="里程碑","◆",""))</f>
        <v/>
      </c>
      <c r="BK80" s="8" t="str">
        <f>IF(OR($A80="",$C80="",$D80="",$C80&gt;BK$6,$D80&lt;BK$9),"",IF($J80="里程碑","◆",""))</f>
        <v/>
      </c>
      <c r="BL80" s="8" t="str">
        <f>IF(OR($A80="",$C80="",$D80="",$C80&gt;BL$6,$D80&lt;BL$9),"",IF($J80="里程碑","◆",""))</f>
        <v/>
      </c>
      <c r="BM80" s="8" t="str">
        <f>IF(OR($A80="",$C80="",$D80="",$C80&gt;BM$6,$D80&lt;BM$9),"",IF($J80="里程碑","◆",""))</f>
        <v/>
      </c>
      <c r="BN80" s="8" t="str">
        <f>IF(OR($A80="",$C80="",$D80="",$C80&gt;BN$6,$D80&lt;BN$9),"",IF($J80="里程碑","◆",""))</f>
        <v/>
      </c>
      <c r="BO80" s="8" t="str">
        <f>IF(OR($A80="",$C80="",$D80="",$C80&gt;BO$6,$D80&lt;BO$9),"",IF($J80="里程碑","◆",""))</f>
        <v/>
      </c>
      <c r="BP80" s="8" t="str">
        <f>IF(OR($A80="",$C80="",$D80="",$C80&gt;BP$6,$D80&lt;BP$9),"",IF($J80="里程碑","◆",""))</f>
        <v/>
      </c>
      <c r="BQ80" s="8" t="str">
        <f>IF(OR($A80="",$C80="",$D80="",$C80&gt;BQ$6,$D80&lt;BQ$9),"",IF($J80="里程碑","◆",""))</f>
        <v/>
      </c>
      <c r="BR80" s="8" t="str">
        <f>IF(OR($A80="",$C80="",$D80="",$C80&gt;BR$6,$D80&lt;BR$9),"",IF($J80="里程碑","◆",""))</f>
        <v/>
      </c>
      <c r="BS80" s="8" t="str">
        <f>IF(OR($A80="",$C80="",$D80="",$C80&gt;BS$6,$D80&lt;BS$9),"",IF($J80="里程碑","◆",""))</f>
        <v/>
      </c>
      <c r="BT80" s="8" t="str">
        <f>IF(OR($A80="",$C80="",$D80="",$C80&gt;BT$6,$D80&lt;BT$9),"",IF($J80="里程碑","◆",""))</f>
        <v/>
      </c>
      <c r="BU80" s="8" t="str">
        <f>IF(OR($A80="",$C80="",$D80="",$C80&gt;BU$6,$D80&lt;BU$9),"",IF($J80="里程碑","◆",""))</f>
        <v/>
      </c>
      <c r="BV80" s="8" t="str">
        <f>IF(OR($A80="",$C80="",$D80="",$C80&gt;BV$6,$D80&lt;BV$9),"",IF($J80="里程碑","◆",""))</f>
        <v/>
      </c>
      <c r="BW80" s="8" t="str">
        <f>IF(OR($A80="",$C80="",$D80="",$C80&gt;BW$6,$D80&lt;BW$9),"",IF($J80="里程碑","◆",""))</f>
        <v/>
      </c>
      <c r="BX80" s="8" t="str">
        <f>IF(OR($A80="",$C80="",$D80="",$C80&gt;BX$6,$D80&lt;BX$9),"",IF($J80="里程碑","◆",""))</f>
        <v/>
      </c>
      <c r="BY80" s="8" t="str">
        <f>IF(OR($A80="",$C80="",$D80="",$C80&gt;BY$6,$D80&lt;BY$9),"",IF($J80="里程碑","◆",""))</f>
        <v/>
      </c>
      <c r="BZ80" s="8" t="str">
        <f>IF(OR($A80="",$C80="",$D80="",$C80&gt;BZ$6,$D80&lt;BZ$9),"",IF($J80="里程碑","◆",""))</f>
        <v/>
      </c>
      <c r="CA80" s="8" t="str">
        <f>IF(OR($A80="",$C80="",$D80="",$C80&gt;CA$6,$D80&lt;CA$9),"",IF($J80="里程碑","◆",""))</f>
        <v/>
      </c>
      <c r="CB80" s="8" t="str">
        <f>IF(OR($A80="",$C80="",$D80="",$C80&gt;CB$6,$D80&lt;CB$9),"",IF($J80="里程碑","◆",""))</f>
        <v/>
      </c>
      <c r="CC80" s="8" t="str">
        <f>IF(OR($A80="",$C80="",$D80="",$C80&gt;CC$6,$D80&lt;CC$9),"",IF($J80="里程碑","◆",""))</f>
        <v/>
      </c>
      <c r="CD80" s="8" t="str">
        <f>IF(OR($A80="",$C80="",$D80="",$C80&gt;CD$6,$D80&lt;CD$9),"",IF($J80="里程碑","◆",""))</f>
        <v/>
      </c>
      <c r="CE80" s="8" t="str">
        <f>IF(OR($A80="",$C80="",$D80="",$C80&gt;CE$6,$D80&lt;CE$9),"",IF($J80="里程碑","◆",""))</f>
        <v/>
      </c>
      <c r="CF80" s="8" t="str">
        <f>IF(OR($A80="",$C80="",$D80="",$C80&gt;CF$6,$D80&lt;CF$9),"",IF($J80="里程碑","◆",""))</f>
        <v/>
      </c>
      <c r="CG80" s="8" t="str">
        <f>IF(OR($A80="",$C80="",$D80="",$C80&gt;CG$6,$D80&lt;CG$9),"",IF($J80="里程碑","◆",""))</f>
        <v/>
      </c>
      <c r="CH80" s="8" t="str">
        <f>IF(OR($A80="",$C80="",$D80="",$C80&gt;CH$6,$D80&lt;CH$9),"",IF($J80="里程碑","◆",""))</f>
        <v/>
      </c>
      <c r="CI80" s="8" t="str">
        <f>IF(OR($A80="",$C80="",$D80="",$C80&gt;CI$6,$D80&lt;CI$9),"",IF($J80="里程碑","◆",""))</f>
        <v/>
      </c>
      <c r="CJ80" s="8" t="str">
        <f>IF(OR($A80="",$C80="",$D80="",$C80&gt;CJ$6,$D80&lt;CJ$9),"",IF($J80="里程碑","◆",""))</f>
        <v/>
      </c>
      <c r="CK80" s="8" t="str">
        <f>IF(OR($A80="",$C80="",$D80="",$C80&gt;CK$6,$D80&lt;CK$9),"",IF($J80="里程碑","◆",""))</f>
        <v/>
      </c>
      <c r="CL80" s="8" t="str">
        <f>IF(OR($A80="",$C80="",$D80="",$C80&gt;CL$6,$D80&lt;CL$9),"",IF($J80="里程碑","◆",""))</f>
        <v/>
      </c>
      <c r="CM80" s="8" t="str">
        <f>IF(OR($A80="",$C80="",$D80="",$C80&gt;CM$6,$D80&lt;CM$9),"",IF($J80="里程碑","◆",""))</f>
        <v/>
      </c>
      <c r="CN80" s="8" t="str">
        <f>IF(OR($A80="",$C80="",$D80="",$C80&gt;CN$6,$D80&lt;CN$9),"",IF($J80="里程碑","◆",""))</f>
        <v/>
      </c>
      <c r="CO80" s="8" t="str">
        <f>IF(OR($A80="",$C80="",$D80="",$C80&gt;CO$6,$D80&lt;CO$9),"",IF($J80="里程碑","◆",""))</f>
        <v/>
      </c>
      <c r="CP80" s="8" t="str">
        <f>IF(OR($A80="",$C80="",$D80="",$C80&gt;CP$6,$D80&lt;CP$9),"",IF($J80="里程碑","◆",""))</f>
        <v/>
      </c>
      <c r="CQ80" s="8" t="str">
        <f>IF(OR($A80="",$C80="",$D80="",$C80&gt;CQ$6,$D80&lt;CQ$9),"",IF($J80="里程碑","◆",""))</f>
        <v/>
      </c>
      <c r="CR80" s="8" t="str">
        <f>IF(OR($A80="",$C80="",$D80="",$C80&gt;CR$6,$D80&lt;CR$9),"",IF($J80="里程碑","◆",""))</f>
        <v/>
      </c>
      <c r="CS80" s="8" t="str">
        <f>IF(OR($A80="",$C80="",$D80="",$C80&gt;CS$6,$D80&lt;CS$9),"",IF($J80="里程碑","◆",""))</f>
        <v/>
      </c>
      <c r="CT80" s="8" t="str">
        <f>IF(OR($A80="",$C80="",$D80="",$C80&gt;CT$6,$D80&lt;CT$9),"",IF($J80="里程碑","◆",""))</f>
        <v/>
      </c>
      <c r="CU80" s="8" t="str">
        <f>IF(OR($A80="",$C80="",$D80="",$C80&gt;CU$6,$D80&lt;CU$9),"",IF($J80="里程碑","◆",""))</f>
        <v/>
      </c>
      <c r="CV80" s="8" t="str">
        <f>IF(OR($A80="",$C80="",$D80="",$C80&gt;CV$6,$D80&lt;CV$9),"",IF($J80="里程碑","◆",""))</f>
        <v/>
      </c>
      <c r="CW80" s="8" t="str">
        <f>IF(OR($A80="",$C80="",$D80="",$C80&gt;CW$6,$D80&lt;CW$9),"",IF($J80="里程碑","◆",""))</f>
        <v/>
      </c>
      <c r="CX80" s="8" t="str">
        <f>IF(OR($A80="",$C80="",$D80="",$C80&gt;CX$6,$D80&lt;CX$9),"",IF($J80="里程碑","◆",""))</f>
        <v/>
      </c>
      <c r="CY80" s="8" t="str">
        <f>IF(OR($A80="",$C80="",$D80="",$C80&gt;CY$6,$D80&lt;CY$9),"",IF($J80="里程碑","◆",""))</f>
        <v/>
      </c>
      <c r="CZ80" s="8" t="str">
        <f>IF(OR($A80="",$C80="",$D80="",$C80&gt;CZ$6,$D80&lt;CZ$9),"",IF($J80="里程碑","◆",""))</f>
        <v/>
      </c>
      <c r="DA80" s="8" t="str">
        <f>IF(OR($A80="",$C80="",$D80="",$C80&gt;DA$6,$D80&lt;DA$9),"",IF($J80="里程碑","◆",""))</f>
        <v/>
      </c>
      <c r="DB80" s="8" t="str">
        <f>IF(OR($A80="",$C80="",$D80="",$C80&gt;DB$6,$D80&lt;DB$9),"",IF($J80="里程碑","◆",""))</f>
        <v/>
      </c>
      <c r="DC80" s="1" t="str">
        <f>IF(ROW()-9&gt;$DH$3,"",MATCH(ROW()-9,排期计算!$U$10:$U$109,0))</f>
        <v/>
      </c>
      <c r="DD80" s="1" t="str">
        <f>IF($DC80="","",INDEX(排期计算!$L$10:$L$109,$DC80))</f>
        <v/>
      </c>
      <c r="DE80" s="1"/>
      <c r="DF80" s="1"/>
      <c r="DG80" s="1"/>
      <c r="DH80" s="1"/>
      <c r="DI80" s="1"/>
      <c r="DJ80" s="1"/>
      <c r="DK80" s="1"/>
    </row>
    <row r="81" spans="1:115" ht="24.95" customHeight="1">
      <c r="A81" s="9" t="str">
        <f>IF($DC81="","",IF(AND(INDEX(排期计算!$A$10:$A$109,$DC81)="",NOT(ISNUMBER(INDEX(排期计算!$A$10:$A$109,$DC81)))),"",INDEX(排期计算!$A$10:$A$109,$DC81)))</f>
        <v/>
      </c>
      <c r="B81" s="1" t="str">
        <f>IF($DC81="","",REPT("　",$DD81-1)&amp;INDEX(排期计算!$B$10:$B$109,$DC81))</f>
        <v/>
      </c>
      <c r="C81" s="3" t="str">
        <f>IF($DC81="","",IF(AND(INDEX(排期计算!$M$10:$M$109,$DC81)="",NOT(ISNUMBER(INDEX(排期计算!$M$10:$M$109,$DC81)))),"",INDEX(排期计算!$M$10:$M$109,$DC81)))</f>
        <v/>
      </c>
      <c r="D81" s="3" t="str">
        <f>IF($DC81="","",IF(AND(INDEX(排期计算!$N$10:$N$109,$DC81)="",NOT(ISNUMBER(INDEX(排期计算!$N$10:$N$109,$DC81)))),"",INDEX(排期计算!$N$10:$N$109,$DC81)))</f>
        <v/>
      </c>
      <c r="E81" s="1" t="str">
        <f>IF(OR($C81="",$D81=""),"",IF($J81="里程碑",0,NETWORKDAYS($C81,$D81)))</f>
        <v/>
      </c>
      <c r="F81" s="7" t="str">
        <f>IF($DC81="","",IF(AND(INDEX(排期计算!$O$10:$O$109,$DC81)="",NOT(ISNUMBER(INDEX(排期计算!$O$10:$O$109,$DC81)))),"",INDEX(排期计算!$O$10:$O$109,$DC81)))</f>
        <v/>
      </c>
      <c r="G81" s="8" t="str">
        <f>IF($A81="","",IF(OR($C81="",$D81=""),"未排期",IF($F81&gt;=1,"已完成",IF($D81&lt;$B$4,"逾期",IF($C81&gt;$B$4,"未开始","进行中")))))</f>
        <v/>
      </c>
      <c r="H81" s="1" t="str">
        <f>IF($DC81="","",IF(AND(INDEX(排期计算!$C$10:$C$109,$DC81)="",NOT(ISNUMBER(INDEX(排期计算!$C$10:$C$109,$DC81)))),"",INDEX(排期计算!$C$10:$C$109,$DC81)))</f>
        <v/>
      </c>
      <c r="I81" s="1" t="str">
        <f>IF($DC81="","",IF(AND(INDEX(排期计算!$H$10:$H$109,$DC81)="",NOT(ISNUMBER(INDEX(排期计算!$H$10:$H$109,$DC81)))),"",INDEX(排期计算!$H$10:$H$109,$DC81)))</f>
        <v/>
      </c>
      <c r="J81" s="1" t="str">
        <f>IF($DC81="","",IF(AND(INDEX(排期计算!$K$10:$K$109,$DC81)="",NOT(ISNUMBER(INDEX(排期计算!$K$10:$K$109,$DC81)))),"",INDEX(排期计算!$K$10:$K$109,$DC81)))</f>
        <v/>
      </c>
      <c r="K81" s="8" t="str">
        <f>IF(OR($A81="",$C81="",$D81="",$C81&gt;K$6,$D81&lt;K$9),"",IF($J81="里程碑","◆",""))</f>
        <v/>
      </c>
      <c r="L81" s="8" t="str">
        <f>IF(OR($A81="",$C81="",$D81="",$C81&gt;L$6,$D81&lt;L$9),"",IF($J81="里程碑","◆",""))</f>
        <v/>
      </c>
      <c r="M81" s="8" t="str">
        <f>IF(OR($A81="",$C81="",$D81="",$C81&gt;M$6,$D81&lt;M$9),"",IF($J81="里程碑","◆",""))</f>
        <v/>
      </c>
      <c r="N81" s="8" t="str">
        <f>IF(OR($A81="",$C81="",$D81="",$C81&gt;N$6,$D81&lt;N$9),"",IF($J81="里程碑","◆",""))</f>
        <v/>
      </c>
      <c r="O81" s="8" t="str">
        <f>IF(OR($A81="",$C81="",$D81="",$C81&gt;O$6,$D81&lt;O$9),"",IF($J81="里程碑","◆",""))</f>
        <v/>
      </c>
      <c r="P81" s="8" t="str">
        <f>IF(OR($A81="",$C81="",$D81="",$C81&gt;P$6,$D81&lt;P$9),"",IF($J81="里程碑","◆",""))</f>
        <v/>
      </c>
      <c r="Q81" s="8" t="str">
        <f>IF(OR($A81="",$C81="",$D81="",$C81&gt;Q$6,$D81&lt;Q$9),"",IF($J81="里程碑","◆",""))</f>
        <v/>
      </c>
      <c r="R81" s="8" t="str">
        <f>IF(OR($A81="",$C81="",$D81="",$C81&gt;R$6,$D81&lt;R$9),"",IF($J81="里程碑","◆",""))</f>
        <v/>
      </c>
      <c r="S81" s="8" t="str">
        <f>IF(OR($A81="",$C81="",$D81="",$C81&gt;S$6,$D81&lt;S$9),"",IF($J81="里程碑","◆",""))</f>
        <v/>
      </c>
      <c r="T81" s="8" t="str">
        <f>IF(OR($A81="",$C81="",$D81="",$C81&gt;T$6,$D81&lt;T$9),"",IF($J81="里程碑","◆",""))</f>
        <v/>
      </c>
      <c r="U81" s="8" t="str">
        <f>IF(OR($A81="",$C81="",$D81="",$C81&gt;U$6,$D81&lt;U$9),"",IF($J81="里程碑","◆",""))</f>
        <v/>
      </c>
      <c r="V81" s="8" t="str">
        <f>IF(OR($A81="",$C81="",$D81="",$C81&gt;V$6,$D81&lt;V$9),"",IF($J81="里程碑","◆",""))</f>
        <v/>
      </c>
      <c r="W81" s="8" t="str">
        <f>IF(OR($A81="",$C81="",$D81="",$C81&gt;W$6,$D81&lt;W$9),"",IF($J81="里程碑","◆",""))</f>
        <v/>
      </c>
      <c r="X81" s="8" t="str">
        <f>IF(OR($A81="",$C81="",$D81="",$C81&gt;X$6,$D81&lt;X$9),"",IF($J81="里程碑","◆",""))</f>
        <v/>
      </c>
      <c r="Y81" s="8" t="str">
        <f>IF(OR($A81="",$C81="",$D81="",$C81&gt;Y$6,$D81&lt;Y$9),"",IF($J81="里程碑","◆",""))</f>
        <v/>
      </c>
      <c r="Z81" s="8" t="str">
        <f>IF(OR($A81="",$C81="",$D81="",$C81&gt;Z$6,$D81&lt;Z$9),"",IF($J81="里程碑","◆",""))</f>
        <v/>
      </c>
      <c r="AA81" s="8" t="str">
        <f>IF(OR($A81="",$C81="",$D81="",$C81&gt;AA$6,$D81&lt;AA$9),"",IF($J81="里程碑","◆",""))</f>
        <v/>
      </c>
      <c r="AB81" s="8" t="str">
        <f>IF(OR($A81="",$C81="",$D81="",$C81&gt;AB$6,$D81&lt;AB$9),"",IF($J81="里程碑","◆",""))</f>
        <v/>
      </c>
      <c r="AC81" s="8" t="str">
        <f>IF(OR($A81="",$C81="",$D81="",$C81&gt;AC$6,$D81&lt;AC$9),"",IF($J81="里程碑","◆",""))</f>
        <v/>
      </c>
      <c r="AD81" s="8" t="str">
        <f>IF(OR($A81="",$C81="",$D81="",$C81&gt;AD$6,$D81&lt;AD$9),"",IF($J81="里程碑","◆",""))</f>
        <v/>
      </c>
      <c r="AE81" s="8" t="str">
        <f>IF(OR($A81="",$C81="",$D81="",$C81&gt;AE$6,$D81&lt;AE$9),"",IF($J81="里程碑","◆",""))</f>
        <v/>
      </c>
      <c r="AF81" s="8" t="str">
        <f>IF(OR($A81="",$C81="",$D81="",$C81&gt;AF$6,$D81&lt;AF$9),"",IF($J81="里程碑","◆",""))</f>
        <v/>
      </c>
      <c r="AG81" s="8" t="str">
        <f>IF(OR($A81="",$C81="",$D81="",$C81&gt;AG$6,$D81&lt;AG$9),"",IF($J81="里程碑","◆",""))</f>
        <v/>
      </c>
      <c r="AH81" s="8" t="str">
        <f>IF(OR($A81="",$C81="",$D81="",$C81&gt;AH$6,$D81&lt;AH$9),"",IF($J81="里程碑","◆",""))</f>
        <v/>
      </c>
      <c r="AI81" s="8" t="str">
        <f>IF(OR($A81="",$C81="",$D81="",$C81&gt;AI$6,$D81&lt;AI$9),"",IF($J81="里程碑","◆",""))</f>
        <v/>
      </c>
      <c r="AJ81" s="8" t="str">
        <f>IF(OR($A81="",$C81="",$D81="",$C81&gt;AJ$6,$D81&lt;AJ$9),"",IF($J81="里程碑","◆",""))</f>
        <v/>
      </c>
      <c r="AK81" s="8" t="str">
        <f>IF(OR($A81="",$C81="",$D81="",$C81&gt;AK$6,$D81&lt;AK$9),"",IF($J81="里程碑","◆",""))</f>
        <v/>
      </c>
      <c r="AL81" s="8" t="str">
        <f>IF(OR($A81="",$C81="",$D81="",$C81&gt;AL$6,$D81&lt;AL$9),"",IF($J81="里程碑","◆",""))</f>
        <v/>
      </c>
      <c r="AM81" s="8" t="str">
        <f>IF(OR($A81="",$C81="",$D81="",$C81&gt;AM$6,$D81&lt;AM$9),"",IF($J81="里程碑","◆",""))</f>
        <v/>
      </c>
      <c r="AN81" s="8" t="str">
        <f>IF(OR($A81="",$C81="",$D81="",$C81&gt;AN$6,$D81&lt;AN$9),"",IF($J81="里程碑","◆",""))</f>
        <v/>
      </c>
      <c r="AO81" s="8" t="str">
        <f>IF(OR($A81="",$C81="",$D81="",$C81&gt;AO$6,$D81&lt;AO$9),"",IF($J81="里程碑","◆",""))</f>
        <v/>
      </c>
      <c r="AP81" s="8" t="str">
        <f>IF(OR($A81="",$C81="",$D81="",$C81&gt;AP$6,$D81&lt;AP$9),"",IF($J81="里程碑","◆",""))</f>
        <v/>
      </c>
      <c r="AQ81" s="8" t="str">
        <f>IF(OR($A81="",$C81="",$D81="",$C81&gt;AQ$6,$D81&lt;AQ$9),"",IF($J81="里程碑","◆",""))</f>
        <v/>
      </c>
      <c r="AR81" s="8" t="str">
        <f>IF(OR($A81="",$C81="",$D81="",$C81&gt;AR$6,$D81&lt;AR$9),"",IF($J81="里程碑","◆",""))</f>
        <v/>
      </c>
      <c r="AS81" s="8" t="str">
        <f>IF(OR($A81="",$C81="",$D81="",$C81&gt;AS$6,$D81&lt;AS$9),"",IF($J81="里程碑","◆",""))</f>
        <v/>
      </c>
      <c r="AT81" s="8" t="str">
        <f>IF(OR($A81="",$C81="",$D81="",$C81&gt;AT$6,$D81&lt;AT$9),"",IF($J81="里程碑","◆",""))</f>
        <v/>
      </c>
      <c r="AU81" s="8" t="str">
        <f>IF(OR($A81="",$C81="",$D81="",$C81&gt;AU$6,$D81&lt;AU$9),"",IF($J81="里程碑","◆",""))</f>
        <v/>
      </c>
      <c r="AV81" s="8" t="str">
        <f>IF(OR($A81="",$C81="",$D81="",$C81&gt;AV$6,$D81&lt;AV$9),"",IF($J81="里程碑","◆",""))</f>
        <v/>
      </c>
      <c r="AW81" s="8" t="str">
        <f>IF(OR($A81="",$C81="",$D81="",$C81&gt;AW$6,$D81&lt;AW$9),"",IF($J81="里程碑","◆",""))</f>
        <v/>
      </c>
      <c r="AX81" s="8" t="str">
        <f>IF(OR($A81="",$C81="",$D81="",$C81&gt;AX$6,$D81&lt;AX$9),"",IF($J81="里程碑","◆",""))</f>
        <v/>
      </c>
      <c r="AY81" s="8" t="str">
        <f>IF(OR($A81="",$C81="",$D81="",$C81&gt;AY$6,$D81&lt;AY$9),"",IF($J81="里程碑","◆",""))</f>
        <v/>
      </c>
      <c r="AZ81" s="8" t="str">
        <f>IF(OR($A81="",$C81="",$D81="",$C81&gt;AZ$6,$D81&lt;AZ$9),"",IF($J81="里程碑","◆",""))</f>
        <v/>
      </c>
      <c r="BA81" s="8" t="str">
        <f>IF(OR($A81="",$C81="",$D81="",$C81&gt;BA$6,$D81&lt;BA$9),"",IF($J81="里程碑","◆",""))</f>
        <v/>
      </c>
      <c r="BB81" s="8" t="str">
        <f>IF(OR($A81="",$C81="",$D81="",$C81&gt;BB$6,$D81&lt;BB$9),"",IF($J81="里程碑","◆",""))</f>
        <v/>
      </c>
      <c r="BC81" s="8" t="str">
        <f>IF(OR($A81="",$C81="",$D81="",$C81&gt;BC$6,$D81&lt;BC$9),"",IF($J81="里程碑","◆",""))</f>
        <v/>
      </c>
      <c r="BD81" s="8" t="str">
        <f>IF(OR($A81="",$C81="",$D81="",$C81&gt;BD$6,$D81&lt;BD$9),"",IF($J81="里程碑","◆",""))</f>
        <v/>
      </c>
      <c r="BE81" s="8" t="str">
        <f>IF(OR($A81="",$C81="",$D81="",$C81&gt;BE$6,$D81&lt;BE$9),"",IF($J81="里程碑","◆",""))</f>
        <v/>
      </c>
      <c r="BF81" s="8" t="str">
        <f>IF(OR($A81="",$C81="",$D81="",$C81&gt;BF$6,$D81&lt;BF$9),"",IF($J81="里程碑","◆",""))</f>
        <v/>
      </c>
      <c r="BG81" s="8" t="str">
        <f>IF(OR($A81="",$C81="",$D81="",$C81&gt;BG$6,$D81&lt;BG$9),"",IF($J81="里程碑","◆",""))</f>
        <v/>
      </c>
      <c r="BH81" s="8" t="str">
        <f>IF(OR($A81="",$C81="",$D81="",$C81&gt;BH$6,$D81&lt;BH$9),"",IF($J81="里程碑","◆",""))</f>
        <v/>
      </c>
      <c r="BI81" s="8" t="str">
        <f>IF(OR($A81="",$C81="",$D81="",$C81&gt;BI$6,$D81&lt;BI$9),"",IF($J81="里程碑","◆",""))</f>
        <v/>
      </c>
      <c r="BJ81" s="8" t="str">
        <f>IF(OR($A81="",$C81="",$D81="",$C81&gt;BJ$6,$D81&lt;BJ$9),"",IF($J81="里程碑","◆",""))</f>
        <v/>
      </c>
      <c r="BK81" s="8" t="str">
        <f>IF(OR($A81="",$C81="",$D81="",$C81&gt;BK$6,$D81&lt;BK$9),"",IF($J81="里程碑","◆",""))</f>
        <v/>
      </c>
      <c r="BL81" s="8" t="str">
        <f>IF(OR($A81="",$C81="",$D81="",$C81&gt;BL$6,$D81&lt;BL$9),"",IF($J81="里程碑","◆",""))</f>
        <v/>
      </c>
      <c r="BM81" s="8" t="str">
        <f>IF(OR($A81="",$C81="",$D81="",$C81&gt;BM$6,$D81&lt;BM$9),"",IF($J81="里程碑","◆",""))</f>
        <v/>
      </c>
      <c r="BN81" s="8" t="str">
        <f>IF(OR($A81="",$C81="",$D81="",$C81&gt;BN$6,$D81&lt;BN$9),"",IF($J81="里程碑","◆",""))</f>
        <v/>
      </c>
      <c r="BO81" s="8" t="str">
        <f>IF(OR($A81="",$C81="",$D81="",$C81&gt;BO$6,$D81&lt;BO$9),"",IF($J81="里程碑","◆",""))</f>
        <v/>
      </c>
      <c r="BP81" s="8" t="str">
        <f>IF(OR($A81="",$C81="",$D81="",$C81&gt;BP$6,$D81&lt;BP$9),"",IF($J81="里程碑","◆",""))</f>
        <v/>
      </c>
      <c r="BQ81" s="8" t="str">
        <f>IF(OR($A81="",$C81="",$D81="",$C81&gt;BQ$6,$D81&lt;BQ$9),"",IF($J81="里程碑","◆",""))</f>
        <v/>
      </c>
      <c r="BR81" s="8" t="str">
        <f>IF(OR($A81="",$C81="",$D81="",$C81&gt;BR$6,$D81&lt;BR$9),"",IF($J81="里程碑","◆",""))</f>
        <v/>
      </c>
      <c r="BS81" s="8" t="str">
        <f>IF(OR($A81="",$C81="",$D81="",$C81&gt;BS$6,$D81&lt;BS$9),"",IF($J81="里程碑","◆",""))</f>
        <v/>
      </c>
      <c r="BT81" s="8" t="str">
        <f>IF(OR($A81="",$C81="",$D81="",$C81&gt;BT$6,$D81&lt;BT$9),"",IF($J81="里程碑","◆",""))</f>
        <v/>
      </c>
      <c r="BU81" s="8" t="str">
        <f>IF(OR($A81="",$C81="",$D81="",$C81&gt;BU$6,$D81&lt;BU$9),"",IF($J81="里程碑","◆",""))</f>
        <v/>
      </c>
      <c r="BV81" s="8" t="str">
        <f>IF(OR($A81="",$C81="",$D81="",$C81&gt;BV$6,$D81&lt;BV$9),"",IF($J81="里程碑","◆",""))</f>
        <v/>
      </c>
      <c r="BW81" s="8" t="str">
        <f>IF(OR($A81="",$C81="",$D81="",$C81&gt;BW$6,$D81&lt;BW$9),"",IF($J81="里程碑","◆",""))</f>
        <v/>
      </c>
      <c r="BX81" s="8" t="str">
        <f>IF(OR($A81="",$C81="",$D81="",$C81&gt;BX$6,$D81&lt;BX$9),"",IF($J81="里程碑","◆",""))</f>
        <v/>
      </c>
      <c r="BY81" s="8" t="str">
        <f>IF(OR($A81="",$C81="",$D81="",$C81&gt;BY$6,$D81&lt;BY$9),"",IF($J81="里程碑","◆",""))</f>
        <v/>
      </c>
      <c r="BZ81" s="8" t="str">
        <f>IF(OR($A81="",$C81="",$D81="",$C81&gt;BZ$6,$D81&lt;BZ$9),"",IF($J81="里程碑","◆",""))</f>
        <v/>
      </c>
      <c r="CA81" s="8" t="str">
        <f>IF(OR($A81="",$C81="",$D81="",$C81&gt;CA$6,$D81&lt;CA$9),"",IF($J81="里程碑","◆",""))</f>
        <v/>
      </c>
      <c r="CB81" s="8" t="str">
        <f>IF(OR($A81="",$C81="",$D81="",$C81&gt;CB$6,$D81&lt;CB$9),"",IF($J81="里程碑","◆",""))</f>
        <v/>
      </c>
      <c r="CC81" s="8" t="str">
        <f>IF(OR($A81="",$C81="",$D81="",$C81&gt;CC$6,$D81&lt;CC$9),"",IF($J81="里程碑","◆",""))</f>
        <v/>
      </c>
      <c r="CD81" s="8" t="str">
        <f>IF(OR($A81="",$C81="",$D81="",$C81&gt;CD$6,$D81&lt;CD$9),"",IF($J81="里程碑","◆",""))</f>
        <v/>
      </c>
      <c r="CE81" s="8" t="str">
        <f>IF(OR($A81="",$C81="",$D81="",$C81&gt;CE$6,$D81&lt;CE$9),"",IF($J81="里程碑","◆",""))</f>
        <v/>
      </c>
      <c r="CF81" s="8" t="str">
        <f>IF(OR($A81="",$C81="",$D81="",$C81&gt;CF$6,$D81&lt;CF$9),"",IF($J81="里程碑","◆",""))</f>
        <v/>
      </c>
      <c r="CG81" s="8" t="str">
        <f>IF(OR($A81="",$C81="",$D81="",$C81&gt;CG$6,$D81&lt;CG$9),"",IF($J81="里程碑","◆",""))</f>
        <v/>
      </c>
      <c r="CH81" s="8" t="str">
        <f>IF(OR($A81="",$C81="",$D81="",$C81&gt;CH$6,$D81&lt;CH$9),"",IF($J81="里程碑","◆",""))</f>
        <v/>
      </c>
      <c r="CI81" s="8" t="str">
        <f>IF(OR($A81="",$C81="",$D81="",$C81&gt;CI$6,$D81&lt;CI$9),"",IF($J81="里程碑","◆",""))</f>
        <v/>
      </c>
      <c r="CJ81" s="8" t="str">
        <f>IF(OR($A81="",$C81="",$D81="",$C81&gt;CJ$6,$D81&lt;CJ$9),"",IF($J81="里程碑","◆",""))</f>
        <v/>
      </c>
      <c r="CK81" s="8" t="str">
        <f>IF(OR($A81="",$C81="",$D81="",$C81&gt;CK$6,$D81&lt;CK$9),"",IF($J81="里程碑","◆",""))</f>
        <v/>
      </c>
      <c r="CL81" s="8" t="str">
        <f>IF(OR($A81="",$C81="",$D81="",$C81&gt;CL$6,$D81&lt;CL$9),"",IF($J81="里程碑","◆",""))</f>
        <v/>
      </c>
      <c r="CM81" s="8" t="str">
        <f>IF(OR($A81="",$C81="",$D81="",$C81&gt;CM$6,$D81&lt;CM$9),"",IF($J81="里程碑","◆",""))</f>
        <v/>
      </c>
      <c r="CN81" s="8" t="str">
        <f>IF(OR($A81="",$C81="",$D81="",$C81&gt;CN$6,$D81&lt;CN$9),"",IF($J81="里程碑","◆",""))</f>
        <v/>
      </c>
      <c r="CO81" s="8" t="str">
        <f>IF(OR($A81="",$C81="",$D81="",$C81&gt;CO$6,$D81&lt;CO$9),"",IF($J81="里程碑","◆",""))</f>
        <v/>
      </c>
      <c r="CP81" s="8" t="str">
        <f>IF(OR($A81="",$C81="",$D81="",$C81&gt;CP$6,$D81&lt;CP$9),"",IF($J81="里程碑","◆",""))</f>
        <v/>
      </c>
      <c r="CQ81" s="8" t="str">
        <f>IF(OR($A81="",$C81="",$D81="",$C81&gt;CQ$6,$D81&lt;CQ$9),"",IF($J81="里程碑","◆",""))</f>
        <v/>
      </c>
      <c r="CR81" s="8" t="str">
        <f>IF(OR($A81="",$C81="",$D81="",$C81&gt;CR$6,$D81&lt;CR$9),"",IF($J81="里程碑","◆",""))</f>
        <v/>
      </c>
      <c r="CS81" s="8" t="str">
        <f>IF(OR($A81="",$C81="",$D81="",$C81&gt;CS$6,$D81&lt;CS$9),"",IF($J81="里程碑","◆",""))</f>
        <v/>
      </c>
      <c r="CT81" s="8" t="str">
        <f>IF(OR($A81="",$C81="",$D81="",$C81&gt;CT$6,$D81&lt;CT$9),"",IF($J81="里程碑","◆",""))</f>
        <v/>
      </c>
      <c r="CU81" s="8" t="str">
        <f>IF(OR($A81="",$C81="",$D81="",$C81&gt;CU$6,$D81&lt;CU$9),"",IF($J81="里程碑","◆",""))</f>
        <v/>
      </c>
      <c r="CV81" s="8" t="str">
        <f>IF(OR($A81="",$C81="",$D81="",$C81&gt;CV$6,$D81&lt;CV$9),"",IF($J81="里程碑","◆",""))</f>
        <v/>
      </c>
      <c r="CW81" s="8" t="str">
        <f>IF(OR($A81="",$C81="",$D81="",$C81&gt;CW$6,$D81&lt;CW$9),"",IF($J81="里程碑","◆",""))</f>
        <v/>
      </c>
      <c r="CX81" s="8" t="str">
        <f>IF(OR($A81="",$C81="",$D81="",$C81&gt;CX$6,$D81&lt;CX$9),"",IF($J81="里程碑","◆",""))</f>
        <v/>
      </c>
      <c r="CY81" s="8" t="str">
        <f>IF(OR($A81="",$C81="",$D81="",$C81&gt;CY$6,$D81&lt;CY$9),"",IF($J81="里程碑","◆",""))</f>
        <v/>
      </c>
      <c r="CZ81" s="8" t="str">
        <f>IF(OR($A81="",$C81="",$D81="",$C81&gt;CZ$6,$D81&lt;CZ$9),"",IF($J81="里程碑","◆",""))</f>
        <v/>
      </c>
      <c r="DA81" s="8" t="str">
        <f>IF(OR($A81="",$C81="",$D81="",$C81&gt;DA$6,$D81&lt;DA$9),"",IF($J81="里程碑","◆",""))</f>
        <v/>
      </c>
      <c r="DB81" s="8" t="str">
        <f>IF(OR($A81="",$C81="",$D81="",$C81&gt;DB$6,$D81&lt;DB$9),"",IF($J81="里程碑","◆",""))</f>
        <v/>
      </c>
      <c r="DC81" s="1" t="str">
        <f>IF(ROW()-9&gt;$DH$3,"",MATCH(ROW()-9,排期计算!$U$10:$U$109,0))</f>
        <v/>
      </c>
      <c r="DD81" s="1" t="str">
        <f>IF($DC81="","",INDEX(排期计算!$L$10:$L$109,$DC81))</f>
        <v/>
      </c>
      <c r="DE81" s="1"/>
      <c r="DF81" s="1"/>
      <c r="DG81" s="1"/>
      <c r="DH81" s="1"/>
      <c r="DI81" s="1"/>
      <c r="DJ81" s="1"/>
      <c r="DK81" s="1"/>
    </row>
    <row r="82" spans="1:115" ht="24.95" customHeight="1">
      <c r="A82" s="9" t="str">
        <f>IF($DC82="","",IF(AND(INDEX(排期计算!$A$10:$A$109,$DC82)="",NOT(ISNUMBER(INDEX(排期计算!$A$10:$A$109,$DC82)))),"",INDEX(排期计算!$A$10:$A$109,$DC82)))</f>
        <v/>
      </c>
      <c r="B82" s="1" t="str">
        <f>IF($DC82="","",REPT("　",$DD82-1)&amp;INDEX(排期计算!$B$10:$B$109,$DC82))</f>
        <v/>
      </c>
      <c r="C82" s="3" t="str">
        <f>IF($DC82="","",IF(AND(INDEX(排期计算!$M$10:$M$109,$DC82)="",NOT(ISNUMBER(INDEX(排期计算!$M$10:$M$109,$DC82)))),"",INDEX(排期计算!$M$10:$M$109,$DC82)))</f>
        <v/>
      </c>
      <c r="D82" s="3" t="str">
        <f>IF($DC82="","",IF(AND(INDEX(排期计算!$N$10:$N$109,$DC82)="",NOT(ISNUMBER(INDEX(排期计算!$N$10:$N$109,$DC82)))),"",INDEX(排期计算!$N$10:$N$109,$DC82)))</f>
        <v/>
      </c>
      <c r="E82" s="1" t="str">
        <f>IF(OR($C82="",$D82=""),"",IF($J82="里程碑",0,NETWORKDAYS($C82,$D82)))</f>
        <v/>
      </c>
      <c r="F82" s="7" t="str">
        <f>IF($DC82="","",IF(AND(INDEX(排期计算!$O$10:$O$109,$DC82)="",NOT(ISNUMBER(INDEX(排期计算!$O$10:$O$109,$DC82)))),"",INDEX(排期计算!$O$10:$O$109,$DC82)))</f>
        <v/>
      </c>
      <c r="G82" s="8" t="str">
        <f>IF($A82="","",IF(OR($C82="",$D82=""),"未排期",IF($F82&gt;=1,"已完成",IF($D82&lt;$B$4,"逾期",IF($C82&gt;$B$4,"未开始","进行中")))))</f>
        <v/>
      </c>
      <c r="H82" s="1" t="str">
        <f>IF($DC82="","",IF(AND(INDEX(排期计算!$C$10:$C$109,$DC82)="",NOT(ISNUMBER(INDEX(排期计算!$C$10:$C$109,$DC82)))),"",INDEX(排期计算!$C$10:$C$109,$DC82)))</f>
        <v/>
      </c>
      <c r="I82" s="1" t="str">
        <f>IF($DC82="","",IF(AND(INDEX(排期计算!$H$10:$H$109,$DC82)="",NOT(ISNUMBER(INDEX(排期计算!$H$10:$H$109,$DC82)))),"",INDEX(排期计算!$H$10:$H$109,$DC82)))</f>
        <v/>
      </c>
      <c r="J82" s="1" t="str">
        <f>IF($DC82="","",IF(AND(INDEX(排期计算!$K$10:$K$109,$DC82)="",NOT(ISNUMBER(INDEX(排期计算!$K$10:$K$109,$DC82)))),"",INDEX(排期计算!$K$10:$K$109,$DC82)))</f>
        <v/>
      </c>
      <c r="K82" s="8" t="str">
        <f>IF(OR($A82="",$C82="",$D82="",$C82&gt;K$6,$D82&lt;K$9),"",IF($J82="里程碑","◆",""))</f>
        <v/>
      </c>
      <c r="L82" s="8" t="str">
        <f>IF(OR($A82="",$C82="",$D82="",$C82&gt;L$6,$D82&lt;L$9),"",IF($J82="里程碑","◆",""))</f>
        <v/>
      </c>
      <c r="M82" s="8" t="str">
        <f>IF(OR($A82="",$C82="",$D82="",$C82&gt;M$6,$D82&lt;M$9),"",IF($J82="里程碑","◆",""))</f>
        <v/>
      </c>
      <c r="N82" s="8" t="str">
        <f>IF(OR($A82="",$C82="",$D82="",$C82&gt;N$6,$D82&lt;N$9),"",IF($J82="里程碑","◆",""))</f>
        <v/>
      </c>
      <c r="O82" s="8" t="str">
        <f>IF(OR($A82="",$C82="",$D82="",$C82&gt;O$6,$D82&lt;O$9),"",IF($J82="里程碑","◆",""))</f>
        <v/>
      </c>
      <c r="P82" s="8" t="str">
        <f>IF(OR($A82="",$C82="",$D82="",$C82&gt;P$6,$D82&lt;P$9),"",IF($J82="里程碑","◆",""))</f>
        <v/>
      </c>
      <c r="Q82" s="8" t="str">
        <f>IF(OR($A82="",$C82="",$D82="",$C82&gt;Q$6,$D82&lt;Q$9),"",IF($J82="里程碑","◆",""))</f>
        <v/>
      </c>
      <c r="R82" s="8" t="str">
        <f>IF(OR($A82="",$C82="",$D82="",$C82&gt;R$6,$D82&lt;R$9),"",IF($J82="里程碑","◆",""))</f>
        <v/>
      </c>
      <c r="S82" s="8" t="str">
        <f>IF(OR($A82="",$C82="",$D82="",$C82&gt;S$6,$D82&lt;S$9),"",IF($J82="里程碑","◆",""))</f>
        <v/>
      </c>
      <c r="T82" s="8" t="str">
        <f>IF(OR($A82="",$C82="",$D82="",$C82&gt;T$6,$D82&lt;T$9),"",IF($J82="里程碑","◆",""))</f>
        <v/>
      </c>
      <c r="U82" s="8" t="str">
        <f>IF(OR($A82="",$C82="",$D82="",$C82&gt;U$6,$D82&lt;U$9),"",IF($J82="里程碑","◆",""))</f>
        <v/>
      </c>
      <c r="V82" s="8" t="str">
        <f>IF(OR($A82="",$C82="",$D82="",$C82&gt;V$6,$D82&lt;V$9),"",IF($J82="里程碑","◆",""))</f>
        <v/>
      </c>
      <c r="W82" s="8" t="str">
        <f>IF(OR($A82="",$C82="",$D82="",$C82&gt;W$6,$D82&lt;W$9),"",IF($J82="里程碑","◆",""))</f>
        <v/>
      </c>
      <c r="X82" s="8" t="str">
        <f>IF(OR($A82="",$C82="",$D82="",$C82&gt;X$6,$D82&lt;X$9),"",IF($J82="里程碑","◆",""))</f>
        <v/>
      </c>
      <c r="Y82" s="8" t="str">
        <f>IF(OR($A82="",$C82="",$D82="",$C82&gt;Y$6,$D82&lt;Y$9),"",IF($J82="里程碑","◆",""))</f>
        <v/>
      </c>
      <c r="Z82" s="8" t="str">
        <f>IF(OR($A82="",$C82="",$D82="",$C82&gt;Z$6,$D82&lt;Z$9),"",IF($J82="里程碑","◆",""))</f>
        <v/>
      </c>
      <c r="AA82" s="8" t="str">
        <f>IF(OR($A82="",$C82="",$D82="",$C82&gt;AA$6,$D82&lt;AA$9),"",IF($J82="里程碑","◆",""))</f>
        <v/>
      </c>
      <c r="AB82" s="8" t="str">
        <f>IF(OR($A82="",$C82="",$D82="",$C82&gt;AB$6,$D82&lt;AB$9),"",IF($J82="里程碑","◆",""))</f>
        <v/>
      </c>
      <c r="AC82" s="8" t="str">
        <f>IF(OR($A82="",$C82="",$D82="",$C82&gt;AC$6,$D82&lt;AC$9),"",IF($J82="里程碑","◆",""))</f>
        <v/>
      </c>
      <c r="AD82" s="8" t="str">
        <f>IF(OR($A82="",$C82="",$D82="",$C82&gt;AD$6,$D82&lt;AD$9),"",IF($J82="里程碑","◆",""))</f>
        <v/>
      </c>
      <c r="AE82" s="8" t="str">
        <f>IF(OR($A82="",$C82="",$D82="",$C82&gt;AE$6,$D82&lt;AE$9),"",IF($J82="里程碑","◆",""))</f>
        <v/>
      </c>
      <c r="AF82" s="8" t="str">
        <f>IF(OR($A82="",$C82="",$D82="",$C82&gt;AF$6,$D82&lt;AF$9),"",IF($J82="里程碑","◆",""))</f>
        <v/>
      </c>
      <c r="AG82" s="8" t="str">
        <f>IF(OR($A82="",$C82="",$D82="",$C82&gt;AG$6,$D82&lt;AG$9),"",IF($J82="里程碑","◆",""))</f>
        <v/>
      </c>
      <c r="AH82" s="8" t="str">
        <f>IF(OR($A82="",$C82="",$D82="",$C82&gt;AH$6,$D82&lt;AH$9),"",IF($J82="里程碑","◆",""))</f>
        <v/>
      </c>
      <c r="AI82" s="8" t="str">
        <f>IF(OR($A82="",$C82="",$D82="",$C82&gt;AI$6,$D82&lt;AI$9),"",IF($J82="里程碑","◆",""))</f>
        <v/>
      </c>
      <c r="AJ82" s="8" t="str">
        <f>IF(OR($A82="",$C82="",$D82="",$C82&gt;AJ$6,$D82&lt;AJ$9),"",IF($J82="里程碑","◆",""))</f>
        <v/>
      </c>
      <c r="AK82" s="8" t="str">
        <f>IF(OR($A82="",$C82="",$D82="",$C82&gt;AK$6,$D82&lt;AK$9),"",IF($J82="里程碑","◆",""))</f>
        <v/>
      </c>
      <c r="AL82" s="8" t="str">
        <f>IF(OR($A82="",$C82="",$D82="",$C82&gt;AL$6,$D82&lt;AL$9),"",IF($J82="里程碑","◆",""))</f>
        <v/>
      </c>
      <c r="AM82" s="8" t="str">
        <f>IF(OR($A82="",$C82="",$D82="",$C82&gt;AM$6,$D82&lt;AM$9),"",IF($J82="里程碑","◆",""))</f>
        <v/>
      </c>
      <c r="AN82" s="8" t="str">
        <f>IF(OR($A82="",$C82="",$D82="",$C82&gt;AN$6,$D82&lt;AN$9),"",IF($J82="里程碑","◆",""))</f>
        <v/>
      </c>
      <c r="AO82" s="8" t="str">
        <f>IF(OR($A82="",$C82="",$D82="",$C82&gt;AO$6,$D82&lt;AO$9),"",IF($J82="里程碑","◆",""))</f>
        <v/>
      </c>
      <c r="AP82" s="8" t="str">
        <f>IF(OR($A82="",$C82="",$D82="",$C82&gt;AP$6,$D82&lt;AP$9),"",IF($J82="里程碑","◆",""))</f>
        <v/>
      </c>
      <c r="AQ82" s="8" t="str">
        <f>IF(OR($A82="",$C82="",$D82="",$C82&gt;AQ$6,$D82&lt;AQ$9),"",IF($J82="里程碑","◆",""))</f>
        <v/>
      </c>
      <c r="AR82" s="8" t="str">
        <f>IF(OR($A82="",$C82="",$D82="",$C82&gt;AR$6,$D82&lt;AR$9),"",IF($J82="里程碑","◆",""))</f>
        <v/>
      </c>
      <c r="AS82" s="8" t="str">
        <f>IF(OR($A82="",$C82="",$D82="",$C82&gt;AS$6,$D82&lt;AS$9),"",IF($J82="里程碑","◆",""))</f>
        <v/>
      </c>
      <c r="AT82" s="8" t="str">
        <f>IF(OR($A82="",$C82="",$D82="",$C82&gt;AT$6,$D82&lt;AT$9),"",IF($J82="里程碑","◆",""))</f>
        <v/>
      </c>
      <c r="AU82" s="8" t="str">
        <f>IF(OR($A82="",$C82="",$D82="",$C82&gt;AU$6,$D82&lt;AU$9),"",IF($J82="里程碑","◆",""))</f>
        <v/>
      </c>
      <c r="AV82" s="8" t="str">
        <f>IF(OR($A82="",$C82="",$D82="",$C82&gt;AV$6,$D82&lt;AV$9),"",IF($J82="里程碑","◆",""))</f>
        <v/>
      </c>
      <c r="AW82" s="8" t="str">
        <f>IF(OR($A82="",$C82="",$D82="",$C82&gt;AW$6,$D82&lt;AW$9),"",IF($J82="里程碑","◆",""))</f>
        <v/>
      </c>
      <c r="AX82" s="8" t="str">
        <f>IF(OR($A82="",$C82="",$D82="",$C82&gt;AX$6,$D82&lt;AX$9),"",IF($J82="里程碑","◆",""))</f>
        <v/>
      </c>
      <c r="AY82" s="8" t="str">
        <f>IF(OR($A82="",$C82="",$D82="",$C82&gt;AY$6,$D82&lt;AY$9),"",IF($J82="里程碑","◆",""))</f>
        <v/>
      </c>
      <c r="AZ82" s="8" t="str">
        <f>IF(OR($A82="",$C82="",$D82="",$C82&gt;AZ$6,$D82&lt;AZ$9),"",IF($J82="里程碑","◆",""))</f>
        <v/>
      </c>
      <c r="BA82" s="8" t="str">
        <f>IF(OR($A82="",$C82="",$D82="",$C82&gt;BA$6,$D82&lt;BA$9),"",IF($J82="里程碑","◆",""))</f>
        <v/>
      </c>
      <c r="BB82" s="8" t="str">
        <f>IF(OR($A82="",$C82="",$D82="",$C82&gt;BB$6,$D82&lt;BB$9),"",IF($J82="里程碑","◆",""))</f>
        <v/>
      </c>
      <c r="BC82" s="8" t="str">
        <f>IF(OR($A82="",$C82="",$D82="",$C82&gt;BC$6,$D82&lt;BC$9),"",IF($J82="里程碑","◆",""))</f>
        <v/>
      </c>
      <c r="BD82" s="8" t="str">
        <f>IF(OR($A82="",$C82="",$D82="",$C82&gt;BD$6,$D82&lt;BD$9),"",IF($J82="里程碑","◆",""))</f>
        <v/>
      </c>
      <c r="BE82" s="8" t="str">
        <f>IF(OR($A82="",$C82="",$D82="",$C82&gt;BE$6,$D82&lt;BE$9),"",IF($J82="里程碑","◆",""))</f>
        <v/>
      </c>
      <c r="BF82" s="8" t="str">
        <f>IF(OR($A82="",$C82="",$D82="",$C82&gt;BF$6,$D82&lt;BF$9),"",IF($J82="里程碑","◆",""))</f>
        <v/>
      </c>
      <c r="BG82" s="8" t="str">
        <f>IF(OR($A82="",$C82="",$D82="",$C82&gt;BG$6,$D82&lt;BG$9),"",IF($J82="里程碑","◆",""))</f>
        <v/>
      </c>
      <c r="BH82" s="8" t="str">
        <f>IF(OR($A82="",$C82="",$D82="",$C82&gt;BH$6,$D82&lt;BH$9),"",IF($J82="里程碑","◆",""))</f>
        <v/>
      </c>
      <c r="BI82" s="8" t="str">
        <f>IF(OR($A82="",$C82="",$D82="",$C82&gt;BI$6,$D82&lt;BI$9),"",IF($J82="里程碑","◆",""))</f>
        <v/>
      </c>
      <c r="BJ82" s="8" t="str">
        <f>IF(OR($A82="",$C82="",$D82="",$C82&gt;BJ$6,$D82&lt;BJ$9),"",IF($J82="里程碑","◆",""))</f>
        <v/>
      </c>
      <c r="BK82" s="8" t="str">
        <f>IF(OR($A82="",$C82="",$D82="",$C82&gt;BK$6,$D82&lt;BK$9),"",IF($J82="里程碑","◆",""))</f>
        <v/>
      </c>
      <c r="BL82" s="8" t="str">
        <f>IF(OR($A82="",$C82="",$D82="",$C82&gt;BL$6,$D82&lt;BL$9),"",IF($J82="里程碑","◆",""))</f>
        <v/>
      </c>
      <c r="BM82" s="8" t="str">
        <f>IF(OR($A82="",$C82="",$D82="",$C82&gt;BM$6,$D82&lt;BM$9),"",IF($J82="里程碑","◆",""))</f>
        <v/>
      </c>
      <c r="BN82" s="8" t="str">
        <f>IF(OR($A82="",$C82="",$D82="",$C82&gt;BN$6,$D82&lt;BN$9),"",IF($J82="里程碑","◆",""))</f>
        <v/>
      </c>
      <c r="BO82" s="8" t="str">
        <f>IF(OR($A82="",$C82="",$D82="",$C82&gt;BO$6,$D82&lt;BO$9),"",IF($J82="里程碑","◆",""))</f>
        <v/>
      </c>
      <c r="BP82" s="8" t="str">
        <f>IF(OR($A82="",$C82="",$D82="",$C82&gt;BP$6,$D82&lt;BP$9),"",IF($J82="里程碑","◆",""))</f>
        <v/>
      </c>
      <c r="BQ82" s="8" t="str">
        <f>IF(OR($A82="",$C82="",$D82="",$C82&gt;BQ$6,$D82&lt;BQ$9),"",IF($J82="里程碑","◆",""))</f>
        <v/>
      </c>
      <c r="BR82" s="8" t="str">
        <f>IF(OR($A82="",$C82="",$D82="",$C82&gt;BR$6,$D82&lt;BR$9),"",IF($J82="里程碑","◆",""))</f>
        <v/>
      </c>
      <c r="BS82" s="8" t="str">
        <f>IF(OR($A82="",$C82="",$D82="",$C82&gt;BS$6,$D82&lt;BS$9),"",IF($J82="里程碑","◆",""))</f>
        <v/>
      </c>
      <c r="BT82" s="8" t="str">
        <f>IF(OR($A82="",$C82="",$D82="",$C82&gt;BT$6,$D82&lt;BT$9),"",IF($J82="里程碑","◆",""))</f>
        <v/>
      </c>
      <c r="BU82" s="8" t="str">
        <f>IF(OR($A82="",$C82="",$D82="",$C82&gt;BU$6,$D82&lt;BU$9),"",IF($J82="里程碑","◆",""))</f>
        <v/>
      </c>
      <c r="BV82" s="8" t="str">
        <f>IF(OR($A82="",$C82="",$D82="",$C82&gt;BV$6,$D82&lt;BV$9),"",IF($J82="里程碑","◆",""))</f>
        <v/>
      </c>
      <c r="BW82" s="8" t="str">
        <f>IF(OR($A82="",$C82="",$D82="",$C82&gt;BW$6,$D82&lt;BW$9),"",IF($J82="里程碑","◆",""))</f>
        <v/>
      </c>
      <c r="BX82" s="8" t="str">
        <f>IF(OR($A82="",$C82="",$D82="",$C82&gt;BX$6,$D82&lt;BX$9),"",IF($J82="里程碑","◆",""))</f>
        <v/>
      </c>
      <c r="BY82" s="8" t="str">
        <f>IF(OR($A82="",$C82="",$D82="",$C82&gt;BY$6,$D82&lt;BY$9),"",IF($J82="里程碑","◆",""))</f>
        <v/>
      </c>
      <c r="BZ82" s="8" t="str">
        <f>IF(OR($A82="",$C82="",$D82="",$C82&gt;BZ$6,$D82&lt;BZ$9),"",IF($J82="里程碑","◆",""))</f>
        <v/>
      </c>
      <c r="CA82" s="8" t="str">
        <f>IF(OR($A82="",$C82="",$D82="",$C82&gt;CA$6,$D82&lt;CA$9),"",IF($J82="里程碑","◆",""))</f>
        <v/>
      </c>
      <c r="CB82" s="8" t="str">
        <f>IF(OR($A82="",$C82="",$D82="",$C82&gt;CB$6,$D82&lt;CB$9),"",IF($J82="里程碑","◆",""))</f>
        <v/>
      </c>
      <c r="CC82" s="8" t="str">
        <f>IF(OR($A82="",$C82="",$D82="",$C82&gt;CC$6,$D82&lt;CC$9),"",IF($J82="里程碑","◆",""))</f>
        <v/>
      </c>
      <c r="CD82" s="8" t="str">
        <f>IF(OR($A82="",$C82="",$D82="",$C82&gt;CD$6,$D82&lt;CD$9),"",IF($J82="里程碑","◆",""))</f>
        <v/>
      </c>
      <c r="CE82" s="8" t="str">
        <f>IF(OR($A82="",$C82="",$D82="",$C82&gt;CE$6,$D82&lt;CE$9),"",IF($J82="里程碑","◆",""))</f>
        <v/>
      </c>
      <c r="CF82" s="8" t="str">
        <f>IF(OR($A82="",$C82="",$D82="",$C82&gt;CF$6,$D82&lt;CF$9),"",IF($J82="里程碑","◆",""))</f>
        <v/>
      </c>
      <c r="CG82" s="8" t="str">
        <f>IF(OR($A82="",$C82="",$D82="",$C82&gt;CG$6,$D82&lt;CG$9),"",IF($J82="里程碑","◆",""))</f>
        <v/>
      </c>
      <c r="CH82" s="8" t="str">
        <f>IF(OR($A82="",$C82="",$D82="",$C82&gt;CH$6,$D82&lt;CH$9),"",IF($J82="里程碑","◆",""))</f>
        <v/>
      </c>
      <c r="CI82" s="8" t="str">
        <f>IF(OR($A82="",$C82="",$D82="",$C82&gt;CI$6,$D82&lt;CI$9),"",IF($J82="里程碑","◆",""))</f>
        <v/>
      </c>
      <c r="CJ82" s="8" t="str">
        <f>IF(OR($A82="",$C82="",$D82="",$C82&gt;CJ$6,$D82&lt;CJ$9),"",IF($J82="里程碑","◆",""))</f>
        <v/>
      </c>
      <c r="CK82" s="8" t="str">
        <f>IF(OR($A82="",$C82="",$D82="",$C82&gt;CK$6,$D82&lt;CK$9),"",IF($J82="里程碑","◆",""))</f>
        <v/>
      </c>
      <c r="CL82" s="8" t="str">
        <f>IF(OR($A82="",$C82="",$D82="",$C82&gt;CL$6,$D82&lt;CL$9),"",IF($J82="里程碑","◆",""))</f>
        <v/>
      </c>
      <c r="CM82" s="8" t="str">
        <f>IF(OR($A82="",$C82="",$D82="",$C82&gt;CM$6,$D82&lt;CM$9),"",IF($J82="里程碑","◆",""))</f>
        <v/>
      </c>
      <c r="CN82" s="8" t="str">
        <f>IF(OR($A82="",$C82="",$D82="",$C82&gt;CN$6,$D82&lt;CN$9),"",IF($J82="里程碑","◆",""))</f>
        <v/>
      </c>
      <c r="CO82" s="8" t="str">
        <f>IF(OR($A82="",$C82="",$D82="",$C82&gt;CO$6,$D82&lt;CO$9),"",IF($J82="里程碑","◆",""))</f>
        <v/>
      </c>
      <c r="CP82" s="8" t="str">
        <f>IF(OR($A82="",$C82="",$D82="",$C82&gt;CP$6,$D82&lt;CP$9),"",IF($J82="里程碑","◆",""))</f>
        <v/>
      </c>
      <c r="CQ82" s="8" t="str">
        <f>IF(OR($A82="",$C82="",$D82="",$C82&gt;CQ$6,$D82&lt;CQ$9),"",IF($J82="里程碑","◆",""))</f>
        <v/>
      </c>
      <c r="CR82" s="8" t="str">
        <f>IF(OR($A82="",$C82="",$D82="",$C82&gt;CR$6,$D82&lt;CR$9),"",IF($J82="里程碑","◆",""))</f>
        <v/>
      </c>
      <c r="CS82" s="8" t="str">
        <f>IF(OR($A82="",$C82="",$D82="",$C82&gt;CS$6,$D82&lt;CS$9),"",IF($J82="里程碑","◆",""))</f>
        <v/>
      </c>
      <c r="CT82" s="8" t="str">
        <f>IF(OR($A82="",$C82="",$D82="",$C82&gt;CT$6,$D82&lt;CT$9),"",IF($J82="里程碑","◆",""))</f>
        <v/>
      </c>
      <c r="CU82" s="8" t="str">
        <f>IF(OR($A82="",$C82="",$D82="",$C82&gt;CU$6,$D82&lt;CU$9),"",IF($J82="里程碑","◆",""))</f>
        <v/>
      </c>
      <c r="CV82" s="8" t="str">
        <f>IF(OR($A82="",$C82="",$D82="",$C82&gt;CV$6,$D82&lt;CV$9),"",IF($J82="里程碑","◆",""))</f>
        <v/>
      </c>
      <c r="CW82" s="8" t="str">
        <f>IF(OR($A82="",$C82="",$D82="",$C82&gt;CW$6,$D82&lt;CW$9),"",IF($J82="里程碑","◆",""))</f>
        <v/>
      </c>
      <c r="CX82" s="8" t="str">
        <f>IF(OR($A82="",$C82="",$D82="",$C82&gt;CX$6,$D82&lt;CX$9),"",IF($J82="里程碑","◆",""))</f>
        <v/>
      </c>
      <c r="CY82" s="8" t="str">
        <f>IF(OR($A82="",$C82="",$D82="",$C82&gt;CY$6,$D82&lt;CY$9),"",IF($J82="里程碑","◆",""))</f>
        <v/>
      </c>
      <c r="CZ82" s="8" t="str">
        <f>IF(OR($A82="",$C82="",$D82="",$C82&gt;CZ$6,$D82&lt;CZ$9),"",IF($J82="里程碑","◆",""))</f>
        <v/>
      </c>
      <c r="DA82" s="8" t="str">
        <f>IF(OR($A82="",$C82="",$D82="",$C82&gt;DA$6,$D82&lt;DA$9),"",IF($J82="里程碑","◆",""))</f>
        <v/>
      </c>
      <c r="DB82" s="8" t="str">
        <f>IF(OR($A82="",$C82="",$D82="",$C82&gt;DB$6,$D82&lt;DB$9),"",IF($J82="里程碑","◆",""))</f>
        <v/>
      </c>
      <c r="DC82" s="1" t="str">
        <f>IF(ROW()-9&gt;$DH$3,"",MATCH(ROW()-9,排期计算!$U$10:$U$109,0))</f>
        <v/>
      </c>
      <c r="DD82" s="1" t="str">
        <f>IF($DC82="","",INDEX(排期计算!$L$10:$L$109,$DC82))</f>
        <v/>
      </c>
      <c r="DE82" s="1"/>
      <c r="DF82" s="1"/>
      <c r="DG82" s="1"/>
      <c r="DH82" s="1"/>
      <c r="DI82" s="1"/>
      <c r="DJ82" s="1"/>
      <c r="DK82" s="1"/>
    </row>
    <row r="83" spans="1:115" ht="24.95" customHeight="1">
      <c r="A83" s="9" t="str">
        <f>IF($DC83="","",IF(AND(INDEX(排期计算!$A$10:$A$109,$DC83)="",NOT(ISNUMBER(INDEX(排期计算!$A$10:$A$109,$DC83)))),"",INDEX(排期计算!$A$10:$A$109,$DC83)))</f>
        <v/>
      </c>
      <c r="B83" s="1" t="str">
        <f>IF($DC83="","",REPT("　",$DD83-1)&amp;INDEX(排期计算!$B$10:$B$109,$DC83))</f>
        <v/>
      </c>
      <c r="C83" s="3" t="str">
        <f>IF($DC83="","",IF(AND(INDEX(排期计算!$M$10:$M$109,$DC83)="",NOT(ISNUMBER(INDEX(排期计算!$M$10:$M$109,$DC83)))),"",INDEX(排期计算!$M$10:$M$109,$DC83)))</f>
        <v/>
      </c>
      <c r="D83" s="3" t="str">
        <f>IF($DC83="","",IF(AND(INDEX(排期计算!$N$10:$N$109,$DC83)="",NOT(ISNUMBER(INDEX(排期计算!$N$10:$N$109,$DC83)))),"",INDEX(排期计算!$N$10:$N$109,$DC83)))</f>
        <v/>
      </c>
      <c r="E83" s="1" t="str">
        <f>IF(OR($C83="",$D83=""),"",IF($J83="里程碑",0,NETWORKDAYS($C83,$D83)))</f>
        <v/>
      </c>
      <c r="F83" s="7" t="str">
        <f>IF($DC83="","",IF(AND(INDEX(排期计算!$O$10:$O$109,$DC83)="",NOT(ISNUMBER(INDEX(排期计算!$O$10:$O$109,$DC83)))),"",INDEX(排期计算!$O$10:$O$109,$DC83)))</f>
        <v/>
      </c>
      <c r="G83" s="8" t="str">
        <f>IF($A83="","",IF(OR($C83="",$D83=""),"未排期",IF($F83&gt;=1,"已完成",IF($D83&lt;$B$4,"逾期",IF($C83&gt;$B$4,"未开始","进行中")))))</f>
        <v/>
      </c>
      <c r="H83" s="1" t="str">
        <f>IF($DC83="","",IF(AND(INDEX(排期计算!$C$10:$C$109,$DC83)="",NOT(ISNUMBER(INDEX(排期计算!$C$10:$C$109,$DC83)))),"",INDEX(排期计算!$C$10:$C$109,$DC83)))</f>
        <v/>
      </c>
      <c r="I83" s="1" t="str">
        <f>IF($DC83="","",IF(AND(INDEX(排期计算!$H$10:$H$109,$DC83)="",NOT(ISNUMBER(INDEX(排期计算!$H$10:$H$109,$DC83)))),"",INDEX(排期计算!$H$10:$H$109,$DC83)))</f>
        <v/>
      </c>
      <c r="J83" s="1" t="str">
        <f>IF($DC83="","",IF(AND(INDEX(排期计算!$K$10:$K$109,$DC83)="",NOT(ISNUMBER(INDEX(排期计算!$K$10:$K$109,$DC83)))),"",INDEX(排期计算!$K$10:$K$109,$DC83)))</f>
        <v/>
      </c>
      <c r="K83" s="8" t="str">
        <f>IF(OR($A83="",$C83="",$D83="",$C83&gt;K$6,$D83&lt;K$9),"",IF($J83="里程碑","◆",""))</f>
        <v/>
      </c>
      <c r="L83" s="8" t="str">
        <f>IF(OR($A83="",$C83="",$D83="",$C83&gt;L$6,$D83&lt;L$9),"",IF($J83="里程碑","◆",""))</f>
        <v/>
      </c>
      <c r="M83" s="8" t="str">
        <f>IF(OR($A83="",$C83="",$D83="",$C83&gt;M$6,$D83&lt;M$9),"",IF($J83="里程碑","◆",""))</f>
        <v/>
      </c>
      <c r="N83" s="8" t="str">
        <f>IF(OR($A83="",$C83="",$D83="",$C83&gt;N$6,$D83&lt;N$9),"",IF($J83="里程碑","◆",""))</f>
        <v/>
      </c>
      <c r="O83" s="8" t="str">
        <f>IF(OR($A83="",$C83="",$D83="",$C83&gt;O$6,$D83&lt;O$9),"",IF($J83="里程碑","◆",""))</f>
        <v/>
      </c>
      <c r="P83" s="8" t="str">
        <f>IF(OR($A83="",$C83="",$D83="",$C83&gt;P$6,$D83&lt;P$9),"",IF($J83="里程碑","◆",""))</f>
        <v/>
      </c>
      <c r="Q83" s="8" t="str">
        <f>IF(OR($A83="",$C83="",$D83="",$C83&gt;Q$6,$D83&lt;Q$9),"",IF($J83="里程碑","◆",""))</f>
        <v/>
      </c>
      <c r="R83" s="8" t="str">
        <f>IF(OR($A83="",$C83="",$D83="",$C83&gt;R$6,$D83&lt;R$9),"",IF($J83="里程碑","◆",""))</f>
        <v/>
      </c>
      <c r="S83" s="8" t="str">
        <f>IF(OR($A83="",$C83="",$D83="",$C83&gt;S$6,$D83&lt;S$9),"",IF($J83="里程碑","◆",""))</f>
        <v/>
      </c>
      <c r="T83" s="8" t="str">
        <f>IF(OR($A83="",$C83="",$D83="",$C83&gt;T$6,$D83&lt;T$9),"",IF($J83="里程碑","◆",""))</f>
        <v/>
      </c>
      <c r="U83" s="8" t="str">
        <f>IF(OR($A83="",$C83="",$D83="",$C83&gt;U$6,$D83&lt;U$9),"",IF($J83="里程碑","◆",""))</f>
        <v/>
      </c>
      <c r="V83" s="8" t="str">
        <f>IF(OR($A83="",$C83="",$D83="",$C83&gt;V$6,$D83&lt;V$9),"",IF($J83="里程碑","◆",""))</f>
        <v/>
      </c>
      <c r="W83" s="8" t="str">
        <f>IF(OR($A83="",$C83="",$D83="",$C83&gt;W$6,$D83&lt;W$9),"",IF($J83="里程碑","◆",""))</f>
        <v/>
      </c>
      <c r="X83" s="8" t="str">
        <f>IF(OR($A83="",$C83="",$D83="",$C83&gt;X$6,$D83&lt;X$9),"",IF($J83="里程碑","◆",""))</f>
        <v/>
      </c>
      <c r="Y83" s="8" t="str">
        <f>IF(OR($A83="",$C83="",$D83="",$C83&gt;Y$6,$D83&lt;Y$9),"",IF($J83="里程碑","◆",""))</f>
        <v/>
      </c>
      <c r="Z83" s="8" t="str">
        <f>IF(OR($A83="",$C83="",$D83="",$C83&gt;Z$6,$D83&lt;Z$9),"",IF($J83="里程碑","◆",""))</f>
        <v/>
      </c>
      <c r="AA83" s="8" t="str">
        <f>IF(OR($A83="",$C83="",$D83="",$C83&gt;AA$6,$D83&lt;AA$9),"",IF($J83="里程碑","◆",""))</f>
        <v/>
      </c>
      <c r="AB83" s="8" t="str">
        <f>IF(OR($A83="",$C83="",$D83="",$C83&gt;AB$6,$D83&lt;AB$9),"",IF($J83="里程碑","◆",""))</f>
        <v/>
      </c>
      <c r="AC83" s="8" t="str">
        <f>IF(OR($A83="",$C83="",$D83="",$C83&gt;AC$6,$D83&lt;AC$9),"",IF($J83="里程碑","◆",""))</f>
        <v/>
      </c>
      <c r="AD83" s="8" t="str">
        <f>IF(OR($A83="",$C83="",$D83="",$C83&gt;AD$6,$D83&lt;AD$9),"",IF($J83="里程碑","◆",""))</f>
        <v/>
      </c>
      <c r="AE83" s="8" t="str">
        <f>IF(OR($A83="",$C83="",$D83="",$C83&gt;AE$6,$D83&lt;AE$9),"",IF($J83="里程碑","◆",""))</f>
        <v/>
      </c>
      <c r="AF83" s="8" t="str">
        <f>IF(OR($A83="",$C83="",$D83="",$C83&gt;AF$6,$D83&lt;AF$9),"",IF($J83="里程碑","◆",""))</f>
        <v/>
      </c>
      <c r="AG83" s="8" t="str">
        <f>IF(OR($A83="",$C83="",$D83="",$C83&gt;AG$6,$D83&lt;AG$9),"",IF($J83="里程碑","◆",""))</f>
        <v/>
      </c>
      <c r="AH83" s="8" t="str">
        <f>IF(OR($A83="",$C83="",$D83="",$C83&gt;AH$6,$D83&lt;AH$9),"",IF($J83="里程碑","◆",""))</f>
        <v/>
      </c>
      <c r="AI83" s="8" t="str">
        <f>IF(OR($A83="",$C83="",$D83="",$C83&gt;AI$6,$D83&lt;AI$9),"",IF($J83="里程碑","◆",""))</f>
        <v/>
      </c>
      <c r="AJ83" s="8" t="str">
        <f>IF(OR($A83="",$C83="",$D83="",$C83&gt;AJ$6,$D83&lt;AJ$9),"",IF($J83="里程碑","◆",""))</f>
        <v/>
      </c>
      <c r="AK83" s="8" t="str">
        <f>IF(OR($A83="",$C83="",$D83="",$C83&gt;AK$6,$D83&lt;AK$9),"",IF($J83="里程碑","◆",""))</f>
        <v/>
      </c>
      <c r="AL83" s="8" t="str">
        <f>IF(OR($A83="",$C83="",$D83="",$C83&gt;AL$6,$D83&lt;AL$9),"",IF($J83="里程碑","◆",""))</f>
        <v/>
      </c>
      <c r="AM83" s="8" t="str">
        <f>IF(OR($A83="",$C83="",$D83="",$C83&gt;AM$6,$D83&lt;AM$9),"",IF($J83="里程碑","◆",""))</f>
        <v/>
      </c>
      <c r="AN83" s="8" t="str">
        <f>IF(OR($A83="",$C83="",$D83="",$C83&gt;AN$6,$D83&lt;AN$9),"",IF($J83="里程碑","◆",""))</f>
        <v/>
      </c>
      <c r="AO83" s="8" t="str">
        <f>IF(OR($A83="",$C83="",$D83="",$C83&gt;AO$6,$D83&lt;AO$9),"",IF($J83="里程碑","◆",""))</f>
        <v/>
      </c>
      <c r="AP83" s="8" t="str">
        <f>IF(OR($A83="",$C83="",$D83="",$C83&gt;AP$6,$D83&lt;AP$9),"",IF($J83="里程碑","◆",""))</f>
        <v/>
      </c>
      <c r="AQ83" s="8" t="str">
        <f>IF(OR($A83="",$C83="",$D83="",$C83&gt;AQ$6,$D83&lt;AQ$9),"",IF($J83="里程碑","◆",""))</f>
        <v/>
      </c>
      <c r="AR83" s="8" t="str">
        <f>IF(OR($A83="",$C83="",$D83="",$C83&gt;AR$6,$D83&lt;AR$9),"",IF($J83="里程碑","◆",""))</f>
        <v/>
      </c>
      <c r="AS83" s="8" t="str">
        <f>IF(OR($A83="",$C83="",$D83="",$C83&gt;AS$6,$D83&lt;AS$9),"",IF($J83="里程碑","◆",""))</f>
        <v/>
      </c>
      <c r="AT83" s="8" t="str">
        <f>IF(OR($A83="",$C83="",$D83="",$C83&gt;AT$6,$D83&lt;AT$9),"",IF($J83="里程碑","◆",""))</f>
        <v/>
      </c>
      <c r="AU83" s="8" t="str">
        <f>IF(OR($A83="",$C83="",$D83="",$C83&gt;AU$6,$D83&lt;AU$9),"",IF($J83="里程碑","◆",""))</f>
        <v/>
      </c>
      <c r="AV83" s="8" t="str">
        <f>IF(OR($A83="",$C83="",$D83="",$C83&gt;AV$6,$D83&lt;AV$9),"",IF($J83="里程碑","◆",""))</f>
        <v/>
      </c>
      <c r="AW83" s="8" t="str">
        <f>IF(OR($A83="",$C83="",$D83="",$C83&gt;AW$6,$D83&lt;AW$9),"",IF($J83="里程碑","◆",""))</f>
        <v/>
      </c>
      <c r="AX83" s="8" t="str">
        <f>IF(OR($A83="",$C83="",$D83="",$C83&gt;AX$6,$D83&lt;AX$9),"",IF($J83="里程碑","◆",""))</f>
        <v/>
      </c>
      <c r="AY83" s="8" t="str">
        <f>IF(OR($A83="",$C83="",$D83="",$C83&gt;AY$6,$D83&lt;AY$9),"",IF($J83="里程碑","◆",""))</f>
        <v/>
      </c>
      <c r="AZ83" s="8" t="str">
        <f>IF(OR($A83="",$C83="",$D83="",$C83&gt;AZ$6,$D83&lt;AZ$9),"",IF($J83="里程碑","◆",""))</f>
        <v/>
      </c>
      <c r="BA83" s="8" t="str">
        <f>IF(OR($A83="",$C83="",$D83="",$C83&gt;BA$6,$D83&lt;BA$9),"",IF($J83="里程碑","◆",""))</f>
        <v/>
      </c>
      <c r="BB83" s="8" t="str">
        <f>IF(OR($A83="",$C83="",$D83="",$C83&gt;BB$6,$D83&lt;BB$9),"",IF($J83="里程碑","◆",""))</f>
        <v/>
      </c>
      <c r="BC83" s="8" t="str">
        <f>IF(OR($A83="",$C83="",$D83="",$C83&gt;BC$6,$D83&lt;BC$9),"",IF($J83="里程碑","◆",""))</f>
        <v/>
      </c>
      <c r="BD83" s="8" t="str">
        <f>IF(OR($A83="",$C83="",$D83="",$C83&gt;BD$6,$D83&lt;BD$9),"",IF($J83="里程碑","◆",""))</f>
        <v/>
      </c>
      <c r="BE83" s="8" t="str">
        <f>IF(OR($A83="",$C83="",$D83="",$C83&gt;BE$6,$D83&lt;BE$9),"",IF($J83="里程碑","◆",""))</f>
        <v/>
      </c>
      <c r="BF83" s="8" t="str">
        <f>IF(OR($A83="",$C83="",$D83="",$C83&gt;BF$6,$D83&lt;BF$9),"",IF($J83="里程碑","◆",""))</f>
        <v/>
      </c>
      <c r="BG83" s="8" t="str">
        <f>IF(OR($A83="",$C83="",$D83="",$C83&gt;BG$6,$D83&lt;BG$9),"",IF($J83="里程碑","◆",""))</f>
        <v/>
      </c>
      <c r="BH83" s="8" t="str">
        <f>IF(OR($A83="",$C83="",$D83="",$C83&gt;BH$6,$D83&lt;BH$9),"",IF($J83="里程碑","◆",""))</f>
        <v/>
      </c>
      <c r="BI83" s="8" t="str">
        <f>IF(OR($A83="",$C83="",$D83="",$C83&gt;BI$6,$D83&lt;BI$9),"",IF($J83="里程碑","◆",""))</f>
        <v/>
      </c>
      <c r="BJ83" s="8" t="str">
        <f>IF(OR($A83="",$C83="",$D83="",$C83&gt;BJ$6,$D83&lt;BJ$9),"",IF($J83="里程碑","◆",""))</f>
        <v/>
      </c>
      <c r="BK83" s="8" t="str">
        <f>IF(OR($A83="",$C83="",$D83="",$C83&gt;BK$6,$D83&lt;BK$9),"",IF($J83="里程碑","◆",""))</f>
        <v/>
      </c>
      <c r="BL83" s="8" t="str">
        <f>IF(OR($A83="",$C83="",$D83="",$C83&gt;BL$6,$D83&lt;BL$9),"",IF($J83="里程碑","◆",""))</f>
        <v/>
      </c>
      <c r="BM83" s="8" t="str">
        <f>IF(OR($A83="",$C83="",$D83="",$C83&gt;BM$6,$D83&lt;BM$9),"",IF($J83="里程碑","◆",""))</f>
        <v/>
      </c>
      <c r="BN83" s="8" t="str">
        <f>IF(OR($A83="",$C83="",$D83="",$C83&gt;BN$6,$D83&lt;BN$9),"",IF($J83="里程碑","◆",""))</f>
        <v/>
      </c>
      <c r="BO83" s="8" t="str">
        <f>IF(OR($A83="",$C83="",$D83="",$C83&gt;BO$6,$D83&lt;BO$9),"",IF($J83="里程碑","◆",""))</f>
        <v/>
      </c>
      <c r="BP83" s="8" t="str">
        <f>IF(OR($A83="",$C83="",$D83="",$C83&gt;BP$6,$D83&lt;BP$9),"",IF($J83="里程碑","◆",""))</f>
        <v/>
      </c>
      <c r="BQ83" s="8" t="str">
        <f>IF(OR($A83="",$C83="",$D83="",$C83&gt;BQ$6,$D83&lt;BQ$9),"",IF($J83="里程碑","◆",""))</f>
        <v/>
      </c>
      <c r="BR83" s="8" t="str">
        <f>IF(OR($A83="",$C83="",$D83="",$C83&gt;BR$6,$D83&lt;BR$9),"",IF($J83="里程碑","◆",""))</f>
        <v/>
      </c>
      <c r="BS83" s="8" t="str">
        <f>IF(OR($A83="",$C83="",$D83="",$C83&gt;BS$6,$D83&lt;BS$9),"",IF($J83="里程碑","◆",""))</f>
        <v/>
      </c>
      <c r="BT83" s="8" t="str">
        <f>IF(OR($A83="",$C83="",$D83="",$C83&gt;BT$6,$D83&lt;BT$9),"",IF($J83="里程碑","◆",""))</f>
        <v/>
      </c>
      <c r="BU83" s="8" t="str">
        <f>IF(OR($A83="",$C83="",$D83="",$C83&gt;BU$6,$D83&lt;BU$9),"",IF($J83="里程碑","◆",""))</f>
        <v/>
      </c>
      <c r="BV83" s="8" t="str">
        <f>IF(OR($A83="",$C83="",$D83="",$C83&gt;BV$6,$D83&lt;BV$9),"",IF($J83="里程碑","◆",""))</f>
        <v/>
      </c>
      <c r="BW83" s="8" t="str">
        <f>IF(OR($A83="",$C83="",$D83="",$C83&gt;BW$6,$D83&lt;BW$9),"",IF($J83="里程碑","◆",""))</f>
        <v/>
      </c>
      <c r="BX83" s="8" t="str">
        <f>IF(OR($A83="",$C83="",$D83="",$C83&gt;BX$6,$D83&lt;BX$9),"",IF($J83="里程碑","◆",""))</f>
        <v/>
      </c>
      <c r="BY83" s="8" t="str">
        <f>IF(OR($A83="",$C83="",$D83="",$C83&gt;BY$6,$D83&lt;BY$9),"",IF($J83="里程碑","◆",""))</f>
        <v/>
      </c>
      <c r="BZ83" s="8" t="str">
        <f>IF(OR($A83="",$C83="",$D83="",$C83&gt;BZ$6,$D83&lt;BZ$9),"",IF($J83="里程碑","◆",""))</f>
        <v/>
      </c>
      <c r="CA83" s="8" t="str">
        <f>IF(OR($A83="",$C83="",$D83="",$C83&gt;CA$6,$D83&lt;CA$9),"",IF($J83="里程碑","◆",""))</f>
        <v/>
      </c>
      <c r="CB83" s="8" t="str">
        <f>IF(OR($A83="",$C83="",$D83="",$C83&gt;CB$6,$D83&lt;CB$9),"",IF($J83="里程碑","◆",""))</f>
        <v/>
      </c>
      <c r="CC83" s="8" t="str">
        <f>IF(OR($A83="",$C83="",$D83="",$C83&gt;CC$6,$D83&lt;CC$9),"",IF($J83="里程碑","◆",""))</f>
        <v/>
      </c>
      <c r="CD83" s="8" t="str">
        <f>IF(OR($A83="",$C83="",$D83="",$C83&gt;CD$6,$D83&lt;CD$9),"",IF($J83="里程碑","◆",""))</f>
        <v/>
      </c>
      <c r="CE83" s="8" t="str">
        <f>IF(OR($A83="",$C83="",$D83="",$C83&gt;CE$6,$D83&lt;CE$9),"",IF($J83="里程碑","◆",""))</f>
        <v/>
      </c>
      <c r="CF83" s="8" t="str">
        <f>IF(OR($A83="",$C83="",$D83="",$C83&gt;CF$6,$D83&lt;CF$9),"",IF($J83="里程碑","◆",""))</f>
        <v/>
      </c>
      <c r="CG83" s="8" t="str">
        <f>IF(OR($A83="",$C83="",$D83="",$C83&gt;CG$6,$D83&lt;CG$9),"",IF($J83="里程碑","◆",""))</f>
        <v/>
      </c>
      <c r="CH83" s="8" t="str">
        <f>IF(OR($A83="",$C83="",$D83="",$C83&gt;CH$6,$D83&lt;CH$9),"",IF($J83="里程碑","◆",""))</f>
        <v/>
      </c>
      <c r="CI83" s="8" t="str">
        <f>IF(OR($A83="",$C83="",$D83="",$C83&gt;CI$6,$D83&lt;CI$9),"",IF($J83="里程碑","◆",""))</f>
        <v/>
      </c>
      <c r="CJ83" s="8" t="str">
        <f>IF(OR($A83="",$C83="",$D83="",$C83&gt;CJ$6,$D83&lt;CJ$9),"",IF($J83="里程碑","◆",""))</f>
        <v/>
      </c>
      <c r="CK83" s="8" t="str">
        <f>IF(OR($A83="",$C83="",$D83="",$C83&gt;CK$6,$D83&lt;CK$9),"",IF($J83="里程碑","◆",""))</f>
        <v/>
      </c>
      <c r="CL83" s="8" t="str">
        <f>IF(OR($A83="",$C83="",$D83="",$C83&gt;CL$6,$D83&lt;CL$9),"",IF($J83="里程碑","◆",""))</f>
        <v/>
      </c>
      <c r="CM83" s="8" t="str">
        <f>IF(OR($A83="",$C83="",$D83="",$C83&gt;CM$6,$D83&lt;CM$9),"",IF($J83="里程碑","◆",""))</f>
        <v/>
      </c>
      <c r="CN83" s="8" t="str">
        <f>IF(OR($A83="",$C83="",$D83="",$C83&gt;CN$6,$D83&lt;CN$9),"",IF($J83="里程碑","◆",""))</f>
        <v/>
      </c>
      <c r="CO83" s="8" t="str">
        <f>IF(OR($A83="",$C83="",$D83="",$C83&gt;CO$6,$D83&lt;CO$9),"",IF($J83="里程碑","◆",""))</f>
        <v/>
      </c>
      <c r="CP83" s="8" t="str">
        <f>IF(OR($A83="",$C83="",$D83="",$C83&gt;CP$6,$D83&lt;CP$9),"",IF($J83="里程碑","◆",""))</f>
        <v/>
      </c>
      <c r="CQ83" s="8" t="str">
        <f>IF(OR($A83="",$C83="",$D83="",$C83&gt;CQ$6,$D83&lt;CQ$9),"",IF($J83="里程碑","◆",""))</f>
        <v/>
      </c>
      <c r="CR83" s="8" t="str">
        <f>IF(OR($A83="",$C83="",$D83="",$C83&gt;CR$6,$D83&lt;CR$9),"",IF($J83="里程碑","◆",""))</f>
        <v/>
      </c>
      <c r="CS83" s="8" t="str">
        <f>IF(OR($A83="",$C83="",$D83="",$C83&gt;CS$6,$D83&lt;CS$9),"",IF($J83="里程碑","◆",""))</f>
        <v/>
      </c>
      <c r="CT83" s="8" t="str">
        <f>IF(OR($A83="",$C83="",$D83="",$C83&gt;CT$6,$D83&lt;CT$9),"",IF($J83="里程碑","◆",""))</f>
        <v/>
      </c>
      <c r="CU83" s="8" t="str">
        <f>IF(OR($A83="",$C83="",$D83="",$C83&gt;CU$6,$D83&lt;CU$9),"",IF($J83="里程碑","◆",""))</f>
        <v/>
      </c>
      <c r="CV83" s="8" t="str">
        <f>IF(OR($A83="",$C83="",$D83="",$C83&gt;CV$6,$D83&lt;CV$9),"",IF($J83="里程碑","◆",""))</f>
        <v/>
      </c>
      <c r="CW83" s="8" t="str">
        <f>IF(OR($A83="",$C83="",$D83="",$C83&gt;CW$6,$D83&lt;CW$9),"",IF($J83="里程碑","◆",""))</f>
        <v/>
      </c>
      <c r="CX83" s="8" t="str">
        <f>IF(OR($A83="",$C83="",$D83="",$C83&gt;CX$6,$D83&lt;CX$9),"",IF($J83="里程碑","◆",""))</f>
        <v/>
      </c>
      <c r="CY83" s="8" t="str">
        <f>IF(OR($A83="",$C83="",$D83="",$C83&gt;CY$6,$D83&lt;CY$9),"",IF($J83="里程碑","◆",""))</f>
        <v/>
      </c>
      <c r="CZ83" s="8" t="str">
        <f>IF(OR($A83="",$C83="",$D83="",$C83&gt;CZ$6,$D83&lt;CZ$9),"",IF($J83="里程碑","◆",""))</f>
        <v/>
      </c>
      <c r="DA83" s="8" t="str">
        <f>IF(OR($A83="",$C83="",$D83="",$C83&gt;DA$6,$D83&lt;DA$9),"",IF($J83="里程碑","◆",""))</f>
        <v/>
      </c>
      <c r="DB83" s="8" t="str">
        <f>IF(OR($A83="",$C83="",$D83="",$C83&gt;DB$6,$D83&lt;DB$9),"",IF($J83="里程碑","◆",""))</f>
        <v/>
      </c>
      <c r="DC83" s="1" t="str">
        <f>IF(ROW()-9&gt;$DH$3,"",MATCH(ROW()-9,排期计算!$U$10:$U$109,0))</f>
        <v/>
      </c>
      <c r="DD83" s="1" t="str">
        <f>IF($DC83="","",INDEX(排期计算!$L$10:$L$109,$DC83))</f>
        <v/>
      </c>
      <c r="DE83" s="1"/>
      <c r="DF83" s="1"/>
      <c r="DG83" s="1"/>
      <c r="DH83" s="1"/>
      <c r="DI83" s="1"/>
      <c r="DJ83" s="1"/>
      <c r="DK83" s="1"/>
    </row>
    <row r="84" spans="1:115" ht="24.95" customHeight="1">
      <c r="A84" s="9" t="str">
        <f>IF($DC84="","",IF(AND(INDEX(排期计算!$A$10:$A$109,$DC84)="",NOT(ISNUMBER(INDEX(排期计算!$A$10:$A$109,$DC84)))),"",INDEX(排期计算!$A$10:$A$109,$DC84)))</f>
        <v/>
      </c>
      <c r="B84" s="1" t="str">
        <f>IF($DC84="","",REPT("　",$DD84-1)&amp;INDEX(排期计算!$B$10:$B$109,$DC84))</f>
        <v/>
      </c>
      <c r="C84" s="3" t="str">
        <f>IF($DC84="","",IF(AND(INDEX(排期计算!$M$10:$M$109,$DC84)="",NOT(ISNUMBER(INDEX(排期计算!$M$10:$M$109,$DC84)))),"",INDEX(排期计算!$M$10:$M$109,$DC84)))</f>
        <v/>
      </c>
      <c r="D84" s="3" t="str">
        <f>IF($DC84="","",IF(AND(INDEX(排期计算!$N$10:$N$109,$DC84)="",NOT(ISNUMBER(INDEX(排期计算!$N$10:$N$109,$DC84)))),"",INDEX(排期计算!$N$10:$N$109,$DC84)))</f>
        <v/>
      </c>
      <c r="E84" s="1" t="str">
        <f>IF(OR($C84="",$D84=""),"",IF($J84="里程碑",0,NETWORKDAYS($C84,$D84)))</f>
        <v/>
      </c>
      <c r="F84" s="7" t="str">
        <f>IF($DC84="","",IF(AND(INDEX(排期计算!$O$10:$O$109,$DC84)="",NOT(ISNUMBER(INDEX(排期计算!$O$10:$O$109,$DC84)))),"",INDEX(排期计算!$O$10:$O$109,$DC84)))</f>
        <v/>
      </c>
      <c r="G84" s="8" t="str">
        <f>IF($A84="","",IF(OR($C84="",$D84=""),"未排期",IF($F84&gt;=1,"已完成",IF($D84&lt;$B$4,"逾期",IF($C84&gt;$B$4,"未开始","进行中")))))</f>
        <v/>
      </c>
      <c r="H84" s="1" t="str">
        <f>IF($DC84="","",IF(AND(INDEX(排期计算!$C$10:$C$109,$DC84)="",NOT(ISNUMBER(INDEX(排期计算!$C$10:$C$109,$DC84)))),"",INDEX(排期计算!$C$10:$C$109,$DC84)))</f>
        <v/>
      </c>
      <c r="I84" s="1" t="str">
        <f>IF($DC84="","",IF(AND(INDEX(排期计算!$H$10:$H$109,$DC84)="",NOT(ISNUMBER(INDEX(排期计算!$H$10:$H$109,$DC84)))),"",INDEX(排期计算!$H$10:$H$109,$DC84)))</f>
        <v/>
      </c>
      <c r="J84" s="1" t="str">
        <f>IF($DC84="","",IF(AND(INDEX(排期计算!$K$10:$K$109,$DC84)="",NOT(ISNUMBER(INDEX(排期计算!$K$10:$K$109,$DC84)))),"",INDEX(排期计算!$K$10:$K$109,$DC84)))</f>
        <v/>
      </c>
      <c r="K84" s="8" t="str">
        <f>IF(OR($A84="",$C84="",$D84="",$C84&gt;K$6,$D84&lt;K$9),"",IF($J84="里程碑","◆",""))</f>
        <v/>
      </c>
      <c r="L84" s="8" t="str">
        <f>IF(OR($A84="",$C84="",$D84="",$C84&gt;L$6,$D84&lt;L$9),"",IF($J84="里程碑","◆",""))</f>
        <v/>
      </c>
      <c r="M84" s="8" t="str">
        <f>IF(OR($A84="",$C84="",$D84="",$C84&gt;M$6,$D84&lt;M$9),"",IF($J84="里程碑","◆",""))</f>
        <v/>
      </c>
      <c r="N84" s="8" t="str">
        <f>IF(OR($A84="",$C84="",$D84="",$C84&gt;N$6,$D84&lt;N$9),"",IF($J84="里程碑","◆",""))</f>
        <v/>
      </c>
      <c r="O84" s="8" t="str">
        <f>IF(OR($A84="",$C84="",$D84="",$C84&gt;O$6,$D84&lt;O$9),"",IF($J84="里程碑","◆",""))</f>
        <v/>
      </c>
      <c r="P84" s="8" t="str">
        <f>IF(OR($A84="",$C84="",$D84="",$C84&gt;P$6,$D84&lt;P$9),"",IF($J84="里程碑","◆",""))</f>
        <v/>
      </c>
      <c r="Q84" s="8" t="str">
        <f>IF(OR($A84="",$C84="",$D84="",$C84&gt;Q$6,$D84&lt;Q$9),"",IF($J84="里程碑","◆",""))</f>
        <v/>
      </c>
      <c r="R84" s="8" t="str">
        <f>IF(OR($A84="",$C84="",$D84="",$C84&gt;R$6,$D84&lt;R$9),"",IF($J84="里程碑","◆",""))</f>
        <v/>
      </c>
      <c r="S84" s="8" t="str">
        <f>IF(OR($A84="",$C84="",$D84="",$C84&gt;S$6,$D84&lt;S$9),"",IF($J84="里程碑","◆",""))</f>
        <v/>
      </c>
      <c r="T84" s="8" t="str">
        <f>IF(OR($A84="",$C84="",$D84="",$C84&gt;T$6,$D84&lt;T$9),"",IF($J84="里程碑","◆",""))</f>
        <v/>
      </c>
      <c r="U84" s="8" t="str">
        <f>IF(OR($A84="",$C84="",$D84="",$C84&gt;U$6,$D84&lt;U$9),"",IF($J84="里程碑","◆",""))</f>
        <v/>
      </c>
      <c r="V84" s="8" t="str">
        <f>IF(OR($A84="",$C84="",$D84="",$C84&gt;V$6,$D84&lt;V$9),"",IF($J84="里程碑","◆",""))</f>
        <v/>
      </c>
      <c r="W84" s="8" t="str">
        <f>IF(OR($A84="",$C84="",$D84="",$C84&gt;W$6,$D84&lt;W$9),"",IF($J84="里程碑","◆",""))</f>
        <v/>
      </c>
      <c r="X84" s="8" t="str">
        <f>IF(OR($A84="",$C84="",$D84="",$C84&gt;X$6,$D84&lt;X$9),"",IF($J84="里程碑","◆",""))</f>
        <v/>
      </c>
      <c r="Y84" s="8" t="str">
        <f>IF(OR($A84="",$C84="",$D84="",$C84&gt;Y$6,$D84&lt;Y$9),"",IF($J84="里程碑","◆",""))</f>
        <v/>
      </c>
      <c r="Z84" s="8" t="str">
        <f>IF(OR($A84="",$C84="",$D84="",$C84&gt;Z$6,$D84&lt;Z$9),"",IF($J84="里程碑","◆",""))</f>
        <v/>
      </c>
      <c r="AA84" s="8" t="str">
        <f>IF(OR($A84="",$C84="",$D84="",$C84&gt;AA$6,$D84&lt;AA$9),"",IF($J84="里程碑","◆",""))</f>
        <v/>
      </c>
      <c r="AB84" s="8" t="str">
        <f>IF(OR($A84="",$C84="",$D84="",$C84&gt;AB$6,$D84&lt;AB$9),"",IF($J84="里程碑","◆",""))</f>
        <v/>
      </c>
      <c r="AC84" s="8" t="str">
        <f>IF(OR($A84="",$C84="",$D84="",$C84&gt;AC$6,$D84&lt;AC$9),"",IF($J84="里程碑","◆",""))</f>
        <v/>
      </c>
      <c r="AD84" s="8" t="str">
        <f>IF(OR($A84="",$C84="",$D84="",$C84&gt;AD$6,$D84&lt;AD$9),"",IF($J84="里程碑","◆",""))</f>
        <v/>
      </c>
      <c r="AE84" s="8" t="str">
        <f>IF(OR($A84="",$C84="",$D84="",$C84&gt;AE$6,$D84&lt;AE$9),"",IF($J84="里程碑","◆",""))</f>
        <v/>
      </c>
      <c r="AF84" s="8" t="str">
        <f>IF(OR($A84="",$C84="",$D84="",$C84&gt;AF$6,$D84&lt;AF$9),"",IF($J84="里程碑","◆",""))</f>
        <v/>
      </c>
      <c r="AG84" s="8" t="str">
        <f>IF(OR($A84="",$C84="",$D84="",$C84&gt;AG$6,$D84&lt;AG$9),"",IF($J84="里程碑","◆",""))</f>
        <v/>
      </c>
      <c r="AH84" s="8" t="str">
        <f>IF(OR($A84="",$C84="",$D84="",$C84&gt;AH$6,$D84&lt;AH$9),"",IF($J84="里程碑","◆",""))</f>
        <v/>
      </c>
      <c r="AI84" s="8" t="str">
        <f>IF(OR($A84="",$C84="",$D84="",$C84&gt;AI$6,$D84&lt;AI$9),"",IF($J84="里程碑","◆",""))</f>
        <v/>
      </c>
      <c r="AJ84" s="8" t="str">
        <f>IF(OR($A84="",$C84="",$D84="",$C84&gt;AJ$6,$D84&lt;AJ$9),"",IF($J84="里程碑","◆",""))</f>
        <v/>
      </c>
      <c r="AK84" s="8" t="str">
        <f>IF(OR($A84="",$C84="",$D84="",$C84&gt;AK$6,$D84&lt;AK$9),"",IF($J84="里程碑","◆",""))</f>
        <v/>
      </c>
      <c r="AL84" s="8" t="str">
        <f>IF(OR($A84="",$C84="",$D84="",$C84&gt;AL$6,$D84&lt;AL$9),"",IF($J84="里程碑","◆",""))</f>
        <v/>
      </c>
      <c r="AM84" s="8" t="str">
        <f>IF(OR($A84="",$C84="",$D84="",$C84&gt;AM$6,$D84&lt;AM$9),"",IF($J84="里程碑","◆",""))</f>
        <v/>
      </c>
      <c r="AN84" s="8" t="str">
        <f>IF(OR($A84="",$C84="",$D84="",$C84&gt;AN$6,$D84&lt;AN$9),"",IF($J84="里程碑","◆",""))</f>
        <v/>
      </c>
      <c r="AO84" s="8" t="str">
        <f>IF(OR($A84="",$C84="",$D84="",$C84&gt;AO$6,$D84&lt;AO$9),"",IF($J84="里程碑","◆",""))</f>
        <v/>
      </c>
      <c r="AP84" s="8" t="str">
        <f>IF(OR($A84="",$C84="",$D84="",$C84&gt;AP$6,$D84&lt;AP$9),"",IF($J84="里程碑","◆",""))</f>
        <v/>
      </c>
      <c r="AQ84" s="8" t="str">
        <f>IF(OR($A84="",$C84="",$D84="",$C84&gt;AQ$6,$D84&lt;AQ$9),"",IF($J84="里程碑","◆",""))</f>
        <v/>
      </c>
      <c r="AR84" s="8" t="str">
        <f>IF(OR($A84="",$C84="",$D84="",$C84&gt;AR$6,$D84&lt;AR$9),"",IF($J84="里程碑","◆",""))</f>
        <v/>
      </c>
      <c r="AS84" s="8" t="str">
        <f>IF(OR($A84="",$C84="",$D84="",$C84&gt;AS$6,$D84&lt;AS$9),"",IF($J84="里程碑","◆",""))</f>
        <v/>
      </c>
      <c r="AT84" s="8" t="str">
        <f>IF(OR($A84="",$C84="",$D84="",$C84&gt;AT$6,$D84&lt;AT$9),"",IF($J84="里程碑","◆",""))</f>
        <v/>
      </c>
      <c r="AU84" s="8" t="str">
        <f>IF(OR($A84="",$C84="",$D84="",$C84&gt;AU$6,$D84&lt;AU$9),"",IF($J84="里程碑","◆",""))</f>
        <v/>
      </c>
      <c r="AV84" s="8" t="str">
        <f>IF(OR($A84="",$C84="",$D84="",$C84&gt;AV$6,$D84&lt;AV$9),"",IF($J84="里程碑","◆",""))</f>
        <v/>
      </c>
      <c r="AW84" s="8" t="str">
        <f>IF(OR($A84="",$C84="",$D84="",$C84&gt;AW$6,$D84&lt;AW$9),"",IF($J84="里程碑","◆",""))</f>
        <v/>
      </c>
      <c r="AX84" s="8" t="str">
        <f>IF(OR($A84="",$C84="",$D84="",$C84&gt;AX$6,$D84&lt;AX$9),"",IF($J84="里程碑","◆",""))</f>
        <v/>
      </c>
      <c r="AY84" s="8" t="str">
        <f>IF(OR($A84="",$C84="",$D84="",$C84&gt;AY$6,$D84&lt;AY$9),"",IF($J84="里程碑","◆",""))</f>
        <v/>
      </c>
      <c r="AZ84" s="8" t="str">
        <f>IF(OR($A84="",$C84="",$D84="",$C84&gt;AZ$6,$D84&lt;AZ$9),"",IF($J84="里程碑","◆",""))</f>
        <v/>
      </c>
      <c r="BA84" s="8" t="str">
        <f>IF(OR($A84="",$C84="",$D84="",$C84&gt;BA$6,$D84&lt;BA$9),"",IF($J84="里程碑","◆",""))</f>
        <v/>
      </c>
      <c r="BB84" s="8" t="str">
        <f>IF(OR($A84="",$C84="",$D84="",$C84&gt;BB$6,$D84&lt;BB$9),"",IF($J84="里程碑","◆",""))</f>
        <v/>
      </c>
      <c r="BC84" s="8" t="str">
        <f>IF(OR($A84="",$C84="",$D84="",$C84&gt;BC$6,$D84&lt;BC$9),"",IF($J84="里程碑","◆",""))</f>
        <v/>
      </c>
      <c r="BD84" s="8" t="str">
        <f>IF(OR($A84="",$C84="",$D84="",$C84&gt;BD$6,$D84&lt;BD$9),"",IF($J84="里程碑","◆",""))</f>
        <v/>
      </c>
      <c r="BE84" s="8" t="str">
        <f>IF(OR($A84="",$C84="",$D84="",$C84&gt;BE$6,$D84&lt;BE$9),"",IF($J84="里程碑","◆",""))</f>
        <v/>
      </c>
      <c r="BF84" s="8" t="str">
        <f>IF(OR($A84="",$C84="",$D84="",$C84&gt;BF$6,$D84&lt;BF$9),"",IF($J84="里程碑","◆",""))</f>
        <v/>
      </c>
      <c r="BG84" s="8" t="str">
        <f>IF(OR($A84="",$C84="",$D84="",$C84&gt;BG$6,$D84&lt;BG$9),"",IF($J84="里程碑","◆",""))</f>
        <v/>
      </c>
      <c r="BH84" s="8" t="str">
        <f>IF(OR($A84="",$C84="",$D84="",$C84&gt;BH$6,$D84&lt;BH$9),"",IF($J84="里程碑","◆",""))</f>
        <v/>
      </c>
      <c r="BI84" s="8" t="str">
        <f>IF(OR($A84="",$C84="",$D84="",$C84&gt;BI$6,$D84&lt;BI$9),"",IF($J84="里程碑","◆",""))</f>
        <v/>
      </c>
      <c r="BJ84" s="8" t="str">
        <f>IF(OR($A84="",$C84="",$D84="",$C84&gt;BJ$6,$D84&lt;BJ$9),"",IF($J84="里程碑","◆",""))</f>
        <v/>
      </c>
      <c r="BK84" s="8" t="str">
        <f>IF(OR($A84="",$C84="",$D84="",$C84&gt;BK$6,$D84&lt;BK$9),"",IF($J84="里程碑","◆",""))</f>
        <v/>
      </c>
      <c r="BL84" s="8" t="str">
        <f>IF(OR($A84="",$C84="",$D84="",$C84&gt;BL$6,$D84&lt;BL$9),"",IF($J84="里程碑","◆",""))</f>
        <v/>
      </c>
      <c r="BM84" s="8" t="str">
        <f>IF(OR($A84="",$C84="",$D84="",$C84&gt;BM$6,$D84&lt;BM$9),"",IF($J84="里程碑","◆",""))</f>
        <v/>
      </c>
      <c r="BN84" s="8" t="str">
        <f>IF(OR($A84="",$C84="",$D84="",$C84&gt;BN$6,$D84&lt;BN$9),"",IF($J84="里程碑","◆",""))</f>
        <v/>
      </c>
      <c r="BO84" s="8" t="str">
        <f>IF(OR($A84="",$C84="",$D84="",$C84&gt;BO$6,$D84&lt;BO$9),"",IF($J84="里程碑","◆",""))</f>
        <v/>
      </c>
      <c r="BP84" s="8" t="str">
        <f>IF(OR($A84="",$C84="",$D84="",$C84&gt;BP$6,$D84&lt;BP$9),"",IF($J84="里程碑","◆",""))</f>
        <v/>
      </c>
      <c r="BQ84" s="8" t="str">
        <f>IF(OR($A84="",$C84="",$D84="",$C84&gt;BQ$6,$D84&lt;BQ$9),"",IF($J84="里程碑","◆",""))</f>
        <v/>
      </c>
      <c r="BR84" s="8" t="str">
        <f>IF(OR($A84="",$C84="",$D84="",$C84&gt;BR$6,$D84&lt;BR$9),"",IF($J84="里程碑","◆",""))</f>
        <v/>
      </c>
      <c r="BS84" s="8" t="str">
        <f>IF(OR($A84="",$C84="",$D84="",$C84&gt;BS$6,$D84&lt;BS$9),"",IF($J84="里程碑","◆",""))</f>
        <v/>
      </c>
      <c r="BT84" s="8" t="str">
        <f>IF(OR($A84="",$C84="",$D84="",$C84&gt;BT$6,$D84&lt;BT$9),"",IF($J84="里程碑","◆",""))</f>
        <v/>
      </c>
      <c r="BU84" s="8" t="str">
        <f>IF(OR($A84="",$C84="",$D84="",$C84&gt;BU$6,$D84&lt;BU$9),"",IF($J84="里程碑","◆",""))</f>
        <v/>
      </c>
      <c r="BV84" s="8" t="str">
        <f>IF(OR($A84="",$C84="",$D84="",$C84&gt;BV$6,$D84&lt;BV$9),"",IF($J84="里程碑","◆",""))</f>
        <v/>
      </c>
      <c r="BW84" s="8" t="str">
        <f>IF(OR($A84="",$C84="",$D84="",$C84&gt;BW$6,$D84&lt;BW$9),"",IF($J84="里程碑","◆",""))</f>
        <v/>
      </c>
      <c r="BX84" s="8" t="str">
        <f>IF(OR($A84="",$C84="",$D84="",$C84&gt;BX$6,$D84&lt;BX$9),"",IF($J84="里程碑","◆",""))</f>
        <v/>
      </c>
      <c r="BY84" s="8" t="str">
        <f>IF(OR($A84="",$C84="",$D84="",$C84&gt;BY$6,$D84&lt;BY$9),"",IF($J84="里程碑","◆",""))</f>
        <v/>
      </c>
      <c r="BZ84" s="8" t="str">
        <f>IF(OR($A84="",$C84="",$D84="",$C84&gt;BZ$6,$D84&lt;BZ$9),"",IF($J84="里程碑","◆",""))</f>
        <v/>
      </c>
      <c r="CA84" s="8" t="str">
        <f>IF(OR($A84="",$C84="",$D84="",$C84&gt;CA$6,$D84&lt;CA$9),"",IF($J84="里程碑","◆",""))</f>
        <v/>
      </c>
      <c r="CB84" s="8" t="str">
        <f>IF(OR($A84="",$C84="",$D84="",$C84&gt;CB$6,$D84&lt;CB$9),"",IF($J84="里程碑","◆",""))</f>
        <v/>
      </c>
      <c r="CC84" s="8" t="str">
        <f>IF(OR($A84="",$C84="",$D84="",$C84&gt;CC$6,$D84&lt;CC$9),"",IF($J84="里程碑","◆",""))</f>
        <v/>
      </c>
      <c r="CD84" s="8" t="str">
        <f>IF(OR($A84="",$C84="",$D84="",$C84&gt;CD$6,$D84&lt;CD$9),"",IF($J84="里程碑","◆",""))</f>
        <v/>
      </c>
      <c r="CE84" s="8" t="str">
        <f>IF(OR($A84="",$C84="",$D84="",$C84&gt;CE$6,$D84&lt;CE$9),"",IF($J84="里程碑","◆",""))</f>
        <v/>
      </c>
      <c r="CF84" s="8" t="str">
        <f>IF(OR($A84="",$C84="",$D84="",$C84&gt;CF$6,$D84&lt;CF$9),"",IF($J84="里程碑","◆",""))</f>
        <v/>
      </c>
      <c r="CG84" s="8" t="str">
        <f>IF(OR($A84="",$C84="",$D84="",$C84&gt;CG$6,$D84&lt;CG$9),"",IF($J84="里程碑","◆",""))</f>
        <v/>
      </c>
      <c r="CH84" s="8" t="str">
        <f>IF(OR($A84="",$C84="",$D84="",$C84&gt;CH$6,$D84&lt;CH$9),"",IF($J84="里程碑","◆",""))</f>
        <v/>
      </c>
      <c r="CI84" s="8" t="str">
        <f>IF(OR($A84="",$C84="",$D84="",$C84&gt;CI$6,$D84&lt;CI$9),"",IF($J84="里程碑","◆",""))</f>
        <v/>
      </c>
      <c r="CJ84" s="8" t="str">
        <f>IF(OR($A84="",$C84="",$D84="",$C84&gt;CJ$6,$D84&lt;CJ$9),"",IF($J84="里程碑","◆",""))</f>
        <v/>
      </c>
      <c r="CK84" s="8" t="str">
        <f>IF(OR($A84="",$C84="",$D84="",$C84&gt;CK$6,$D84&lt;CK$9),"",IF($J84="里程碑","◆",""))</f>
        <v/>
      </c>
      <c r="CL84" s="8" t="str">
        <f>IF(OR($A84="",$C84="",$D84="",$C84&gt;CL$6,$D84&lt;CL$9),"",IF($J84="里程碑","◆",""))</f>
        <v/>
      </c>
      <c r="CM84" s="8" t="str">
        <f>IF(OR($A84="",$C84="",$D84="",$C84&gt;CM$6,$D84&lt;CM$9),"",IF($J84="里程碑","◆",""))</f>
        <v/>
      </c>
      <c r="CN84" s="8" t="str">
        <f>IF(OR($A84="",$C84="",$D84="",$C84&gt;CN$6,$D84&lt;CN$9),"",IF($J84="里程碑","◆",""))</f>
        <v/>
      </c>
      <c r="CO84" s="8" t="str">
        <f>IF(OR($A84="",$C84="",$D84="",$C84&gt;CO$6,$D84&lt;CO$9),"",IF($J84="里程碑","◆",""))</f>
        <v/>
      </c>
      <c r="CP84" s="8" t="str">
        <f>IF(OR($A84="",$C84="",$D84="",$C84&gt;CP$6,$D84&lt;CP$9),"",IF($J84="里程碑","◆",""))</f>
        <v/>
      </c>
      <c r="CQ84" s="8" t="str">
        <f>IF(OR($A84="",$C84="",$D84="",$C84&gt;CQ$6,$D84&lt;CQ$9),"",IF($J84="里程碑","◆",""))</f>
        <v/>
      </c>
      <c r="CR84" s="8" t="str">
        <f>IF(OR($A84="",$C84="",$D84="",$C84&gt;CR$6,$D84&lt;CR$9),"",IF($J84="里程碑","◆",""))</f>
        <v/>
      </c>
      <c r="CS84" s="8" t="str">
        <f>IF(OR($A84="",$C84="",$D84="",$C84&gt;CS$6,$D84&lt;CS$9),"",IF($J84="里程碑","◆",""))</f>
        <v/>
      </c>
      <c r="CT84" s="8" t="str">
        <f>IF(OR($A84="",$C84="",$D84="",$C84&gt;CT$6,$D84&lt;CT$9),"",IF($J84="里程碑","◆",""))</f>
        <v/>
      </c>
      <c r="CU84" s="8" t="str">
        <f>IF(OR($A84="",$C84="",$D84="",$C84&gt;CU$6,$D84&lt;CU$9),"",IF($J84="里程碑","◆",""))</f>
        <v/>
      </c>
      <c r="CV84" s="8" t="str">
        <f>IF(OR($A84="",$C84="",$D84="",$C84&gt;CV$6,$D84&lt;CV$9),"",IF($J84="里程碑","◆",""))</f>
        <v/>
      </c>
      <c r="CW84" s="8" t="str">
        <f>IF(OR($A84="",$C84="",$D84="",$C84&gt;CW$6,$D84&lt;CW$9),"",IF($J84="里程碑","◆",""))</f>
        <v/>
      </c>
      <c r="CX84" s="8" t="str">
        <f>IF(OR($A84="",$C84="",$D84="",$C84&gt;CX$6,$D84&lt;CX$9),"",IF($J84="里程碑","◆",""))</f>
        <v/>
      </c>
      <c r="CY84" s="8" t="str">
        <f>IF(OR($A84="",$C84="",$D84="",$C84&gt;CY$6,$D84&lt;CY$9),"",IF($J84="里程碑","◆",""))</f>
        <v/>
      </c>
      <c r="CZ84" s="8" t="str">
        <f>IF(OR($A84="",$C84="",$D84="",$C84&gt;CZ$6,$D84&lt;CZ$9),"",IF($J84="里程碑","◆",""))</f>
        <v/>
      </c>
      <c r="DA84" s="8" t="str">
        <f>IF(OR($A84="",$C84="",$D84="",$C84&gt;DA$6,$D84&lt;DA$9),"",IF($J84="里程碑","◆",""))</f>
        <v/>
      </c>
      <c r="DB84" s="8" t="str">
        <f>IF(OR($A84="",$C84="",$D84="",$C84&gt;DB$6,$D84&lt;DB$9),"",IF($J84="里程碑","◆",""))</f>
        <v/>
      </c>
      <c r="DC84" s="1" t="str">
        <f>IF(ROW()-9&gt;$DH$3,"",MATCH(ROW()-9,排期计算!$U$10:$U$109,0))</f>
        <v/>
      </c>
      <c r="DD84" s="1" t="str">
        <f>IF($DC84="","",INDEX(排期计算!$L$10:$L$109,$DC84))</f>
        <v/>
      </c>
      <c r="DE84" s="1"/>
      <c r="DF84" s="1"/>
      <c r="DG84" s="1"/>
      <c r="DH84" s="1"/>
      <c r="DI84" s="1"/>
      <c r="DJ84" s="1"/>
      <c r="DK84" s="1"/>
    </row>
    <row r="85" spans="1:115" ht="24.95" customHeight="1">
      <c r="A85" s="9" t="str">
        <f>IF($DC85="","",IF(AND(INDEX(排期计算!$A$10:$A$109,$DC85)="",NOT(ISNUMBER(INDEX(排期计算!$A$10:$A$109,$DC85)))),"",INDEX(排期计算!$A$10:$A$109,$DC85)))</f>
        <v/>
      </c>
      <c r="B85" s="1" t="str">
        <f>IF($DC85="","",REPT("　",$DD85-1)&amp;INDEX(排期计算!$B$10:$B$109,$DC85))</f>
        <v/>
      </c>
      <c r="C85" s="3" t="str">
        <f>IF($DC85="","",IF(AND(INDEX(排期计算!$M$10:$M$109,$DC85)="",NOT(ISNUMBER(INDEX(排期计算!$M$10:$M$109,$DC85)))),"",INDEX(排期计算!$M$10:$M$109,$DC85)))</f>
        <v/>
      </c>
      <c r="D85" s="3" t="str">
        <f>IF($DC85="","",IF(AND(INDEX(排期计算!$N$10:$N$109,$DC85)="",NOT(ISNUMBER(INDEX(排期计算!$N$10:$N$109,$DC85)))),"",INDEX(排期计算!$N$10:$N$109,$DC85)))</f>
        <v/>
      </c>
      <c r="E85" s="1" t="str">
        <f>IF(OR($C85="",$D85=""),"",IF($J85="里程碑",0,NETWORKDAYS($C85,$D85)))</f>
        <v/>
      </c>
      <c r="F85" s="7" t="str">
        <f>IF($DC85="","",IF(AND(INDEX(排期计算!$O$10:$O$109,$DC85)="",NOT(ISNUMBER(INDEX(排期计算!$O$10:$O$109,$DC85)))),"",INDEX(排期计算!$O$10:$O$109,$DC85)))</f>
        <v/>
      </c>
      <c r="G85" s="8" t="str">
        <f>IF($A85="","",IF(OR($C85="",$D85=""),"未排期",IF($F85&gt;=1,"已完成",IF($D85&lt;$B$4,"逾期",IF($C85&gt;$B$4,"未开始","进行中")))))</f>
        <v/>
      </c>
      <c r="H85" s="1" t="str">
        <f>IF($DC85="","",IF(AND(INDEX(排期计算!$C$10:$C$109,$DC85)="",NOT(ISNUMBER(INDEX(排期计算!$C$10:$C$109,$DC85)))),"",INDEX(排期计算!$C$10:$C$109,$DC85)))</f>
        <v/>
      </c>
      <c r="I85" s="1" t="str">
        <f>IF($DC85="","",IF(AND(INDEX(排期计算!$H$10:$H$109,$DC85)="",NOT(ISNUMBER(INDEX(排期计算!$H$10:$H$109,$DC85)))),"",INDEX(排期计算!$H$10:$H$109,$DC85)))</f>
        <v/>
      </c>
      <c r="J85" s="1" t="str">
        <f>IF($DC85="","",IF(AND(INDEX(排期计算!$K$10:$K$109,$DC85)="",NOT(ISNUMBER(INDEX(排期计算!$K$10:$K$109,$DC85)))),"",INDEX(排期计算!$K$10:$K$109,$DC85)))</f>
        <v/>
      </c>
      <c r="K85" s="8" t="str">
        <f>IF(OR($A85="",$C85="",$D85="",$C85&gt;K$6,$D85&lt;K$9),"",IF($J85="里程碑","◆",""))</f>
        <v/>
      </c>
      <c r="L85" s="8" t="str">
        <f>IF(OR($A85="",$C85="",$D85="",$C85&gt;L$6,$D85&lt;L$9),"",IF($J85="里程碑","◆",""))</f>
        <v/>
      </c>
      <c r="M85" s="8" t="str">
        <f>IF(OR($A85="",$C85="",$D85="",$C85&gt;M$6,$D85&lt;M$9),"",IF($J85="里程碑","◆",""))</f>
        <v/>
      </c>
      <c r="N85" s="8" t="str">
        <f>IF(OR($A85="",$C85="",$D85="",$C85&gt;N$6,$D85&lt;N$9),"",IF($J85="里程碑","◆",""))</f>
        <v/>
      </c>
      <c r="O85" s="8" t="str">
        <f>IF(OR($A85="",$C85="",$D85="",$C85&gt;O$6,$D85&lt;O$9),"",IF($J85="里程碑","◆",""))</f>
        <v/>
      </c>
      <c r="P85" s="8" t="str">
        <f>IF(OR($A85="",$C85="",$D85="",$C85&gt;P$6,$D85&lt;P$9),"",IF($J85="里程碑","◆",""))</f>
        <v/>
      </c>
      <c r="Q85" s="8" t="str">
        <f>IF(OR($A85="",$C85="",$D85="",$C85&gt;Q$6,$D85&lt;Q$9),"",IF($J85="里程碑","◆",""))</f>
        <v/>
      </c>
      <c r="R85" s="8" t="str">
        <f>IF(OR($A85="",$C85="",$D85="",$C85&gt;R$6,$D85&lt;R$9),"",IF($J85="里程碑","◆",""))</f>
        <v/>
      </c>
      <c r="S85" s="8" t="str">
        <f>IF(OR($A85="",$C85="",$D85="",$C85&gt;S$6,$D85&lt;S$9),"",IF($J85="里程碑","◆",""))</f>
        <v/>
      </c>
      <c r="T85" s="8" t="str">
        <f>IF(OR($A85="",$C85="",$D85="",$C85&gt;T$6,$D85&lt;T$9),"",IF($J85="里程碑","◆",""))</f>
        <v/>
      </c>
      <c r="U85" s="8" t="str">
        <f>IF(OR($A85="",$C85="",$D85="",$C85&gt;U$6,$D85&lt;U$9),"",IF($J85="里程碑","◆",""))</f>
        <v/>
      </c>
      <c r="V85" s="8" t="str">
        <f>IF(OR($A85="",$C85="",$D85="",$C85&gt;V$6,$D85&lt;V$9),"",IF($J85="里程碑","◆",""))</f>
        <v/>
      </c>
      <c r="W85" s="8" t="str">
        <f>IF(OR($A85="",$C85="",$D85="",$C85&gt;W$6,$D85&lt;W$9),"",IF($J85="里程碑","◆",""))</f>
        <v/>
      </c>
      <c r="X85" s="8" t="str">
        <f>IF(OR($A85="",$C85="",$D85="",$C85&gt;X$6,$D85&lt;X$9),"",IF($J85="里程碑","◆",""))</f>
        <v/>
      </c>
      <c r="Y85" s="8" t="str">
        <f>IF(OR($A85="",$C85="",$D85="",$C85&gt;Y$6,$D85&lt;Y$9),"",IF($J85="里程碑","◆",""))</f>
        <v/>
      </c>
      <c r="Z85" s="8" t="str">
        <f>IF(OR($A85="",$C85="",$D85="",$C85&gt;Z$6,$D85&lt;Z$9),"",IF($J85="里程碑","◆",""))</f>
        <v/>
      </c>
      <c r="AA85" s="8" t="str">
        <f>IF(OR($A85="",$C85="",$D85="",$C85&gt;AA$6,$D85&lt;AA$9),"",IF($J85="里程碑","◆",""))</f>
        <v/>
      </c>
      <c r="AB85" s="8" t="str">
        <f>IF(OR($A85="",$C85="",$D85="",$C85&gt;AB$6,$D85&lt;AB$9),"",IF($J85="里程碑","◆",""))</f>
        <v/>
      </c>
      <c r="AC85" s="8" t="str">
        <f>IF(OR($A85="",$C85="",$D85="",$C85&gt;AC$6,$D85&lt;AC$9),"",IF($J85="里程碑","◆",""))</f>
        <v/>
      </c>
      <c r="AD85" s="8" t="str">
        <f>IF(OR($A85="",$C85="",$D85="",$C85&gt;AD$6,$D85&lt;AD$9),"",IF($J85="里程碑","◆",""))</f>
        <v/>
      </c>
      <c r="AE85" s="8" t="str">
        <f>IF(OR($A85="",$C85="",$D85="",$C85&gt;AE$6,$D85&lt;AE$9),"",IF($J85="里程碑","◆",""))</f>
        <v/>
      </c>
      <c r="AF85" s="8" t="str">
        <f>IF(OR($A85="",$C85="",$D85="",$C85&gt;AF$6,$D85&lt;AF$9),"",IF($J85="里程碑","◆",""))</f>
        <v/>
      </c>
      <c r="AG85" s="8" t="str">
        <f>IF(OR($A85="",$C85="",$D85="",$C85&gt;AG$6,$D85&lt;AG$9),"",IF($J85="里程碑","◆",""))</f>
        <v/>
      </c>
      <c r="AH85" s="8" t="str">
        <f>IF(OR($A85="",$C85="",$D85="",$C85&gt;AH$6,$D85&lt;AH$9),"",IF($J85="里程碑","◆",""))</f>
        <v/>
      </c>
      <c r="AI85" s="8" t="str">
        <f>IF(OR($A85="",$C85="",$D85="",$C85&gt;AI$6,$D85&lt;AI$9),"",IF($J85="里程碑","◆",""))</f>
        <v/>
      </c>
      <c r="AJ85" s="8" t="str">
        <f>IF(OR($A85="",$C85="",$D85="",$C85&gt;AJ$6,$D85&lt;AJ$9),"",IF($J85="里程碑","◆",""))</f>
        <v/>
      </c>
      <c r="AK85" s="8" t="str">
        <f>IF(OR($A85="",$C85="",$D85="",$C85&gt;AK$6,$D85&lt;AK$9),"",IF($J85="里程碑","◆",""))</f>
        <v/>
      </c>
      <c r="AL85" s="8" t="str">
        <f>IF(OR($A85="",$C85="",$D85="",$C85&gt;AL$6,$D85&lt;AL$9),"",IF($J85="里程碑","◆",""))</f>
        <v/>
      </c>
      <c r="AM85" s="8" t="str">
        <f>IF(OR($A85="",$C85="",$D85="",$C85&gt;AM$6,$D85&lt;AM$9),"",IF($J85="里程碑","◆",""))</f>
        <v/>
      </c>
      <c r="AN85" s="8" t="str">
        <f>IF(OR($A85="",$C85="",$D85="",$C85&gt;AN$6,$D85&lt;AN$9),"",IF($J85="里程碑","◆",""))</f>
        <v/>
      </c>
      <c r="AO85" s="8" t="str">
        <f>IF(OR($A85="",$C85="",$D85="",$C85&gt;AO$6,$D85&lt;AO$9),"",IF($J85="里程碑","◆",""))</f>
        <v/>
      </c>
      <c r="AP85" s="8" t="str">
        <f>IF(OR($A85="",$C85="",$D85="",$C85&gt;AP$6,$D85&lt;AP$9),"",IF($J85="里程碑","◆",""))</f>
        <v/>
      </c>
      <c r="AQ85" s="8" t="str">
        <f>IF(OR($A85="",$C85="",$D85="",$C85&gt;AQ$6,$D85&lt;AQ$9),"",IF($J85="里程碑","◆",""))</f>
        <v/>
      </c>
      <c r="AR85" s="8" t="str">
        <f>IF(OR($A85="",$C85="",$D85="",$C85&gt;AR$6,$D85&lt;AR$9),"",IF($J85="里程碑","◆",""))</f>
        <v/>
      </c>
      <c r="AS85" s="8" t="str">
        <f>IF(OR($A85="",$C85="",$D85="",$C85&gt;AS$6,$D85&lt;AS$9),"",IF($J85="里程碑","◆",""))</f>
        <v/>
      </c>
      <c r="AT85" s="8" t="str">
        <f>IF(OR($A85="",$C85="",$D85="",$C85&gt;AT$6,$D85&lt;AT$9),"",IF($J85="里程碑","◆",""))</f>
        <v/>
      </c>
      <c r="AU85" s="8" t="str">
        <f>IF(OR($A85="",$C85="",$D85="",$C85&gt;AU$6,$D85&lt;AU$9),"",IF($J85="里程碑","◆",""))</f>
        <v/>
      </c>
      <c r="AV85" s="8" t="str">
        <f>IF(OR($A85="",$C85="",$D85="",$C85&gt;AV$6,$D85&lt;AV$9),"",IF($J85="里程碑","◆",""))</f>
        <v/>
      </c>
      <c r="AW85" s="8" t="str">
        <f>IF(OR($A85="",$C85="",$D85="",$C85&gt;AW$6,$D85&lt;AW$9),"",IF($J85="里程碑","◆",""))</f>
        <v/>
      </c>
      <c r="AX85" s="8" t="str">
        <f>IF(OR($A85="",$C85="",$D85="",$C85&gt;AX$6,$D85&lt;AX$9),"",IF($J85="里程碑","◆",""))</f>
        <v/>
      </c>
      <c r="AY85" s="8" t="str">
        <f>IF(OR($A85="",$C85="",$D85="",$C85&gt;AY$6,$D85&lt;AY$9),"",IF($J85="里程碑","◆",""))</f>
        <v/>
      </c>
      <c r="AZ85" s="8" t="str">
        <f>IF(OR($A85="",$C85="",$D85="",$C85&gt;AZ$6,$D85&lt;AZ$9),"",IF($J85="里程碑","◆",""))</f>
        <v/>
      </c>
      <c r="BA85" s="8" t="str">
        <f>IF(OR($A85="",$C85="",$D85="",$C85&gt;BA$6,$D85&lt;BA$9),"",IF($J85="里程碑","◆",""))</f>
        <v/>
      </c>
      <c r="BB85" s="8" t="str">
        <f>IF(OR($A85="",$C85="",$D85="",$C85&gt;BB$6,$D85&lt;BB$9),"",IF($J85="里程碑","◆",""))</f>
        <v/>
      </c>
      <c r="BC85" s="8" t="str">
        <f>IF(OR($A85="",$C85="",$D85="",$C85&gt;BC$6,$D85&lt;BC$9),"",IF($J85="里程碑","◆",""))</f>
        <v/>
      </c>
      <c r="BD85" s="8" t="str">
        <f>IF(OR($A85="",$C85="",$D85="",$C85&gt;BD$6,$D85&lt;BD$9),"",IF($J85="里程碑","◆",""))</f>
        <v/>
      </c>
      <c r="BE85" s="8" t="str">
        <f>IF(OR($A85="",$C85="",$D85="",$C85&gt;BE$6,$D85&lt;BE$9),"",IF($J85="里程碑","◆",""))</f>
        <v/>
      </c>
      <c r="BF85" s="8" t="str">
        <f>IF(OR($A85="",$C85="",$D85="",$C85&gt;BF$6,$D85&lt;BF$9),"",IF($J85="里程碑","◆",""))</f>
        <v/>
      </c>
      <c r="BG85" s="8" t="str">
        <f>IF(OR($A85="",$C85="",$D85="",$C85&gt;BG$6,$D85&lt;BG$9),"",IF($J85="里程碑","◆",""))</f>
        <v/>
      </c>
      <c r="BH85" s="8" t="str">
        <f>IF(OR($A85="",$C85="",$D85="",$C85&gt;BH$6,$D85&lt;BH$9),"",IF($J85="里程碑","◆",""))</f>
        <v/>
      </c>
      <c r="BI85" s="8" t="str">
        <f>IF(OR($A85="",$C85="",$D85="",$C85&gt;BI$6,$D85&lt;BI$9),"",IF($J85="里程碑","◆",""))</f>
        <v/>
      </c>
      <c r="BJ85" s="8" t="str">
        <f>IF(OR($A85="",$C85="",$D85="",$C85&gt;BJ$6,$D85&lt;BJ$9),"",IF($J85="里程碑","◆",""))</f>
        <v/>
      </c>
      <c r="BK85" s="8" t="str">
        <f>IF(OR($A85="",$C85="",$D85="",$C85&gt;BK$6,$D85&lt;BK$9),"",IF($J85="里程碑","◆",""))</f>
        <v/>
      </c>
      <c r="BL85" s="8" t="str">
        <f>IF(OR($A85="",$C85="",$D85="",$C85&gt;BL$6,$D85&lt;BL$9),"",IF($J85="里程碑","◆",""))</f>
        <v/>
      </c>
      <c r="BM85" s="8" t="str">
        <f>IF(OR($A85="",$C85="",$D85="",$C85&gt;BM$6,$D85&lt;BM$9),"",IF($J85="里程碑","◆",""))</f>
        <v/>
      </c>
      <c r="BN85" s="8" t="str">
        <f>IF(OR($A85="",$C85="",$D85="",$C85&gt;BN$6,$D85&lt;BN$9),"",IF($J85="里程碑","◆",""))</f>
        <v/>
      </c>
      <c r="BO85" s="8" t="str">
        <f>IF(OR($A85="",$C85="",$D85="",$C85&gt;BO$6,$D85&lt;BO$9),"",IF($J85="里程碑","◆",""))</f>
        <v/>
      </c>
      <c r="BP85" s="8" t="str">
        <f>IF(OR($A85="",$C85="",$D85="",$C85&gt;BP$6,$D85&lt;BP$9),"",IF($J85="里程碑","◆",""))</f>
        <v/>
      </c>
      <c r="BQ85" s="8" t="str">
        <f>IF(OR($A85="",$C85="",$D85="",$C85&gt;BQ$6,$D85&lt;BQ$9),"",IF($J85="里程碑","◆",""))</f>
        <v/>
      </c>
      <c r="BR85" s="8" t="str">
        <f>IF(OR($A85="",$C85="",$D85="",$C85&gt;BR$6,$D85&lt;BR$9),"",IF($J85="里程碑","◆",""))</f>
        <v/>
      </c>
      <c r="BS85" s="8" t="str">
        <f>IF(OR($A85="",$C85="",$D85="",$C85&gt;BS$6,$D85&lt;BS$9),"",IF($J85="里程碑","◆",""))</f>
        <v/>
      </c>
      <c r="BT85" s="8" t="str">
        <f>IF(OR($A85="",$C85="",$D85="",$C85&gt;BT$6,$D85&lt;BT$9),"",IF($J85="里程碑","◆",""))</f>
        <v/>
      </c>
      <c r="BU85" s="8" t="str">
        <f>IF(OR($A85="",$C85="",$D85="",$C85&gt;BU$6,$D85&lt;BU$9),"",IF($J85="里程碑","◆",""))</f>
        <v/>
      </c>
      <c r="BV85" s="8" t="str">
        <f>IF(OR($A85="",$C85="",$D85="",$C85&gt;BV$6,$D85&lt;BV$9),"",IF($J85="里程碑","◆",""))</f>
        <v/>
      </c>
      <c r="BW85" s="8" t="str">
        <f>IF(OR($A85="",$C85="",$D85="",$C85&gt;BW$6,$D85&lt;BW$9),"",IF($J85="里程碑","◆",""))</f>
        <v/>
      </c>
      <c r="BX85" s="8" t="str">
        <f>IF(OR($A85="",$C85="",$D85="",$C85&gt;BX$6,$D85&lt;BX$9),"",IF($J85="里程碑","◆",""))</f>
        <v/>
      </c>
      <c r="BY85" s="8" t="str">
        <f>IF(OR($A85="",$C85="",$D85="",$C85&gt;BY$6,$D85&lt;BY$9),"",IF($J85="里程碑","◆",""))</f>
        <v/>
      </c>
      <c r="BZ85" s="8" t="str">
        <f>IF(OR($A85="",$C85="",$D85="",$C85&gt;BZ$6,$D85&lt;BZ$9),"",IF($J85="里程碑","◆",""))</f>
        <v/>
      </c>
      <c r="CA85" s="8" t="str">
        <f>IF(OR($A85="",$C85="",$D85="",$C85&gt;CA$6,$D85&lt;CA$9),"",IF($J85="里程碑","◆",""))</f>
        <v/>
      </c>
      <c r="CB85" s="8" t="str">
        <f>IF(OR($A85="",$C85="",$D85="",$C85&gt;CB$6,$D85&lt;CB$9),"",IF($J85="里程碑","◆",""))</f>
        <v/>
      </c>
      <c r="CC85" s="8" t="str">
        <f>IF(OR($A85="",$C85="",$D85="",$C85&gt;CC$6,$D85&lt;CC$9),"",IF($J85="里程碑","◆",""))</f>
        <v/>
      </c>
      <c r="CD85" s="8" t="str">
        <f>IF(OR($A85="",$C85="",$D85="",$C85&gt;CD$6,$D85&lt;CD$9),"",IF($J85="里程碑","◆",""))</f>
        <v/>
      </c>
      <c r="CE85" s="8" t="str">
        <f>IF(OR($A85="",$C85="",$D85="",$C85&gt;CE$6,$D85&lt;CE$9),"",IF($J85="里程碑","◆",""))</f>
        <v/>
      </c>
      <c r="CF85" s="8" t="str">
        <f>IF(OR($A85="",$C85="",$D85="",$C85&gt;CF$6,$D85&lt;CF$9),"",IF($J85="里程碑","◆",""))</f>
        <v/>
      </c>
      <c r="CG85" s="8" t="str">
        <f>IF(OR($A85="",$C85="",$D85="",$C85&gt;CG$6,$D85&lt;CG$9),"",IF($J85="里程碑","◆",""))</f>
        <v/>
      </c>
      <c r="CH85" s="8" t="str">
        <f>IF(OR($A85="",$C85="",$D85="",$C85&gt;CH$6,$D85&lt;CH$9),"",IF($J85="里程碑","◆",""))</f>
        <v/>
      </c>
      <c r="CI85" s="8" t="str">
        <f>IF(OR($A85="",$C85="",$D85="",$C85&gt;CI$6,$D85&lt;CI$9),"",IF($J85="里程碑","◆",""))</f>
        <v/>
      </c>
      <c r="CJ85" s="8" t="str">
        <f>IF(OR($A85="",$C85="",$D85="",$C85&gt;CJ$6,$D85&lt;CJ$9),"",IF($J85="里程碑","◆",""))</f>
        <v/>
      </c>
      <c r="CK85" s="8" t="str">
        <f>IF(OR($A85="",$C85="",$D85="",$C85&gt;CK$6,$D85&lt;CK$9),"",IF($J85="里程碑","◆",""))</f>
        <v/>
      </c>
      <c r="CL85" s="8" t="str">
        <f>IF(OR($A85="",$C85="",$D85="",$C85&gt;CL$6,$D85&lt;CL$9),"",IF($J85="里程碑","◆",""))</f>
        <v/>
      </c>
      <c r="CM85" s="8" t="str">
        <f>IF(OR($A85="",$C85="",$D85="",$C85&gt;CM$6,$D85&lt;CM$9),"",IF($J85="里程碑","◆",""))</f>
        <v/>
      </c>
      <c r="CN85" s="8" t="str">
        <f>IF(OR($A85="",$C85="",$D85="",$C85&gt;CN$6,$D85&lt;CN$9),"",IF($J85="里程碑","◆",""))</f>
        <v/>
      </c>
      <c r="CO85" s="8" t="str">
        <f>IF(OR($A85="",$C85="",$D85="",$C85&gt;CO$6,$D85&lt;CO$9),"",IF($J85="里程碑","◆",""))</f>
        <v/>
      </c>
      <c r="CP85" s="8" t="str">
        <f>IF(OR($A85="",$C85="",$D85="",$C85&gt;CP$6,$D85&lt;CP$9),"",IF($J85="里程碑","◆",""))</f>
        <v/>
      </c>
      <c r="CQ85" s="8" t="str">
        <f>IF(OR($A85="",$C85="",$D85="",$C85&gt;CQ$6,$D85&lt;CQ$9),"",IF($J85="里程碑","◆",""))</f>
        <v/>
      </c>
      <c r="CR85" s="8" t="str">
        <f>IF(OR($A85="",$C85="",$D85="",$C85&gt;CR$6,$D85&lt;CR$9),"",IF($J85="里程碑","◆",""))</f>
        <v/>
      </c>
      <c r="CS85" s="8" t="str">
        <f>IF(OR($A85="",$C85="",$D85="",$C85&gt;CS$6,$D85&lt;CS$9),"",IF($J85="里程碑","◆",""))</f>
        <v/>
      </c>
      <c r="CT85" s="8" t="str">
        <f>IF(OR($A85="",$C85="",$D85="",$C85&gt;CT$6,$D85&lt;CT$9),"",IF($J85="里程碑","◆",""))</f>
        <v/>
      </c>
      <c r="CU85" s="8" t="str">
        <f>IF(OR($A85="",$C85="",$D85="",$C85&gt;CU$6,$D85&lt;CU$9),"",IF($J85="里程碑","◆",""))</f>
        <v/>
      </c>
      <c r="CV85" s="8" t="str">
        <f>IF(OR($A85="",$C85="",$D85="",$C85&gt;CV$6,$D85&lt;CV$9),"",IF($J85="里程碑","◆",""))</f>
        <v/>
      </c>
      <c r="CW85" s="8" t="str">
        <f>IF(OR($A85="",$C85="",$D85="",$C85&gt;CW$6,$D85&lt;CW$9),"",IF($J85="里程碑","◆",""))</f>
        <v/>
      </c>
      <c r="CX85" s="8" t="str">
        <f>IF(OR($A85="",$C85="",$D85="",$C85&gt;CX$6,$D85&lt;CX$9),"",IF($J85="里程碑","◆",""))</f>
        <v/>
      </c>
      <c r="CY85" s="8" t="str">
        <f>IF(OR($A85="",$C85="",$D85="",$C85&gt;CY$6,$D85&lt;CY$9),"",IF($J85="里程碑","◆",""))</f>
        <v/>
      </c>
      <c r="CZ85" s="8" t="str">
        <f>IF(OR($A85="",$C85="",$D85="",$C85&gt;CZ$6,$D85&lt;CZ$9),"",IF($J85="里程碑","◆",""))</f>
        <v/>
      </c>
      <c r="DA85" s="8" t="str">
        <f>IF(OR($A85="",$C85="",$D85="",$C85&gt;DA$6,$D85&lt;DA$9),"",IF($J85="里程碑","◆",""))</f>
        <v/>
      </c>
      <c r="DB85" s="8" t="str">
        <f>IF(OR($A85="",$C85="",$D85="",$C85&gt;DB$6,$D85&lt;DB$9),"",IF($J85="里程碑","◆",""))</f>
        <v/>
      </c>
      <c r="DC85" s="1" t="str">
        <f>IF(ROW()-9&gt;$DH$3,"",MATCH(ROW()-9,排期计算!$U$10:$U$109,0))</f>
        <v/>
      </c>
      <c r="DD85" s="1" t="str">
        <f>IF($DC85="","",INDEX(排期计算!$L$10:$L$109,$DC85))</f>
        <v/>
      </c>
      <c r="DE85" s="1"/>
      <c r="DF85" s="1"/>
      <c r="DG85" s="1"/>
      <c r="DH85" s="1"/>
      <c r="DI85" s="1"/>
      <c r="DJ85" s="1"/>
      <c r="DK85" s="1"/>
    </row>
    <row r="86" spans="1:115" ht="24.95" customHeight="1">
      <c r="A86" s="9" t="str">
        <f>IF($DC86="","",IF(AND(INDEX(排期计算!$A$10:$A$109,$DC86)="",NOT(ISNUMBER(INDEX(排期计算!$A$10:$A$109,$DC86)))),"",INDEX(排期计算!$A$10:$A$109,$DC86)))</f>
        <v/>
      </c>
      <c r="B86" s="1" t="str">
        <f>IF($DC86="","",REPT("　",$DD86-1)&amp;INDEX(排期计算!$B$10:$B$109,$DC86))</f>
        <v/>
      </c>
      <c r="C86" s="3" t="str">
        <f>IF($DC86="","",IF(AND(INDEX(排期计算!$M$10:$M$109,$DC86)="",NOT(ISNUMBER(INDEX(排期计算!$M$10:$M$109,$DC86)))),"",INDEX(排期计算!$M$10:$M$109,$DC86)))</f>
        <v/>
      </c>
      <c r="D86" s="3" t="str">
        <f>IF($DC86="","",IF(AND(INDEX(排期计算!$N$10:$N$109,$DC86)="",NOT(ISNUMBER(INDEX(排期计算!$N$10:$N$109,$DC86)))),"",INDEX(排期计算!$N$10:$N$109,$DC86)))</f>
        <v/>
      </c>
      <c r="E86" s="1" t="str">
        <f>IF(OR($C86="",$D86=""),"",IF($J86="里程碑",0,NETWORKDAYS($C86,$D86)))</f>
        <v/>
      </c>
      <c r="F86" s="7" t="str">
        <f>IF($DC86="","",IF(AND(INDEX(排期计算!$O$10:$O$109,$DC86)="",NOT(ISNUMBER(INDEX(排期计算!$O$10:$O$109,$DC86)))),"",INDEX(排期计算!$O$10:$O$109,$DC86)))</f>
        <v/>
      </c>
      <c r="G86" s="8" t="str">
        <f>IF($A86="","",IF(OR($C86="",$D86=""),"未排期",IF($F86&gt;=1,"已完成",IF($D86&lt;$B$4,"逾期",IF($C86&gt;$B$4,"未开始","进行中")))))</f>
        <v/>
      </c>
      <c r="H86" s="1" t="str">
        <f>IF($DC86="","",IF(AND(INDEX(排期计算!$C$10:$C$109,$DC86)="",NOT(ISNUMBER(INDEX(排期计算!$C$10:$C$109,$DC86)))),"",INDEX(排期计算!$C$10:$C$109,$DC86)))</f>
        <v/>
      </c>
      <c r="I86" s="1" t="str">
        <f>IF($DC86="","",IF(AND(INDEX(排期计算!$H$10:$H$109,$DC86)="",NOT(ISNUMBER(INDEX(排期计算!$H$10:$H$109,$DC86)))),"",INDEX(排期计算!$H$10:$H$109,$DC86)))</f>
        <v/>
      </c>
      <c r="J86" s="1" t="str">
        <f>IF($DC86="","",IF(AND(INDEX(排期计算!$K$10:$K$109,$DC86)="",NOT(ISNUMBER(INDEX(排期计算!$K$10:$K$109,$DC86)))),"",INDEX(排期计算!$K$10:$K$109,$DC86)))</f>
        <v/>
      </c>
      <c r="K86" s="8" t="str">
        <f>IF(OR($A86="",$C86="",$D86="",$C86&gt;K$6,$D86&lt;K$9),"",IF($J86="里程碑","◆",""))</f>
        <v/>
      </c>
      <c r="L86" s="8" t="str">
        <f>IF(OR($A86="",$C86="",$D86="",$C86&gt;L$6,$D86&lt;L$9),"",IF($J86="里程碑","◆",""))</f>
        <v/>
      </c>
      <c r="M86" s="8" t="str">
        <f>IF(OR($A86="",$C86="",$D86="",$C86&gt;M$6,$D86&lt;M$9),"",IF($J86="里程碑","◆",""))</f>
        <v/>
      </c>
      <c r="N86" s="8" t="str">
        <f>IF(OR($A86="",$C86="",$D86="",$C86&gt;N$6,$D86&lt;N$9),"",IF($J86="里程碑","◆",""))</f>
        <v/>
      </c>
      <c r="O86" s="8" t="str">
        <f>IF(OR($A86="",$C86="",$D86="",$C86&gt;O$6,$D86&lt;O$9),"",IF($J86="里程碑","◆",""))</f>
        <v/>
      </c>
      <c r="P86" s="8" t="str">
        <f>IF(OR($A86="",$C86="",$D86="",$C86&gt;P$6,$D86&lt;P$9),"",IF($J86="里程碑","◆",""))</f>
        <v/>
      </c>
      <c r="Q86" s="8" t="str">
        <f>IF(OR($A86="",$C86="",$D86="",$C86&gt;Q$6,$D86&lt;Q$9),"",IF($J86="里程碑","◆",""))</f>
        <v/>
      </c>
      <c r="R86" s="8" t="str">
        <f>IF(OR($A86="",$C86="",$D86="",$C86&gt;R$6,$D86&lt;R$9),"",IF($J86="里程碑","◆",""))</f>
        <v/>
      </c>
      <c r="S86" s="8" t="str">
        <f>IF(OR($A86="",$C86="",$D86="",$C86&gt;S$6,$D86&lt;S$9),"",IF($J86="里程碑","◆",""))</f>
        <v/>
      </c>
      <c r="T86" s="8" t="str">
        <f>IF(OR($A86="",$C86="",$D86="",$C86&gt;T$6,$D86&lt;T$9),"",IF($J86="里程碑","◆",""))</f>
        <v/>
      </c>
      <c r="U86" s="8" t="str">
        <f>IF(OR($A86="",$C86="",$D86="",$C86&gt;U$6,$D86&lt;U$9),"",IF($J86="里程碑","◆",""))</f>
        <v/>
      </c>
      <c r="V86" s="8" t="str">
        <f>IF(OR($A86="",$C86="",$D86="",$C86&gt;V$6,$D86&lt;V$9),"",IF($J86="里程碑","◆",""))</f>
        <v/>
      </c>
      <c r="W86" s="8" t="str">
        <f>IF(OR($A86="",$C86="",$D86="",$C86&gt;W$6,$D86&lt;W$9),"",IF($J86="里程碑","◆",""))</f>
        <v/>
      </c>
      <c r="X86" s="8" t="str">
        <f>IF(OR($A86="",$C86="",$D86="",$C86&gt;X$6,$D86&lt;X$9),"",IF($J86="里程碑","◆",""))</f>
        <v/>
      </c>
      <c r="Y86" s="8" t="str">
        <f>IF(OR($A86="",$C86="",$D86="",$C86&gt;Y$6,$D86&lt;Y$9),"",IF($J86="里程碑","◆",""))</f>
        <v/>
      </c>
      <c r="Z86" s="8" t="str">
        <f>IF(OR($A86="",$C86="",$D86="",$C86&gt;Z$6,$D86&lt;Z$9),"",IF($J86="里程碑","◆",""))</f>
        <v/>
      </c>
      <c r="AA86" s="8" t="str">
        <f>IF(OR($A86="",$C86="",$D86="",$C86&gt;AA$6,$D86&lt;AA$9),"",IF($J86="里程碑","◆",""))</f>
        <v/>
      </c>
      <c r="AB86" s="8" t="str">
        <f>IF(OR($A86="",$C86="",$D86="",$C86&gt;AB$6,$D86&lt;AB$9),"",IF($J86="里程碑","◆",""))</f>
        <v/>
      </c>
      <c r="AC86" s="8" t="str">
        <f>IF(OR($A86="",$C86="",$D86="",$C86&gt;AC$6,$D86&lt;AC$9),"",IF($J86="里程碑","◆",""))</f>
        <v/>
      </c>
      <c r="AD86" s="8" t="str">
        <f>IF(OR($A86="",$C86="",$D86="",$C86&gt;AD$6,$D86&lt;AD$9),"",IF($J86="里程碑","◆",""))</f>
        <v/>
      </c>
      <c r="AE86" s="8" t="str">
        <f>IF(OR($A86="",$C86="",$D86="",$C86&gt;AE$6,$D86&lt;AE$9),"",IF($J86="里程碑","◆",""))</f>
        <v/>
      </c>
      <c r="AF86" s="8" t="str">
        <f>IF(OR($A86="",$C86="",$D86="",$C86&gt;AF$6,$D86&lt;AF$9),"",IF($J86="里程碑","◆",""))</f>
        <v/>
      </c>
      <c r="AG86" s="8" t="str">
        <f>IF(OR($A86="",$C86="",$D86="",$C86&gt;AG$6,$D86&lt;AG$9),"",IF($J86="里程碑","◆",""))</f>
        <v/>
      </c>
      <c r="AH86" s="8" t="str">
        <f>IF(OR($A86="",$C86="",$D86="",$C86&gt;AH$6,$D86&lt;AH$9),"",IF($J86="里程碑","◆",""))</f>
        <v/>
      </c>
      <c r="AI86" s="8" t="str">
        <f>IF(OR($A86="",$C86="",$D86="",$C86&gt;AI$6,$D86&lt;AI$9),"",IF($J86="里程碑","◆",""))</f>
        <v/>
      </c>
      <c r="AJ86" s="8" t="str">
        <f>IF(OR($A86="",$C86="",$D86="",$C86&gt;AJ$6,$D86&lt;AJ$9),"",IF($J86="里程碑","◆",""))</f>
        <v/>
      </c>
      <c r="AK86" s="8" t="str">
        <f>IF(OR($A86="",$C86="",$D86="",$C86&gt;AK$6,$D86&lt;AK$9),"",IF($J86="里程碑","◆",""))</f>
        <v/>
      </c>
      <c r="AL86" s="8" t="str">
        <f>IF(OR($A86="",$C86="",$D86="",$C86&gt;AL$6,$D86&lt;AL$9),"",IF($J86="里程碑","◆",""))</f>
        <v/>
      </c>
      <c r="AM86" s="8" t="str">
        <f>IF(OR($A86="",$C86="",$D86="",$C86&gt;AM$6,$D86&lt;AM$9),"",IF($J86="里程碑","◆",""))</f>
        <v/>
      </c>
      <c r="AN86" s="8" t="str">
        <f>IF(OR($A86="",$C86="",$D86="",$C86&gt;AN$6,$D86&lt;AN$9),"",IF($J86="里程碑","◆",""))</f>
        <v/>
      </c>
      <c r="AO86" s="8" t="str">
        <f>IF(OR($A86="",$C86="",$D86="",$C86&gt;AO$6,$D86&lt;AO$9),"",IF($J86="里程碑","◆",""))</f>
        <v/>
      </c>
      <c r="AP86" s="8" t="str">
        <f>IF(OR($A86="",$C86="",$D86="",$C86&gt;AP$6,$D86&lt;AP$9),"",IF($J86="里程碑","◆",""))</f>
        <v/>
      </c>
      <c r="AQ86" s="8" t="str">
        <f>IF(OR($A86="",$C86="",$D86="",$C86&gt;AQ$6,$D86&lt;AQ$9),"",IF($J86="里程碑","◆",""))</f>
        <v/>
      </c>
      <c r="AR86" s="8" t="str">
        <f>IF(OR($A86="",$C86="",$D86="",$C86&gt;AR$6,$D86&lt;AR$9),"",IF($J86="里程碑","◆",""))</f>
        <v/>
      </c>
      <c r="AS86" s="8" t="str">
        <f>IF(OR($A86="",$C86="",$D86="",$C86&gt;AS$6,$D86&lt;AS$9),"",IF($J86="里程碑","◆",""))</f>
        <v/>
      </c>
      <c r="AT86" s="8" t="str">
        <f>IF(OR($A86="",$C86="",$D86="",$C86&gt;AT$6,$D86&lt;AT$9),"",IF($J86="里程碑","◆",""))</f>
        <v/>
      </c>
      <c r="AU86" s="8" t="str">
        <f>IF(OR($A86="",$C86="",$D86="",$C86&gt;AU$6,$D86&lt;AU$9),"",IF($J86="里程碑","◆",""))</f>
        <v/>
      </c>
      <c r="AV86" s="8" t="str">
        <f>IF(OR($A86="",$C86="",$D86="",$C86&gt;AV$6,$D86&lt;AV$9),"",IF($J86="里程碑","◆",""))</f>
        <v/>
      </c>
      <c r="AW86" s="8" t="str">
        <f>IF(OR($A86="",$C86="",$D86="",$C86&gt;AW$6,$D86&lt;AW$9),"",IF($J86="里程碑","◆",""))</f>
        <v/>
      </c>
      <c r="AX86" s="8" t="str">
        <f>IF(OR($A86="",$C86="",$D86="",$C86&gt;AX$6,$D86&lt;AX$9),"",IF($J86="里程碑","◆",""))</f>
        <v/>
      </c>
      <c r="AY86" s="8" t="str">
        <f>IF(OR($A86="",$C86="",$D86="",$C86&gt;AY$6,$D86&lt;AY$9),"",IF($J86="里程碑","◆",""))</f>
        <v/>
      </c>
      <c r="AZ86" s="8" t="str">
        <f>IF(OR($A86="",$C86="",$D86="",$C86&gt;AZ$6,$D86&lt;AZ$9),"",IF($J86="里程碑","◆",""))</f>
        <v/>
      </c>
      <c r="BA86" s="8" t="str">
        <f>IF(OR($A86="",$C86="",$D86="",$C86&gt;BA$6,$D86&lt;BA$9),"",IF($J86="里程碑","◆",""))</f>
        <v/>
      </c>
      <c r="BB86" s="8" t="str">
        <f>IF(OR($A86="",$C86="",$D86="",$C86&gt;BB$6,$D86&lt;BB$9),"",IF($J86="里程碑","◆",""))</f>
        <v/>
      </c>
      <c r="BC86" s="8" t="str">
        <f>IF(OR($A86="",$C86="",$D86="",$C86&gt;BC$6,$D86&lt;BC$9),"",IF($J86="里程碑","◆",""))</f>
        <v/>
      </c>
      <c r="BD86" s="8" t="str">
        <f>IF(OR($A86="",$C86="",$D86="",$C86&gt;BD$6,$D86&lt;BD$9),"",IF($J86="里程碑","◆",""))</f>
        <v/>
      </c>
      <c r="BE86" s="8" t="str">
        <f>IF(OR($A86="",$C86="",$D86="",$C86&gt;BE$6,$D86&lt;BE$9),"",IF($J86="里程碑","◆",""))</f>
        <v/>
      </c>
      <c r="BF86" s="8" t="str">
        <f>IF(OR($A86="",$C86="",$D86="",$C86&gt;BF$6,$D86&lt;BF$9),"",IF($J86="里程碑","◆",""))</f>
        <v/>
      </c>
      <c r="BG86" s="8" t="str">
        <f>IF(OR($A86="",$C86="",$D86="",$C86&gt;BG$6,$D86&lt;BG$9),"",IF($J86="里程碑","◆",""))</f>
        <v/>
      </c>
      <c r="BH86" s="8" t="str">
        <f>IF(OR($A86="",$C86="",$D86="",$C86&gt;BH$6,$D86&lt;BH$9),"",IF($J86="里程碑","◆",""))</f>
        <v/>
      </c>
      <c r="BI86" s="8" t="str">
        <f>IF(OR($A86="",$C86="",$D86="",$C86&gt;BI$6,$D86&lt;BI$9),"",IF($J86="里程碑","◆",""))</f>
        <v/>
      </c>
      <c r="BJ86" s="8" t="str">
        <f>IF(OR($A86="",$C86="",$D86="",$C86&gt;BJ$6,$D86&lt;BJ$9),"",IF($J86="里程碑","◆",""))</f>
        <v/>
      </c>
      <c r="BK86" s="8" t="str">
        <f>IF(OR($A86="",$C86="",$D86="",$C86&gt;BK$6,$D86&lt;BK$9),"",IF($J86="里程碑","◆",""))</f>
        <v/>
      </c>
      <c r="BL86" s="8" t="str">
        <f>IF(OR($A86="",$C86="",$D86="",$C86&gt;BL$6,$D86&lt;BL$9),"",IF($J86="里程碑","◆",""))</f>
        <v/>
      </c>
      <c r="BM86" s="8" t="str">
        <f>IF(OR($A86="",$C86="",$D86="",$C86&gt;BM$6,$D86&lt;BM$9),"",IF($J86="里程碑","◆",""))</f>
        <v/>
      </c>
      <c r="BN86" s="8" t="str">
        <f>IF(OR($A86="",$C86="",$D86="",$C86&gt;BN$6,$D86&lt;BN$9),"",IF($J86="里程碑","◆",""))</f>
        <v/>
      </c>
      <c r="BO86" s="8" t="str">
        <f>IF(OR($A86="",$C86="",$D86="",$C86&gt;BO$6,$D86&lt;BO$9),"",IF($J86="里程碑","◆",""))</f>
        <v/>
      </c>
      <c r="BP86" s="8" t="str">
        <f>IF(OR($A86="",$C86="",$D86="",$C86&gt;BP$6,$D86&lt;BP$9),"",IF($J86="里程碑","◆",""))</f>
        <v/>
      </c>
      <c r="BQ86" s="8" t="str">
        <f>IF(OR($A86="",$C86="",$D86="",$C86&gt;BQ$6,$D86&lt;BQ$9),"",IF($J86="里程碑","◆",""))</f>
        <v/>
      </c>
      <c r="BR86" s="8" t="str">
        <f>IF(OR($A86="",$C86="",$D86="",$C86&gt;BR$6,$D86&lt;BR$9),"",IF($J86="里程碑","◆",""))</f>
        <v/>
      </c>
      <c r="BS86" s="8" t="str">
        <f>IF(OR($A86="",$C86="",$D86="",$C86&gt;BS$6,$D86&lt;BS$9),"",IF($J86="里程碑","◆",""))</f>
        <v/>
      </c>
      <c r="BT86" s="8" t="str">
        <f>IF(OR($A86="",$C86="",$D86="",$C86&gt;BT$6,$D86&lt;BT$9),"",IF($J86="里程碑","◆",""))</f>
        <v/>
      </c>
      <c r="BU86" s="8" t="str">
        <f>IF(OR($A86="",$C86="",$D86="",$C86&gt;BU$6,$D86&lt;BU$9),"",IF($J86="里程碑","◆",""))</f>
        <v/>
      </c>
      <c r="BV86" s="8" t="str">
        <f>IF(OR($A86="",$C86="",$D86="",$C86&gt;BV$6,$D86&lt;BV$9),"",IF($J86="里程碑","◆",""))</f>
        <v/>
      </c>
      <c r="BW86" s="8" t="str">
        <f>IF(OR($A86="",$C86="",$D86="",$C86&gt;BW$6,$D86&lt;BW$9),"",IF($J86="里程碑","◆",""))</f>
        <v/>
      </c>
      <c r="BX86" s="8" t="str">
        <f>IF(OR($A86="",$C86="",$D86="",$C86&gt;BX$6,$D86&lt;BX$9),"",IF($J86="里程碑","◆",""))</f>
        <v/>
      </c>
      <c r="BY86" s="8" t="str">
        <f>IF(OR($A86="",$C86="",$D86="",$C86&gt;BY$6,$D86&lt;BY$9),"",IF($J86="里程碑","◆",""))</f>
        <v/>
      </c>
      <c r="BZ86" s="8" t="str">
        <f>IF(OR($A86="",$C86="",$D86="",$C86&gt;BZ$6,$D86&lt;BZ$9),"",IF($J86="里程碑","◆",""))</f>
        <v/>
      </c>
      <c r="CA86" s="8" t="str">
        <f>IF(OR($A86="",$C86="",$D86="",$C86&gt;CA$6,$D86&lt;CA$9),"",IF($J86="里程碑","◆",""))</f>
        <v/>
      </c>
      <c r="CB86" s="8" t="str">
        <f>IF(OR($A86="",$C86="",$D86="",$C86&gt;CB$6,$D86&lt;CB$9),"",IF($J86="里程碑","◆",""))</f>
        <v/>
      </c>
      <c r="CC86" s="8" t="str">
        <f>IF(OR($A86="",$C86="",$D86="",$C86&gt;CC$6,$D86&lt;CC$9),"",IF($J86="里程碑","◆",""))</f>
        <v/>
      </c>
      <c r="CD86" s="8" t="str">
        <f>IF(OR($A86="",$C86="",$D86="",$C86&gt;CD$6,$D86&lt;CD$9),"",IF($J86="里程碑","◆",""))</f>
        <v/>
      </c>
      <c r="CE86" s="8" t="str">
        <f>IF(OR($A86="",$C86="",$D86="",$C86&gt;CE$6,$D86&lt;CE$9),"",IF($J86="里程碑","◆",""))</f>
        <v/>
      </c>
      <c r="CF86" s="8" t="str">
        <f>IF(OR($A86="",$C86="",$D86="",$C86&gt;CF$6,$D86&lt;CF$9),"",IF($J86="里程碑","◆",""))</f>
        <v/>
      </c>
      <c r="CG86" s="8" t="str">
        <f>IF(OR($A86="",$C86="",$D86="",$C86&gt;CG$6,$D86&lt;CG$9),"",IF($J86="里程碑","◆",""))</f>
        <v/>
      </c>
      <c r="CH86" s="8" t="str">
        <f>IF(OR($A86="",$C86="",$D86="",$C86&gt;CH$6,$D86&lt;CH$9),"",IF($J86="里程碑","◆",""))</f>
        <v/>
      </c>
      <c r="CI86" s="8" t="str">
        <f>IF(OR($A86="",$C86="",$D86="",$C86&gt;CI$6,$D86&lt;CI$9),"",IF($J86="里程碑","◆",""))</f>
        <v/>
      </c>
      <c r="CJ86" s="8" t="str">
        <f>IF(OR($A86="",$C86="",$D86="",$C86&gt;CJ$6,$D86&lt;CJ$9),"",IF($J86="里程碑","◆",""))</f>
        <v/>
      </c>
      <c r="CK86" s="8" t="str">
        <f>IF(OR($A86="",$C86="",$D86="",$C86&gt;CK$6,$D86&lt;CK$9),"",IF($J86="里程碑","◆",""))</f>
        <v/>
      </c>
      <c r="CL86" s="8" t="str">
        <f>IF(OR($A86="",$C86="",$D86="",$C86&gt;CL$6,$D86&lt;CL$9),"",IF($J86="里程碑","◆",""))</f>
        <v/>
      </c>
      <c r="CM86" s="8" t="str">
        <f>IF(OR($A86="",$C86="",$D86="",$C86&gt;CM$6,$D86&lt;CM$9),"",IF($J86="里程碑","◆",""))</f>
        <v/>
      </c>
      <c r="CN86" s="8" t="str">
        <f>IF(OR($A86="",$C86="",$D86="",$C86&gt;CN$6,$D86&lt;CN$9),"",IF($J86="里程碑","◆",""))</f>
        <v/>
      </c>
      <c r="CO86" s="8" t="str">
        <f>IF(OR($A86="",$C86="",$D86="",$C86&gt;CO$6,$D86&lt;CO$9),"",IF($J86="里程碑","◆",""))</f>
        <v/>
      </c>
      <c r="CP86" s="8" t="str">
        <f>IF(OR($A86="",$C86="",$D86="",$C86&gt;CP$6,$D86&lt;CP$9),"",IF($J86="里程碑","◆",""))</f>
        <v/>
      </c>
      <c r="CQ86" s="8" t="str">
        <f>IF(OR($A86="",$C86="",$D86="",$C86&gt;CQ$6,$D86&lt;CQ$9),"",IF($J86="里程碑","◆",""))</f>
        <v/>
      </c>
      <c r="CR86" s="8" t="str">
        <f>IF(OR($A86="",$C86="",$D86="",$C86&gt;CR$6,$D86&lt;CR$9),"",IF($J86="里程碑","◆",""))</f>
        <v/>
      </c>
      <c r="CS86" s="8" t="str">
        <f>IF(OR($A86="",$C86="",$D86="",$C86&gt;CS$6,$D86&lt;CS$9),"",IF($J86="里程碑","◆",""))</f>
        <v/>
      </c>
      <c r="CT86" s="8" t="str">
        <f>IF(OR($A86="",$C86="",$D86="",$C86&gt;CT$6,$D86&lt;CT$9),"",IF($J86="里程碑","◆",""))</f>
        <v/>
      </c>
      <c r="CU86" s="8" t="str">
        <f>IF(OR($A86="",$C86="",$D86="",$C86&gt;CU$6,$D86&lt;CU$9),"",IF($J86="里程碑","◆",""))</f>
        <v/>
      </c>
      <c r="CV86" s="8" t="str">
        <f>IF(OR($A86="",$C86="",$D86="",$C86&gt;CV$6,$D86&lt;CV$9),"",IF($J86="里程碑","◆",""))</f>
        <v/>
      </c>
      <c r="CW86" s="8" t="str">
        <f>IF(OR($A86="",$C86="",$D86="",$C86&gt;CW$6,$D86&lt;CW$9),"",IF($J86="里程碑","◆",""))</f>
        <v/>
      </c>
      <c r="CX86" s="8" t="str">
        <f>IF(OR($A86="",$C86="",$D86="",$C86&gt;CX$6,$D86&lt;CX$9),"",IF($J86="里程碑","◆",""))</f>
        <v/>
      </c>
      <c r="CY86" s="8" t="str">
        <f>IF(OR($A86="",$C86="",$D86="",$C86&gt;CY$6,$D86&lt;CY$9),"",IF($J86="里程碑","◆",""))</f>
        <v/>
      </c>
      <c r="CZ86" s="8" t="str">
        <f>IF(OR($A86="",$C86="",$D86="",$C86&gt;CZ$6,$D86&lt;CZ$9),"",IF($J86="里程碑","◆",""))</f>
        <v/>
      </c>
      <c r="DA86" s="8" t="str">
        <f>IF(OR($A86="",$C86="",$D86="",$C86&gt;DA$6,$D86&lt;DA$9),"",IF($J86="里程碑","◆",""))</f>
        <v/>
      </c>
      <c r="DB86" s="8" t="str">
        <f>IF(OR($A86="",$C86="",$D86="",$C86&gt;DB$6,$D86&lt;DB$9),"",IF($J86="里程碑","◆",""))</f>
        <v/>
      </c>
      <c r="DC86" s="1" t="str">
        <f>IF(ROW()-9&gt;$DH$3,"",MATCH(ROW()-9,排期计算!$U$10:$U$109,0))</f>
        <v/>
      </c>
      <c r="DD86" s="1" t="str">
        <f>IF($DC86="","",INDEX(排期计算!$L$10:$L$109,$DC86))</f>
        <v/>
      </c>
      <c r="DE86" s="1"/>
      <c r="DF86" s="1"/>
      <c r="DG86" s="1"/>
      <c r="DH86" s="1"/>
      <c r="DI86" s="1"/>
      <c r="DJ86" s="1"/>
      <c r="DK86" s="1"/>
    </row>
    <row r="87" spans="1:115" ht="24.95" customHeight="1">
      <c r="A87" s="9" t="str">
        <f>IF($DC87="","",IF(AND(INDEX(排期计算!$A$10:$A$109,$DC87)="",NOT(ISNUMBER(INDEX(排期计算!$A$10:$A$109,$DC87)))),"",INDEX(排期计算!$A$10:$A$109,$DC87)))</f>
        <v/>
      </c>
      <c r="B87" s="1" t="str">
        <f>IF($DC87="","",REPT("　",$DD87-1)&amp;INDEX(排期计算!$B$10:$B$109,$DC87))</f>
        <v/>
      </c>
      <c r="C87" s="3" t="str">
        <f>IF($DC87="","",IF(AND(INDEX(排期计算!$M$10:$M$109,$DC87)="",NOT(ISNUMBER(INDEX(排期计算!$M$10:$M$109,$DC87)))),"",INDEX(排期计算!$M$10:$M$109,$DC87)))</f>
        <v/>
      </c>
      <c r="D87" s="3" t="str">
        <f>IF($DC87="","",IF(AND(INDEX(排期计算!$N$10:$N$109,$DC87)="",NOT(ISNUMBER(INDEX(排期计算!$N$10:$N$109,$DC87)))),"",INDEX(排期计算!$N$10:$N$109,$DC87)))</f>
        <v/>
      </c>
      <c r="E87" s="1" t="str">
        <f>IF(OR($C87="",$D87=""),"",IF($J87="里程碑",0,NETWORKDAYS($C87,$D87)))</f>
        <v/>
      </c>
      <c r="F87" s="7" t="str">
        <f>IF($DC87="","",IF(AND(INDEX(排期计算!$O$10:$O$109,$DC87)="",NOT(ISNUMBER(INDEX(排期计算!$O$10:$O$109,$DC87)))),"",INDEX(排期计算!$O$10:$O$109,$DC87)))</f>
        <v/>
      </c>
      <c r="G87" s="8" t="str">
        <f>IF($A87="","",IF(OR($C87="",$D87=""),"未排期",IF($F87&gt;=1,"已完成",IF($D87&lt;$B$4,"逾期",IF($C87&gt;$B$4,"未开始","进行中")))))</f>
        <v/>
      </c>
      <c r="H87" s="1" t="str">
        <f>IF($DC87="","",IF(AND(INDEX(排期计算!$C$10:$C$109,$DC87)="",NOT(ISNUMBER(INDEX(排期计算!$C$10:$C$109,$DC87)))),"",INDEX(排期计算!$C$10:$C$109,$DC87)))</f>
        <v/>
      </c>
      <c r="I87" s="1" t="str">
        <f>IF($DC87="","",IF(AND(INDEX(排期计算!$H$10:$H$109,$DC87)="",NOT(ISNUMBER(INDEX(排期计算!$H$10:$H$109,$DC87)))),"",INDEX(排期计算!$H$10:$H$109,$DC87)))</f>
        <v/>
      </c>
      <c r="J87" s="1" t="str">
        <f>IF($DC87="","",IF(AND(INDEX(排期计算!$K$10:$K$109,$DC87)="",NOT(ISNUMBER(INDEX(排期计算!$K$10:$K$109,$DC87)))),"",INDEX(排期计算!$K$10:$K$109,$DC87)))</f>
        <v/>
      </c>
      <c r="K87" s="8" t="str">
        <f>IF(OR($A87="",$C87="",$D87="",$C87&gt;K$6,$D87&lt;K$9),"",IF($J87="里程碑","◆",""))</f>
        <v/>
      </c>
      <c r="L87" s="8" t="str">
        <f>IF(OR($A87="",$C87="",$D87="",$C87&gt;L$6,$D87&lt;L$9),"",IF($J87="里程碑","◆",""))</f>
        <v/>
      </c>
      <c r="M87" s="8" t="str">
        <f>IF(OR($A87="",$C87="",$D87="",$C87&gt;M$6,$D87&lt;M$9),"",IF($J87="里程碑","◆",""))</f>
        <v/>
      </c>
      <c r="N87" s="8" t="str">
        <f>IF(OR($A87="",$C87="",$D87="",$C87&gt;N$6,$D87&lt;N$9),"",IF($J87="里程碑","◆",""))</f>
        <v/>
      </c>
      <c r="O87" s="8" t="str">
        <f>IF(OR($A87="",$C87="",$D87="",$C87&gt;O$6,$D87&lt;O$9),"",IF($J87="里程碑","◆",""))</f>
        <v/>
      </c>
      <c r="P87" s="8" t="str">
        <f>IF(OR($A87="",$C87="",$D87="",$C87&gt;P$6,$D87&lt;P$9),"",IF($J87="里程碑","◆",""))</f>
        <v/>
      </c>
      <c r="Q87" s="8" t="str">
        <f>IF(OR($A87="",$C87="",$D87="",$C87&gt;Q$6,$D87&lt;Q$9),"",IF($J87="里程碑","◆",""))</f>
        <v/>
      </c>
      <c r="R87" s="8" t="str">
        <f>IF(OR($A87="",$C87="",$D87="",$C87&gt;R$6,$D87&lt;R$9),"",IF($J87="里程碑","◆",""))</f>
        <v/>
      </c>
      <c r="S87" s="8" t="str">
        <f>IF(OR($A87="",$C87="",$D87="",$C87&gt;S$6,$D87&lt;S$9),"",IF($J87="里程碑","◆",""))</f>
        <v/>
      </c>
      <c r="T87" s="8" t="str">
        <f>IF(OR($A87="",$C87="",$D87="",$C87&gt;T$6,$D87&lt;T$9),"",IF($J87="里程碑","◆",""))</f>
        <v/>
      </c>
      <c r="U87" s="8" t="str">
        <f>IF(OR($A87="",$C87="",$D87="",$C87&gt;U$6,$D87&lt;U$9),"",IF($J87="里程碑","◆",""))</f>
        <v/>
      </c>
      <c r="V87" s="8" t="str">
        <f>IF(OR($A87="",$C87="",$D87="",$C87&gt;V$6,$D87&lt;V$9),"",IF($J87="里程碑","◆",""))</f>
        <v/>
      </c>
      <c r="W87" s="8" t="str">
        <f>IF(OR($A87="",$C87="",$D87="",$C87&gt;W$6,$D87&lt;W$9),"",IF($J87="里程碑","◆",""))</f>
        <v/>
      </c>
      <c r="X87" s="8" t="str">
        <f>IF(OR($A87="",$C87="",$D87="",$C87&gt;X$6,$D87&lt;X$9),"",IF($J87="里程碑","◆",""))</f>
        <v/>
      </c>
      <c r="Y87" s="8" t="str">
        <f>IF(OR($A87="",$C87="",$D87="",$C87&gt;Y$6,$D87&lt;Y$9),"",IF($J87="里程碑","◆",""))</f>
        <v/>
      </c>
      <c r="Z87" s="8" t="str">
        <f>IF(OR($A87="",$C87="",$D87="",$C87&gt;Z$6,$D87&lt;Z$9),"",IF($J87="里程碑","◆",""))</f>
        <v/>
      </c>
      <c r="AA87" s="8" t="str">
        <f>IF(OR($A87="",$C87="",$D87="",$C87&gt;AA$6,$D87&lt;AA$9),"",IF($J87="里程碑","◆",""))</f>
        <v/>
      </c>
      <c r="AB87" s="8" t="str">
        <f>IF(OR($A87="",$C87="",$D87="",$C87&gt;AB$6,$D87&lt;AB$9),"",IF($J87="里程碑","◆",""))</f>
        <v/>
      </c>
      <c r="AC87" s="8" t="str">
        <f>IF(OR($A87="",$C87="",$D87="",$C87&gt;AC$6,$D87&lt;AC$9),"",IF($J87="里程碑","◆",""))</f>
        <v/>
      </c>
      <c r="AD87" s="8" t="str">
        <f>IF(OR($A87="",$C87="",$D87="",$C87&gt;AD$6,$D87&lt;AD$9),"",IF($J87="里程碑","◆",""))</f>
        <v/>
      </c>
      <c r="AE87" s="8" t="str">
        <f>IF(OR($A87="",$C87="",$D87="",$C87&gt;AE$6,$D87&lt;AE$9),"",IF($J87="里程碑","◆",""))</f>
        <v/>
      </c>
      <c r="AF87" s="8" t="str">
        <f>IF(OR($A87="",$C87="",$D87="",$C87&gt;AF$6,$D87&lt;AF$9),"",IF($J87="里程碑","◆",""))</f>
        <v/>
      </c>
      <c r="AG87" s="8" t="str">
        <f>IF(OR($A87="",$C87="",$D87="",$C87&gt;AG$6,$D87&lt;AG$9),"",IF($J87="里程碑","◆",""))</f>
        <v/>
      </c>
      <c r="AH87" s="8" t="str">
        <f>IF(OR($A87="",$C87="",$D87="",$C87&gt;AH$6,$D87&lt;AH$9),"",IF($J87="里程碑","◆",""))</f>
        <v/>
      </c>
      <c r="AI87" s="8" t="str">
        <f>IF(OR($A87="",$C87="",$D87="",$C87&gt;AI$6,$D87&lt;AI$9),"",IF($J87="里程碑","◆",""))</f>
        <v/>
      </c>
      <c r="AJ87" s="8" t="str">
        <f>IF(OR($A87="",$C87="",$D87="",$C87&gt;AJ$6,$D87&lt;AJ$9),"",IF($J87="里程碑","◆",""))</f>
        <v/>
      </c>
      <c r="AK87" s="8" t="str">
        <f>IF(OR($A87="",$C87="",$D87="",$C87&gt;AK$6,$D87&lt;AK$9),"",IF($J87="里程碑","◆",""))</f>
        <v/>
      </c>
      <c r="AL87" s="8" t="str">
        <f>IF(OR($A87="",$C87="",$D87="",$C87&gt;AL$6,$D87&lt;AL$9),"",IF($J87="里程碑","◆",""))</f>
        <v/>
      </c>
      <c r="AM87" s="8" t="str">
        <f>IF(OR($A87="",$C87="",$D87="",$C87&gt;AM$6,$D87&lt;AM$9),"",IF($J87="里程碑","◆",""))</f>
        <v/>
      </c>
      <c r="AN87" s="8" t="str">
        <f>IF(OR($A87="",$C87="",$D87="",$C87&gt;AN$6,$D87&lt;AN$9),"",IF($J87="里程碑","◆",""))</f>
        <v/>
      </c>
      <c r="AO87" s="8" t="str">
        <f>IF(OR($A87="",$C87="",$D87="",$C87&gt;AO$6,$D87&lt;AO$9),"",IF($J87="里程碑","◆",""))</f>
        <v/>
      </c>
      <c r="AP87" s="8" t="str">
        <f>IF(OR($A87="",$C87="",$D87="",$C87&gt;AP$6,$D87&lt;AP$9),"",IF($J87="里程碑","◆",""))</f>
        <v/>
      </c>
      <c r="AQ87" s="8" t="str">
        <f>IF(OR($A87="",$C87="",$D87="",$C87&gt;AQ$6,$D87&lt;AQ$9),"",IF($J87="里程碑","◆",""))</f>
        <v/>
      </c>
      <c r="AR87" s="8" t="str">
        <f>IF(OR($A87="",$C87="",$D87="",$C87&gt;AR$6,$D87&lt;AR$9),"",IF($J87="里程碑","◆",""))</f>
        <v/>
      </c>
      <c r="AS87" s="8" t="str">
        <f>IF(OR($A87="",$C87="",$D87="",$C87&gt;AS$6,$D87&lt;AS$9),"",IF($J87="里程碑","◆",""))</f>
        <v/>
      </c>
      <c r="AT87" s="8" t="str">
        <f>IF(OR($A87="",$C87="",$D87="",$C87&gt;AT$6,$D87&lt;AT$9),"",IF($J87="里程碑","◆",""))</f>
        <v/>
      </c>
      <c r="AU87" s="8" t="str">
        <f>IF(OR($A87="",$C87="",$D87="",$C87&gt;AU$6,$D87&lt;AU$9),"",IF($J87="里程碑","◆",""))</f>
        <v/>
      </c>
      <c r="AV87" s="8" t="str">
        <f>IF(OR($A87="",$C87="",$D87="",$C87&gt;AV$6,$D87&lt;AV$9),"",IF($J87="里程碑","◆",""))</f>
        <v/>
      </c>
      <c r="AW87" s="8" t="str">
        <f>IF(OR($A87="",$C87="",$D87="",$C87&gt;AW$6,$D87&lt;AW$9),"",IF($J87="里程碑","◆",""))</f>
        <v/>
      </c>
      <c r="AX87" s="8" t="str">
        <f>IF(OR($A87="",$C87="",$D87="",$C87&gt;AX$6,$D87&lt;AX$9),"",IF($J87="里程碑","◆",""))</f>
        <v/>
      </c>
      <c r="AY87" s="8" t="str">
        <f>IF(OR($A87="",$C87="",$D87="",$C87&gt;AY$6,$D87&lt;AY$9),"",IF($J87="里程碑","◆",""))</f>
        <v/>
      </c>
      <c r="AZ87" s="8" t="str">
        <f>IF(OR($A87="",$C87="",$D87="",$C87&gt;AZ$6,$D87&lt;AZ$9),"",IF($J87="里程碑","◆",""))</f>
        <v/>
      </c>
      <c r="BA87" s="8" t="str">
        <f>IF(OR($A87="",$C87="",$D87="",$C87&gt;BA$6,$D87&lt;BA$9),"",IF($J87="里程碑","◆",""))</f>
        <v/>
      </c>
      <c r="BB87" s="8" t="str">
        <f>IF(OR($A87="",$C87="",$D87="",$C87&gt;BB$6,$D87&lt;BB$9),"",IF($J87="里程碑","◆",""))</f>
        <v/>
      </c>
      <c r="BC87" s="8" t="str">
        <f>IF(OR($A87="",$C87="",$D87="",$C87&gt;BC$6,$D87&lt;BC$9),"",IF($J87="里程碑","◆",""))</f>
        <v/>
      </c>
      <c r="BD87" s="8" t="str">
        <f>IF(OR($A87="",$C87="",$D87="",$C87&gt;BD$6,$D87&lt;BD$9),"",IF($J87="里程碑","◆",""))</f>
        <v/>
      </c>
      <c r="BE87" s="8" t="str">
        <f>IF(OR($A87="",$C87="",$D87="",$C87&gt;BE$6,$D87&lt;BE$9),"",IF($J87="里程碑","◆",""))</f>
        <v/>
      </c>
      <c r="BF87" s="8" t="str">
        <f>IF(OR($A87="",$C87="",$D87="",$C87&gt;BF$6,$D87&lt;BF$9),"",IF($J87="里程碑","◆",""))</f>
        <v/>
      </c>
      <c r="BG87" s="8" t="str">
        <f>IF(OR($A87="",$C87="",$D87="",$C87&gt;BG$6,$D87&lt;BG$9),"",IF($J87="里程碑","◆",""))</f>
        <v/>
      </c>
      <c r="BH87" s="8" t="str">
        <f>IF(OR($A87="",$C87="",$D87="",$C87&gt;BH$6,$D87&lt;BH$9),"",IF($J87="里程碑","◆",""))</f>
        <v/>
      </c>
      <c r="BI87" s="8" t="str">
        <f>IF(OR($A87="",$C87="",$D87="",$C87&gt;BI$6,$D87&lt;BI$9),"",IF($J87="里程碑","◆",""))</f>
        <v/>
      </c>
      <c r="BJ87" s="8" t="str">
        <f>IF(OR($A87="",$C87="",$D87="",$C87&gt;BJ$6,$D87&lt;BJ$9),"",IF($J87="里程碑","◆",""))</f>
        <v/>
      </c>
      <c r="BK87" s="8" t="str">
        <f>IF(OR($A87="",$C87="",$D87="",$C87&gt;BK$6,$D87&lt;BK$9),"",IF($J87="里程碑","◆",""))</f>
        <v/>
      </c>
      <c r="BL87" s="8" t="str">
        <f>IF(OR($A87="",$C87="",$D87="",$C87&gt;BL$6,$D87&lt;BL$9),"",IF($J87="里程碑","◆",""))</f>
        <v/>
      </c>
      <c r="BM87" s="8" t="str">
        <f>IF(OR($A87="",$C87="",$D87="",$C87&gt;BM$6,$D87&lt;BM$9),"",IF($J87="里程碑","◆",""))</f>
        <v/>
      </c>
      <c r="BN87" s="8" t="str">
        <f>IF(OR($A87="",$C87="",$D87="",$C87&gt;BN$6,$D87&lt;BN$9),"",IF($J87="里程碑","◆",""))</f>
        <v/>
      </c>
      <c r="BO87" s="8" t="str">
        <f>IF(OR($A87="",$C87="",$D87="",$C87&gt;BO$6,$D87&lt;BO$9),"",IF($J87="里程碑","◆",""))</f>
        <v/>
      </c>
      <c r="BP87" s="8" t="str">
        <f>IF(OR($A87="",$C87="",$D87="",$C87&gt;BP$6,$D87&lt;BP$9),"",IF($J87="里程碑","◆",""))</f>
        <v/>
      </c>
      <c r="BQ87" s="8" t="str">
        <f>IF(OR($A87="",$C87="",$D87="",$C87&gt;BQ$6,$D87&lt;BQ$9),"",IF($J87="里程碑","◆",""))</f>
        <v/>
      </c>
      <c r="BR87" s="8" t="str">
        <f>IF(OR($A87="",$C87="",$D87="",$C87&gt;BR$6,$D87&lt;BR$9),"",IF($J87="里程碑","◆",""))</f>
        <v/>
      </c>
      <c r="BS87" s="8" t="str">
        <f>IF(OR($A87="",$C87="",$D87="",$C87&gt;BS$6,$D87&lt;BS$9),"",IF($J87="里程碑","◆",""))</f>
        <v/>
      </c>
      <c r="BT87" s="8" t="str">
        <f>IF(OR($A87="",$C87="",$D87="",$C87&gt;BT$6,$D87&lt;BT$9),"",IF($J87="里程碑","◆",""))</f>
        <v/>
      </c>
      <c r="BU87" s="8" t="str">
        <f>IF(OR($A87="",$C87="",$D87="",$C87&gt;BU$6,$D87&lt;BU$9),"",IF($J87="里程碑","◆",""))</f>
        <v/>
      </c>
      <c r="BV87" s="8" t="str">
        <f>IF(OR($A87="",$C87="",$D87="",$C87&gt;BV$6,$D87&lt;BV$9),"",IF($J87="里程碑","◆",""))</f>
        <v/>
      </c>
      <c r="BW87" s="8" t="str">
        <f>IF(OR($A87="",$C87="",$D87="",$C87&gt;BW$6,$D87&lt;BW$9),"",IF($J87="里程碑","◆",""))</f>
        <v/>
      </c>
      <c r="BX87" s="8" t="str">
        <f>IF(OR($A87="",$C87="",$D87="",$C87&gt;BX$6,$D87&lt;BX$9),"",IF($J87="里程碑","◆",""))</f>
        <v/>
      </c>
      <c r="BY87" s="8" t="str">
        <f>IF(OR($A87="",$C87="",$D87="",$C87&gt;BY$6,$D87&lt;BY$9),"",IF($J87="里程碑","◆",""))</f>
        <v/>
      </c>
      <c r="BZ87" s="8" t="str">
        <f>IF(OR($A87="",$C87="",$D87="",$C87&gt;BZ$6,$D87&lt;BZ$9),"",IF($J87="里程碑","◆",""))</f>
        <v/>
      </c>
      <c r="CA87" s="8" t="str">
        <f>IF(OR($A87="",$C87="",$D87="",$C87&gt;CA$6,$D87&lt;CA$9),"",IF($J87="里程碑","◆",""))</f>
        <v/>
      </c>
      <c r="CB87" s="8" t="str">
        <f>IF(OR($A87="",$C87="",$D87="",$C87&gt;CB$6,$D87&lt;CB$9),"",IF($J87="里程碑","◆",""))</f>
        <v/>
      </c>
      <c r="CC87" s="8" t="str">
        <f>IF(OR($A87="",$C87="",$D87="",$C87&gt;CC$6,$D87&lt;CC$9),"",IF($J87="里程碑","◆",""))</f>
        <v/>
      </c>
      <c r="CD87" s="8" t="str">
        <f>IF(OR($A87="",$C87="",$D87="",$C87&gt;CD$6,$D87&lt;CD$9),"",IF($J87="里程碑","◆",""))</f>
        <v/>
      </c>
      <c r="CE87" s="8" t="str">
        <f>IF(OR($A87="",$C87="",$D87="",$C87&gt;CE$6,$D87&lt;CE$9),"",IF($J87="里程碑","◆",""))</f>
        <v/>
      </c>
      <c r="CF87" s="8" t="str">
        <f>IF(OR($A87="",$C87="",$D87="",$C87&gt;CF$6,$D87&lt;CF$9),"",IF($J87="里程碑","◆",""))</f>
        <v/>
      </c>
      <c r="CG87" s="8" t="str">
        <f>IF(OR($A87="",$C87="",$D87="",$C87&gt;CG$6,$D87&lt;CG$9),"",IF($J87="里程碑","◆",""))</f>
        <v/>
      </c>
      <c r="CH87" s="8" t="str">
        <f>IF(OR($A87="",$C87="",$D87="",$C87&gt;CH$6,$D87&lt;CH$9),"",IF($J87="里程碑","◆",""))</f>
        <v/>
      </c>
      <c r="CI87" s="8" t="str">
        <f>IF(OR($A87="",$C87="",$D87="",$C87&gt;CI$6,$D87&lt;CI$9),"",IF($J87="里程碑","◆",""))</f>
        <v/>
      </c>
      <c r="CJ87" s="8" t="str">
        <f>IF(OR($A87="",$C87="",$D87="",$C87&gt;CJ$6,$D87&lt;CJ$9),"",IF($J87="里程碑","◆",""))</f>
        <v/>
      </c>
      <c r="CK87" s="8" t="str">
        <f>IF(OR($A87="",$C87="",$D87="",$C87&gt;CK$6,$D87&lt;CK$9),"",IF($J87="里程碑","◆",""))</f>
        <v/>
      </c>
      <c r="CL87" s="8" t="str">
        <f>IF(OR($A87="",$C87="",$D87="",$C87&gt;CL$6,$D87&lt;CL$9),"",IF($J87="里程碑","◆",""))</f>
        <v/>
      </c>
      <c r="CM87" s="8" t="str">
        <f>IF(OR($A87="",$C87="",$D87="",$C87&gt;CM$6,$D87&lt;CM$9),"",IF($J87="里程碑","◆",""))</f>
        <v/>
      </c>
      <c r="CN87" s="8" t="str">
        <f>IF(OR($A87="",$C87="",$D87="",$C87&gt;CN$6,$D87&lt;CN$9),"",IF($J87="里程碑","◆",""))</f>
        <v/>
      </c>
      <c r="CO87" s="8" t="str">
        <f>IF(OR($A87="",$C87="",$D87="",$C87&gt;CO$6,$D87&lt;CO$9),"",IF($J87="里程碑","◆",""))</f>
        <v/>
      </c>
      <c r="CP87" s="8" t="str">
        <f>IF(OR($A87="",$C87="",$D87="",$C87&gt;CP$6,$D87&lt;CP$9),"",IF($J87="里程碑","◆",""))</f>
        <v/>
      </c>
      <c r="CQ87" s="8" t="str">
        <f>IF(OR($A87="",$C87="",$D87="",$C87&gt;CQ$6,$D87&lt;CQ$9),"",IF($J87="里程碑","◆",""))</f>
        <v/>
      </c>
      <c r="CR87" s="8" t="str">
        <f>IF(OR($A87="",$C87="",$D87="",$C87&gt;CR$6,$D87&lt;CR$9),"",IF($J87="里程碑","◆",""))</f>
        <v/>
      </c>
      <c r="CS87" s="8" t="str">
        <f>IF(OR($A87="",$C87="",$D87="",$C87&gt;CS$6,$D87&lt;CS$9),"",IF($J87="里程碑","◆",""))</f>
        <v/>
      </c>
      <c r="CT87" s="8" t="str">
        <f>IF(OR($A87="",$C87="",$D87="",$C87&gt;CT$6,$D87&lt;CT$9),"",IF($J87="里程碑","◆",""))</f>
        <v/>
      </c>
      <c r="CU87" s="8" t="str">
        <f>IF(OR($A87="",$C87="",$D87="",$C87&gt;CU$6,$D87&lt;CU$9),"",IF($J87="里程碑","◆",""))</f>
        <v/>
      </c>
      <c r="CV87" s="8" t="str">
        <f>IF(OR($A87="",$C87="",$D87="",$C87&gt;CV$6,$D87&lt;CV$9),"",IF($J87="里程碑","◆",""))</f>
        <v/>
      </c>
      <c r="CW87" s="8" t="str">
        <f>IF(OR($A87="",$C87="",$D87="",$C87&gt;CW$6,$D87&lt;CW$9),"",IF($J87="里程碑","◆",""))</f>
        <v/>
      </c>
      <c r="CX87" s="8" t="str">
        <f>IF(OR($A87="",$C87="",$D87="",$C87&gt;CX$6,$D87&lt;CX$9),"",IF($J87="里程碑","◆",""))</f>
        <v/>
      </c>
      <c r="CY87" s="8" t="str">
        <f>IF(OR($A87="",$C87="",$D87="",$C87&gt;CY$6,$D87&lt;CY$9),"",IF($J87="里程碑","◆",""))</f>
        <v/>
      </c>
      <c r="CZ87" s="8" t="str">
        <f>IF(OR($A87="",$C87="",$D87="",$C87&gt;CZ$6,$D87&lt;CZ$9),"",IF($J87="里程碑","◆",""))</f>
        <v/>
      </c>
      <c r="DA87" s="8" t="str">
        <f>IF(OR($A87="",$C87="",$D87="",$C87&gt;DA$6,$D87&lt;DA$9),"",IF($J87="里程碑","◆",""))</f>
        <v/>
      </c>
      <c r="DB87" s="8" t="str">
        <f>IF(OR($A87="",$C87="",$D87="",$C87&gt;DB$6,$D87&lt;DB$9),"",IF($J87="里程碑","◆",""))</f>
        <v/>
      </c>
      <c r="DC87" s="1" t="str">
        <f>IF(ROW()-9&gt;$DH$3,"",MATCH(ROW()-9,排期计算!$U$10:$U$109,0))</f>
        <v/>
      </c>
      <c r="DD87" s="1" t="str">
        <f>IF($DC87="","",INDEX(排期计算!$L$10:$L$109,$DC87))</f>
        <v/>
      </c>
      <c r="DE87" s="1"/>
      <c r="DF87" s="1"/>
      <c r="DG87" s="1"/>
      <c r="DH87" s="1"/>
      <c r="DI87" s="1"/>
      <c r="DJ87" s="1"/>
      <c r="DK87" s="1"/>
    </row>
    <row r="88" spans="1:115" ht="24.95" customHeight="1">
      <c r="A88" s="9" t="str">
        <f>IF($DC88="","",IF(AND(INDEX(排期计算!$A$10:$A$109,$DC88)="",NOT(ISNUMBER(INDEX(排期计算!$A$10:$A$109,$DC88)))),"",INDEX(排期计算!$A$10:$A$109,$DC88)))</f>
        <v/>
      </c>
      <c r="B88" s="1" t="str">
        <f>IF($DC88="","",REPT("　",$DD88-1)&amp;INDEX(排期计算!$B$10:$B$109,$DC88))</f>
        <v/>
      </c>
      <c r="C88" s="3" t="str">
        <f>IF($DC88="","",IF(AND(INDEX(排期计算!$M$10:$M$109,$DC88)="",NOT(ISNUMBER(INDEX(排期计算!$M$10:$M$109,$DC88)))),"",INDEX(排期计算!$M$10:$M$109,$DC88)))</f>
        <v/>
      </c>
      <c r="D88" s="3" t="str">
        <f>IF($DC88="","",IF(AND(INDEX(排期计算!$N$10:$N$109,$DC88)="",NOT(ISNUMBER(INDEX(排期计算!$N$10:$N$109,$DC88)))),"",INDEX(排期计算!$N$10:$N$109,$DC88)))</f>
        <v/>
      </c>
      <c r="E88" s="1" t="str">
        <f>IF(OR($C88="",$D88=""),"",IF($J88="里程碑",0,NETWORKDAYS($C88,$D88)))</f>
        <v/>
      </c>
      <c r="F88" s="7" t="str">
        <f>IF($DC88="","",IF(AND(INDEX(排期计算!$O$10:$O$109,$DC88)="",NOT(ISNUMBER(INDEX(排期计算!$O$10:$O$109,$DC88)))),"",INDEX(排期计算!$O$10:$O$109,$DC88)))</f>
        <v/>
      </c>
      <c r="G88" s="8" t="str">
        <f>IF($A88="","",IF(OR($C88="",$D88=""),"未排期",IF($F88&gt;=1,"已完成",IF($D88&lt;$B$4,"逾期",IF($C88&gt;$B$4,"未开始","进行中")))))</f>
        <v/>
      </c>
      <c r="H88" s="1" t="str">
        <f>IF($DC88="","",IF(AND(INDEX(排期计算!$C$10:$C$109,$DC88)="",NOT(ISNUMBER(INDEX(排期计算!$C$10:$C$109,$DC88)))),"",INDEX(排期计算!$C$10:$C$109,$DC88)))</f>
        <v/>
      </c>
      <c r="I88" s="1" t="str">
        <f>IF($DC88="","",IF(AND(INDEX(排期计算!$H$10:$H$109,$DC88)="",NOT(ISNUMBER(INDEX(排期计算!$H$10:$H$109,$DC88)))),"",INDEX(排期计算!$H$10:$H$109,$DC88)))</f>
        <v/>
      </c>
      <c r="J88" s="1" t="str">
        <f>IF($DC88="","",IF(AND(INDEX(排期计算!$K$10:$K$109,$DC88)="",NOT(ISNUMBER(INDEX(排期计算!$K$10:$K$109,$DC88)))),"",INDEX(排期计算!$K$10:$K$109,$DC88)))</f>
        <v/>
      </c>
      <c r="K88" s="8" t="str">
        <f>IF(OR($A88="",$C88="",$D88="",$C88&gt;K$6,$D88&lt;K$9),"",IF($J88="里程碑","◆",""))</f>
        <v/>
      </c>
      <c r="L88" s="8" t="str">
        <f>IF(OR($A88="",$C88="",$D88="",$C88&gt;L$6,$D88&lt;L$9),"",IF($J88="里程碑","◆",""))</f>
        <v/>
      </c>
      <c r="M88" s="8" t="str">
        <f>IF(OR($A88="",$C88="",$D88="",$C88&gt;M$6,$D88&lt;M$9),"",IF($J88="里程碑","◆",""))</f>
        <v/>
      </c>
      <c r="N88" s="8" t="str">
        <f>IF(OR($A88="",$C88="",$D88="",$C88&gt;N$6,$D88&lt;N$9),"",IF($J88="里程碑","◆",""))</f>
        <v/>
      </c>
      <c r="O88" s="8" t="str">
        <f>IF(OR($A88="",$C88="",$D88="",$C88&gt;O$6,$D88&lt;O$9),"",IF($J88="里程碑","◆",""))</f>
        <v/>
      </c>
      <c r="P88" s="8" t="str">
        <f>IF(OR($A88="",$C88="",$D88="",$C88&gt;P$6,$D88&lt;P$9),"",IF($J88="里程碑","◆",""))</f>
        <v/>
      </c>
      <c r="Q88" s="8" t="str">
        <f>IF(OR($A88="",$C88="",$D88="",$C88&gt;Q$6,$D88&lt;Q$9),"",IF($J88="里程碑","◆",""))</f>
        <v/>
      </c>
      <c r="R88" s="8" t="str">
        <f>IF(OR($A88="",$C88="",$D88="",$C88&gt;R$6,$D88&lt;R$9),"",IF($J88="里程碑","◆",""))</f>
        <v/>
      </c>
      <c r="S88" s="8" t="str">
        <f>IF(OR($A88="",$C88="",$D88="",$C88&gt;S$6,$D88&lt;S$9),"",IF($J88="里程碑","◆",""))</f>
        <v/>
      </c>
      <c r="T88" s="8" t="str">
        <f>IF(OR($A88="",$C88="",$D88="",$C88&gt;T$6,$D88&lt;T$9),"",IF($J88="里程碑","◆",""))</f>
        <v/>
      </c>
      <c r="U88" s="8" t="str">
        <f>IF(OR($A88="",$C88="",$D88="",$C88&gt;U$6,$D88&lt;U$9),"",IF($J88="里程碑","◆",""))</f>
        <v/>
      </c>
      <c r="V88" s="8" t="str">
        <f>IF(OR($A88="",$C88="",$D88="",$C88&gt;V$6,$D88&lt;V$9),"",IF($J88="里程碑","◆",""))</f>
        <v/>
      </c>
      <c r="W88" s="8" t="str">
        <f>IF(OR($A88="",$C88="",$D88="",$C88&gt;W$6,$D88&lt;W$9),"",IF($J88="里程碑","◆",""))</f>
        <v/>
      </c>
      <c r="X88" s="8" t="str">
        <f>IF(OR($A88="",$C88="",$D88="",$C88&gt;X$6,$D88&lt;X$9),"",IF($J88="里程碑","◆",""))</f>
        <v/>
      </c>
      <c r="Y88" s="8" t="str">
        <f>IF(OR($A88="",$C88="",$D88="",$C88&gt;Y$6,$D88&lt;Y$9),"",IF($J88="里程碑","◆",""))</f>
        <v/>
      </c>
      <c r="Z88" s="8" t="str">
        <f>IF(OR($A88="",$C88="",$D88="",$C88&gt;Z$6,$D88&lt;Z$9),"",IF($J88="里程碑","◆",""))</f>
        <v/>
      </c>
      <c r="AA88" s="8" t="str">
        <f>IF(OR($A88="",$C88="",$D88="",$C88&gt;AA$6,$D88&lt;AA$9),"",IF($J88="里程碑","◆",""))</f>
        <v/>
      </c>
      <c r="AB88" s="8" t="str">
        <f>IF(OR($A88="",$C88="",$D88="",$C88&gt;AB$6,$D88&lt;AB$9),"",IF($J88="里程碑","◆",""))</f>
        <v/>
      </c>
      <c r="AC88" s="8" t="str">
        <f>IF(OR($A88="",$C88="",$D88="",$C88&gt;AC$6,$D88&lt;AC$9),"",IF($J88="里程碑","◆",""))</f>
        <v/>
      </c>
      <c r="AD88" s="8" t="str">
        <f>IF(OR($A88="",$C88="",$D88="",$C88&gt;AD$6,$D88&lt;AD$9),"",IF($J88="里程碑","◆",""))</f>
        <v/>
      </c>
      <c r="AE88" s="8" t="str">
        <f>IF(OR($A88="",$C88="",$D88="",$C88&gt;AE$6,$D88&lt;AE$9),"",IF($J88="里程碑","◆",""))</f>
        <v/>
      </c>
      <c r="AF88" s="8" t="str">
        <f>IF(OR($A88="",$C88="",$D88="",$C88&gt;AF$6,$D88&lt;AF$9),"",IF($J88="里程碑","◆",""))</f>
        <v/>
      </c>
      <c r="AG88" s="8" t="str">
        <f>IF(OR($A88="",$C88="",$D88="",$C88&gt;AG$6,$D88&lt;AG$9),"",IF($J88="里程碑","◆",""))</f>
        <v/>
      </c>
      <c r="AH88" s="8" t="str">
        <f>IF(OR($A88="",$C88="",$D88="",$C88&gt;AH$6,$D88&lt;AH$9),"",IF($J88="里程碑","◆",""))</f>
        <v/>
      </c>
      <c r="AI88" s="8" t="str">
        <f>IF(OR($A88="",$C88="",$D88="",$C88&gt;AI$6,$D88&lt;AI$9),"",IF($J88="里程碑","◆",""))</f>
        <v/>
      </c>
      <c r="AJ88" s="8" t="str">
        <f>IF(OR($A88="",$C88="",$D88="",$C88&gt;AJ$6,$D88&lt;AJ$9),"",IF($J88="里程碑","◆",""))</f>
        <v/>
      </c>
      <c r="AK88" s="8" t="str">
        <f>IF(OR($A88="",$C88="",$D88="",$C88&gt;AK$6,$D88&lt;AK$9),"",IF($J88="里程碑","◆",""))</f>
        <v/>
      </c>
      <c r="AL88" s="8" t="str">
        <f>IF(OR($A88="",$C88="",$D88="",$C88&gt;AL$6,$D88&lt;AL$9),"",IF($J88="里程碑","◆",""))</f>
        <v/>
      </c>
      <c r="AM88" s="8" t="str">
        <f>IF(OR($A88="",$C88="",$D88="",$C88&gt;AM$6,$D88&lt;AM$9),"",IF($J88="里程碑","◆",""))</f>
        <v/>
      </c>
      <c r="AN88" s="8" t="str">
        <f>IF(OR($A88="",$C88="",$D88="",$C88&gt;AN$6,$D88&lt;AN$9),"",IF($J88="里程碑","◆",""))</f>
        <v/>
      </c>
      <c r="AO88" s="8" t="str">
        <f>IF(OR($A88="",$C88="",$D88="",$C88&gt;AO$6,$D88&lt;AO$9),"",IF($J88="里程碑","◆",""))</f>
        <v/>
      </c>
      <c r="AP88" s="8" t="str">
        <f>IF(OR($A88="",$C88="",$D88="",$C88&gt;AP$6,$D88&lt;AP$9),"",IF($J88="里程碑","◆",""))</f>
        <v/>
      </c>
      <c r="AQ88" s="8" t="str">
        <f>IF(OR($A88="",$C88="",$D88="",$C88&gt;AQ$6,$D88&lt;AQ$9),"",IF($J88="里程碑","◆",""))</f>
        <v/>
      </c>
      <c r="AR88" s="8" t="str">
        <f>IF(OR($A88="",$C88="",$D88="",$C88&gt;AR$6,$D88&lt;AR$9),"",IF($J88="里程碑","◆",""))</f>
        <v/>
      </c>
      <c r="AS88" s="8" t="str">
        <f>IF(OR($A88="",$C88="",$D88="",$C88&gt;AS$6,$D88&lt;AS$9),"",IF($J88="里程碑","◆",""))</f>
        <v/>
      </c>
      <c r="AT88" s="8" t="str">
        <f>IF(OR($A88="",$C88="",$D88="",$C88&gt;AT$6,$D88&lt;AT$9),"",IF($J88="里程碑","◆",""))</f>
        <v/>
      </c>
      <c r="AU88" s="8" t="str">
        <f>IF(OR($A88="",$C88="",$D88="",$C88&gt;AU$6,$D88&lt;AU$9),"",IF($J88="里程碑","◆",""))</f>
        <v/>
      </c>
      <c r="AV88" s="8" t="str">
        <f>IF(OR($A88="",$C88="",$D88="",$C88&gt;AV$6,$D88&lt;AV$9),"",IF($J88="里程碑","◆",""))</f>
        <v/>
      </c>
      <c r="AW88" s="8" t="str">
        <f>IF(OR($A88="",$C88="",$D88="",$C88&gt;AW$6,$D88&lt;AW$9),"",IF($J88="里程碑","◆",""))</f>
        <v/>
      </c>
      <c r="AX88" s="8" t="str">
        <f>IF(OR($A88="",$C88="",$D88="",$C88&gt;AX$6,$D88&lt;AX$9),"",IF($J88="里程碑","◆",""))</f>
        <v/>
      </c>
      <c r="AY88" s="8" t="str">
        <f>IF(OR($A88="",$C88="",$D88="",$C88&gt;AY$6,$D88&lt;AY$9),"",IF($J88="里程碑","◆",""))</f>
        <v/>
      </c>
      <c r="AZ88" s="8" t="str">
        <f>IF(OR($A88="",$C88="",$D88="",$C88&gt;AZ$6,$D88&lt;AZ$9),"",IF($J88="里程碑","◆",""))</f>
        <v/>
      </c>
      <c r="BA88" s="8" t="str">
        <f>IF(OR($A88="",$C88="",$D88="",$C88&gt;BA$6,$D88&lt;BA$9),"",IF($J88="里程碑","◆",""))</f>
        <v/>
      </c>
      <c r="BB88" s="8" t="str">
        <f>IF(OR($A88="",$C88="",$D88="",$C88&gt;BB$6,$D88&lt;BB$9),"",IF($J88="里程碑","◆",""))</f>
        <v/>
      </c>
      <c r="BC88" s="8" t="str">
        <f>IF(OR($A88="",$C88="",$D88="",$C88&gt;BC$6,$D88&lt;BC$9),"",IF($J88="里程碑","◆",""))</f>
        <v/>
      </c>
      <c r="BD88" s="8" t="str">
        <f>IF(OR($A88="",$C88="",$D88="",$C88&gt;BD$6,$D88&lt;BD$9),"",IF($J88="里程碑","◆",""))</f>
        <v/>
      </c>
      <c r="BE88" s="8" t="str">
        <f>IF(OR($A88="",$C88="",$D88="",$C88&gt;BE$6,$D88&lt;BE$9),"",IF($J88="里程碑","◆",""))</f>
        <v/>
      </c>
      <c r="BF88" s="8" t="str">
        <f>IF(OR($A88="",$C88="",$D88="",$C88&gt;BF$6,$D88&lt;BF$9),"",IF($J88="里程碑","◆",""))</f>
        <v/>
      </c>
      <c r="BG88" s="8" t="str">
        <f>IF(OR($A88="",$C88="",$D88="",$C88&gt;BG$6,$D88&lt;BG$9),"",IF($J88="里程碑","◆",""))</f>
        <v/>
      </c>
      <c r="BH88" s="8" t="str">
        <f>IF(OR($A88="",$C88="",$D88="",$C88&gt;BH$6,$D88&lt;BH$9),"",IF($J88="里程碑","◆",""))</f>
        <v/>
      </c>
      <c r="BI88" s="8" t="str">
        <f>IF(OR($A88="",$C88="",$D88="",$C88&gt;BI$6,$D88&lt;BI$9),"",IF($J88="里程碑","◆",""))</f>
        <v/>
      </c>
      <c r="BJ88" s="8" t="str">
        <f>IF(OR($A88="",$C88="",$D88="",$C88&gt;BJ$6,$D88&lt;BJ$9),"",IF($J88="里程碑","◆",""))</f>
        <v/>
      </c>
      <c r="BK88" s="8" t="str">
        <f>IF(OR($A88="",$C88="",$D88="",$C88&gt;BK$6,$D88&lt;BK$9),"",IF($J88="里程碑","◆",""))</f>
        <v/>
      </c>
      <c r="BL88" s="8" t="str">
        <f>IF(OR($A88="",$C88="",$D88="",$C88&gt;BL$6,$D88&lt;BL$9),"",IF($J88="里程碑","◆",""))</f>
        <v/>
      </c>
      <c r="BM88" s="8" t="str">
        <f>IF(OR($A88="",$C88="",$D88="",$C88&gt;BM$6,$D88&lt;BM$9),"",IF($J88="里程碑","◆",""))</f>
        <v/>
      </c>
      <c r="BN88" s="8" t="str">
        <f>IF(OR($A88="",$C88="",$D88="",$C88&gt;BN$6,$D88&lt;BN$9),"",IF($J88="里程碑","◆",""))</f>
        <v/>
      </c>
      <c r="BO88" s="8" t="str">
        <f>IF(OR($A88="",$C88="",$D88="",$C88&gt;BO$6,$D88&lt;BO$9),"",IF($J88="里程碑","◆",""))</f>
        <v/>
      </c>
      <c r="BP88" s="8" t="str">
        <f>IF(OR($A88="",$C88="",$D88="",$C88&gt;BP$6,$D88&lt;BP$9),"",IF($J88="里程碑","◆",""))</f>
        <v/>
      </c>
      <c r="BQ88" s="8" t="str">
        <f>IF(OR($A88="",$C88="",$D88="",$C88&gt;BQ$6,$D88&lt;BQ$9),"",IF($J88="里程碑","◆",""))</f>
        <v/>
      </c>
      <c r="BR88" s="8" t="str">
        <f>IF(OR($A88="",$C88="",$D88="",$C88&gt;BR$6,$D88&lt;BR$9),"",IF($J88="里程碑","◆",""))</f>
        <v/>
      </c>
      <c r="BS88" s="8" t="str">
        <f>IF(OR($A88="",$C88="",$D88="",$C88&gt;BS$6,$D88&lt;BS$9),"",IF($J88="里程碑","◆",""))</f>
        <v/>
      </c>
      <c r="BT88" s="8" t="str">
        <f>IF(OR($A88="",$C88="",$D88="",$C88&gt;BT$6,$D88&lt;BT$9),"",IF($J88="里程碑","◆",""))</f>
        <v/>
      </c>
      <c r="BU88" s="8" t="str">
        <f>IF(OR($A88="",$C88="",$D88="",$C88&gt;BU$6,$D88&lt;BU$9),"",IF($J88="里程碑","◆",""))</f>
        <v/>
      </c>
      <c r="BV88" s="8" t="str">
        <f>IF(OR($A88="",$C88="",$D88="",$C88&gt;BV$6,$D88&lt;BV$9),"",IF($J88="里程碑","◆",""))</f>
        <v/>
      </c>
      <c r="BW88" s="8" t="str">
        <f>IF(OR($A88="",$C88="",$D88="",$C88&gt;BW$6,$D88&lt;BW$9),"",IF($J88="里程碑","◆",""))</f>
        <v/>
      </c>
      <c r="BX88" s="8" t="str">
        <f>IF(OR($A88="",$C88="",$D88="",$C88&gt;BX$6,$D88&lt;BX$9),"",IF($J88="里程碑","◆",""))</f>
        <v/>
      </c>
      <c r="BY88" s="8" t="str">
        <f>IF(OR($A88="",$C88="",$D88="",$C88&gt;BY$6,$D88&lt;BY$9),"",IF($J88="里程碑","◆",""))</f>
        <v/>
      </c>
      <c r="BZ88" s="8" t="str">
        <f>IF(OR($A88="",$C88="",$D88="",$C88&gt;BZ$6,$D88&lt;BZ$9),"",IF($J88="里程碑","◆",""))</f>
        <v/>
      </c>
      <c r="CA88" s="8" t="str">
        <f>IF(OR($A88="",$C88="",$D88="",$C88&gt;CA$6,$D88&lt;CA$9),"",IF($J88="里程碑","◆",""))</f>
        <v/>
      </c>
      <c r="CB88" s="8" t="str">
        <f>IF(OR($A88="",$C88="",$D88="",$C88&gt;CB$6,$D88&lt;CB$9),"",IF($J88="里程碑","◆",""))</f>
        <v/>
      </c>
      <c r="CC88" s="8" t="str">
        <f>IF(OR($A88="",$C88="",$D88="",$C88&gt;CC$6,$D88&lt;CC$9),"",IF($J88="里程碑","◆",""))</f>
        <v/>
      </c>
      <c r="CD88" s="8" t="str">
        <f>IF(OR($A88="",$C88="",$D88="",$C88&gt;CD$6,$D88&lt;CD$9),"",IF($J88="里程碑","◆",""))</f>
        <v/>
      </c>
      <c r="CE88" s="8" t="str">
        <f>IF(OR($A88="",$C88="",$D88="",$C88&gt;CE$6,$D88&lt;CE$9),"",IF($J88="里程碑","◆",""))</f>
        <v/>
      </c>
      <c r="CF88" s="8" t="str">
        <f>IF(OR($A88="",$C88="",$D88="",$C88&gt;CF$6,$D88&lt;CF$9),"",IF($J88="里程碑","◆",""))</f>
        <v/>
      </c>
      <c r="CG88" s="8" t="str">
        <f>IF(OR($A88="",$C88="",$D88="",$C88&gt;CG$6,$D88&lt;CG$9),"",IF($J88="里程碑","◆",""))</f>
        <v/>
      </c>
      <c r="CH88" s="8" t="str">
        <f>IF(OR($A88="",$C88="",$D88="",$C88&gt;CH$6,$D88&lt;CH$9),"",IF($J88="里程碑","◆",""))</f>
        <v/>
      </c>
      <c r="CI88" s="8" t="str">
        <f>IF(OR($A88="",$C88="",$D88="",$C88&gt;CI$6,$D88&lt;CI$9),"",IF($J88="里程碑","◆",""))</f>
        <v/>
      </c>
      <c r="CJ88" s="8" t="str">
        <f>IF(OR($A88="",$C88="",$D88="",$C88&gt;CJ$6,$D88&lt;CJ$9),"",IF($J88="里程碑","◆",""))</f>
        <v/>
      </c>
      <c r="CK88" s="8" t="str">
        <f>IF(OR($A88="",$C88="",$D88="",$C88&gt;CK$6,$D88&lt;CK$9),"",IF($J88="里程碑","◆",""))</f>
        <v/>
      </c>
      <c r="CL88" s="8" t="str">
        <f>IF(OR($A88="",$C88="",$D88="",$C88&gt;CL$6,$D88&lt;CL$9),"",IF($J88="里程碑","◆",""))</f>
        <v/>
      </c>
      <c r="CM88" s="8" t="str">
        <f>IF(OR($A88="",$C88="",$D88="",$C88&gt;CM$6,$D88&lt;CM$9),"",IF($J88="里程碑","◆",""))</f>
        <v/>
      </c>
      <c r="CN88" s="8" t="str">
        <f>IF(OR($A88="",$C88="",$D88="",$C88&gt;CN$6,$D88&lt;CN$9),"",IF($J88="里程碑","◆",""))</f>
        <v/>
      </c>
      <c r="CO88" s="8" t="str">
        <f>IF(OR($A88="",$C88="",$D88="",$C88&gt;CO$6,$D88&lt;CO$9),"",IF($J88="里程碑","◆",""))</f>
        <v/>
      </c>
      <c r="CP88" s="8" t="str">
        <f>IF(OR($A88="",$C88="",$D88="",$C88&gt;CP$6,$D88&lt;CP$9),"",IF($J88="里程碑","◆",""))</f>
        <v/>
      </c>
      <c r="CQ88" s="8" t="str">
        <f>IF(OR($A88="",$C88="",$D88="",$C88&gt;CQ$6,$D88&lt;CQ$9),"",IF($J88="里程碑","◆",""))</f>
        <v/>
      </c>
      <c r="CR88" s="8" t="str">
        <f>IF(OR($A88="",$C88="",$D88="",$C88&gt;CR$6,$D88&lt;CR$9),"",IF($J88="里程碑","◆",""))</f>
        <v/>
      </c>
      <c r="CS88" s="8" t="str">
        <f>IF(OR($A88="",$C88="",$D88="",$C88&gt;CS$6,$D88&lt;CS$9),"",IF($J88="里程碑","◆",""))</f>
        <v/>
      </c>
      <c r="CT88" s="8" t="str">
        <f>IF(OR($A88="",$C88="",$D88="",$C88&gt;CT$6,$D88&lt;CT$9),"",IF($J88="里程碑","◆",""))</f>
        <v/>
      </c>
      <c r="CU88" s="8" t="str">
        <f>IF(OR($A88="",$C88="",$D88="",$C88&gt;CU$6,$D88&lt;CU$9),"",IF($J88="里程碑","◆",""))</f>
        <v/>
      </c>
      <c r="CV88" s="8" t="str">
        <f>IF(OR($A88="",$C88="",$D88="",$C88&gt;CV$6,$D88&lt;CV$9),"",IF($J88="里程碑","◆",""))</f>
        <v/>
      </c>
      <c r="CW88" s="8" t="str">
        <f>IF(OR($A88="",$C88="",$D88="",$C88&gt;CW$6,$D88&lt;CW$9),"",IF($J88="里程碑","◆",""))</f>
        <v/>
      </c>
      <c r="CX88" s="8" t="str">
        <f>IF(OR($A88="",$C88="",$D88="",$C88&gt;CX$6,$D88&lt;CX$9),"",IF($J88="里程碑","◆",""))</f>
        <v/>
      </c>
      <c r="CY88" s="8" t="str">
        <f>IF(OR($A88="",$C88="",$D88="",$C88&gt;CY$6,$D88&lt;CY$9),"",IF($J88="里程碑","◆",""))</f>
        <v/>
      </c>
      <c r="CZ88" s="8" t="str">
        <f>IF(OR($A88="",$C88="",$D88="",$C88&gt;CZ$6,$D88&lt;CZ$9),"",IF($J88="里程碑","◆",""))</f>
        <v/>
      </c>
      <c r="DA88" s="8" t="str">
        <f>IF(OR($A88="",$C88="",$D88="",$C88&gt;DA$6,$D88&lt;DA$9),"",IF($J88="里程碑","◆",""))</f>
        <v/>
      </c>
      <c r="DB88" s="8" t="str">
        <f>IF(OR($A88="",$C88="",$D88="",$C88&gt;DB$6,$D88&lt;DB$9),"",IF($J88="里程碑","◆",""))</f>
        <v/>
      </c>
      <c r="DC88" s="1" t="str">
        <f>IF(ROW()-9&gt;$DH$3,"",MATCH(ROW()-9,排期计算!$U$10:$U$109,0))</f>
        <v/>
      </c>
      <c r="DD88" s="1" t="str">
        <f>IF($DC88="","",INDEX(排期计算!$L$10:$L$109,$DC88))</f>
        <v/>
      </c>
      <c r="DE88" s="1"/>
      <c r="DF88" s="1"/>
      <c r="DG88" s="1"/>
      <c r="DH88" s="1"/>
      <c r="DI88" s="1"/>
      <c r="DJ88" s="1"/>
      <c r="DK88" s="1"/>
    </row>
    <row r="89" spans="1:115" ht="24.95" customHeight="1">
      <c r="A89" s="9" t="str">
        <f>IF($DC89="","",IF(AND(INDEX(排期计算!$A$10:$A$109,$DC89)="",NOT(ISNUMBER(INDEX(排期计算!$A$10:$A$109,$DC89)))),"",INDEX(排期计算!$A$10:$A$109,$DC89)))</f>
        <v/>
      </c>
      <c r="B89" s="1" t="str">
        <f>IF($DC89="","",REPT("　",$DD89-1)&amp;INDEX(排期计算!$B$10:$B$109,$DC89))</f>
        <v/>
      </c>
      <c r="C89" s="3" t="str">
        <f>IF($DC89="","",IF(AND(INDEX(排期计算!$M$10:$M$109,$DC89)="",NOT(ISNUMBER(INDEX(排期计算!$M$10:$M$109,$DC89)))),"",INDEX(排期计算!$M$10:$M$109,$DC89)))</f>
        <v/>
      </c>
      <c r="D89" s="3" t="str">
        <f>IF($DC89="","",IF(AND(INDEX(排期计算!$N$10:$N$109,$DC89)="",NOT(ISNUMBER(INDEX(排期计算!$N$10:$N$109,$DC89)))),"",INDEX(排期计算!$N$10:$N$109,$DC89)))</f>
        <v/>
      </c>
      <c r="E89" s="1" t="str">
        <f>IF(OR($C89="",$D89=""),"",IF($J89="里程碑",0,NETWORKDAYS($C89,$D89)))</f>
        <v/>
      </c>
      <c r="F89" s="7" t="str">
        <f>IF($DC89="","",IF(AND(INDEX(排期计算!$O$10:$O$109,$DC89)="",NOT(ISNUMBER(INDEX(排期计算!$O$10:$O$109,$DC89)))),"",INDEX(排期计算!$O$10:$O$109,$DC89)))</f>
        <v/>
      </c>
      <c r="G89" s="8" t="str">
        <f>IF($A89="","",IF(OR($C89="",$D89=""),"未排期",IF($F89&gt;=1,"已完成",IF($D89&lt;$B$4,"逾期",IF($C89&gt;$B$4,"未开始","进行中")))))</f>
        <v/>
      </c>
      <c r="H89" s="1" t="str">
        <f>IF($DC89="","",IF(AND(INDEX(排期计算!$C$10:$C$109,$DC89)="",NOT(ISNUMBER(INDEX(排期计算!$C$10:$C$109,$DC89)))),"",INDEX(排期计算!$C$10:$C$109,$DC89)))</f>
        <v/>
      </c>
      <c r="I89" s="1" t="str">
        <f>IF($DC89="","",IF(AND(INDEX(排期计算!$H$10:$H$109,$DC89)="",NOT(ISNUMBER(INDEX(排期计算!$H$10:$H$109,$DC89)))),"",INDEX(排期计算!$H$10:$H$109,$DC89)))</f>
        <v/>
      </c>
      <c r="J89" s="1" t="str">
        <f>IF($DC89="","",IF(AND(INDEX(排期计算!$K$10:$K$109,$DC89)="",NOT(ISNUMBER(INDEX(排期计算!$K$10:$K$109,$DC89)))),"",INDEX(排期计算!$K$10:$K$109,$DC89)))</f>
        <v/>
      </c>
      <c r="K89" s="8" t="str">
        <f>IF(OR($A89="",$C89="",$D89="",$C89&gt;K$6,$D89&lt;K$9),"",IF($J89="里程碑","◆",""))</f>
        <v/>
      </c>
      <c r="L89" s="8" t="str">
        <f>IF(OR($A89="",$C89="",$D89="",$C89&gt;L$6,$D89&lt;L$9),"",IF($J89="里程碑","◆",""))</f>
        <v/>
      </c>
      <c r="M89" s="8" t="str">
        <f>IF(OR($A89="",$C89="",$D89="",$C89&gt;M$6,$D89&lt;M$9),"",IF($J89="里程碑","◆",""))</f>
        <v/>
      </c>
      <c r="N89" s="8" t="str">
        <f>IF(OR($A89="",$C89="",$D89="",$C89&gt;N$6,$D89&lt;N$9),"",IF($J89="里程碑","◆",""))</f>
        <v/>
      </c>
      <c r="O89" s="8" t="str">
        <f>IF(OR($A89="",$C89="",$D89="",$C89&gt;O$6,$D89&lt;O$9),"",IF($J89="里程碑","◆",""))</f>
        <v/>
      </c>
      <c r="P89" s="8" t="str">
        <f>IF(OR($A89="",$C89="",$D89="",$C89&gt;P$6,$D89&lt;P$9),"",IF($J89="里程碑","◆",""))</f>
        <v/>
      </c>
      <c r="Q89" s="8" t="str">
        <f>IF(OR($A89="",$C89="",$D89="",$C89&gt;Q$6,$D89&lt;Q$9),"",IF($J89="里程碑","◆",""))</f>
        <v/>
      </c>
      <c r="R89" s="8" t="str">
        <f>IF(OR($A89="",$C89="",$D89="",$C89&gt;R$6,$D89&lt;R$9),"",IF($J89="里程碑","◆",""))</f>
        <v/>
      </c>
      <c r="S89" s="8" t="str">
        <f>IF(OR($A89="",$C89="",$D89="",$C89&gt;S$6,$D89&lt;S$9),"",IF($J89="里程碑","◆",""))</f>
        <v/>
      </c>
      <c r="T89" s="8" t="str">
        <f>IF(OR($A89="",$C89="",$D89="",$C89&gt;T$6,$D89&lt;T$9),"",IF($J89="里程碑","◆",""))</f>
        <v/>
      </c>
      <c r="U89" s="8" t="str">
        <f>IF(OR($A89="",$C89="",$D89="",$C89&gt;U$6,$D89&lt;U$9),"",IF($J89="里程碑","◆",""))</f>
        <v/>
      </c>
      <c r="V89" s="8" t="str">
        <f>IF(OR($A89="",$C89="",$D89="",$C89&gt;V$6,$D89&lt;V$9),"",IF($J89="里程碑","◆",""))</f>
        <v/>
      </c>
      <c r="W89" s="8" t="str">
        <f>IF(OR($A89="",$C89="",$D89="",$C89&gt;W$6,$D89&lt;W$9),"",IF($J89="里程碑","◆",""))</f>
        <v/>
      </c>
      <c r="X89" s="8" t="str">
        <f>IF(OR($A89="",$C89="",$D89="",$C89&gt;X$6,$D89&lt;X$9),"",IF($J89="里程碑","◆",""))</f>
        <v/>
      </c>
      <c r="Y89" s="8" t="str">
        <f>IF(OR($A89="",$C89="",$D89="",$C89&gt;Y$6,$D89&lt;Y$9),"",IF($J89="里程碑","◆",""))</f>
        <v/>
      </c>
      <c r="Z89" s="8" t="str">
        <f>IF(OR($A89="",$C89="",$D89="",$C89&gt;Z$6,$D89&lt;Z$9),"",IF($J89="里程碑","◆",""))</f>
        <v/>
      </c>
      <c r="AA89" s="8" t="str">
        <f>IF(OR($A89="",$C89="",$D89="",$C89&gt;AA$6,$D89&lt;AA$9),"",IF($J89="里程碑","◆",""))</f>
        <v/>
      </c>
      <c r="AB89" s="8" t="str">
        <f>IF(OR($A89="",$C89="",$D89="",$C89&gt;AB$6,$D89&lt;AB$9),"",IF($J89="里程碑","◆",""))</f>
        <v/>
      </c>
      <c r="AC89" s="8" t="str">
        <f>IF(OR($A89="",$C89="",$D89="",$C89&gt;AC$6,$D89&lt;AC$9),"",IF($J89="里程碑","◆",""))</f>
        <v/>
      </c>
      <c r="AD89" s="8" t="str">
        <f>IF(OR($A89="",$C89="",$D89="",$C89&gt;AD$6,$D89&lt;AD$9),"",IF($J89="里程碑","◆",""))</f>
        <v/>
      </c>
      <c r="AE89" s="8" t="str">
        <f>IF(OR($A89="",$C89="",$D89="",$C89&gt;AE$6,$D89&lt;AE$9),"",IF($J89="里程碑","◆",""))</f>
        <v/>
      </c>
      <c r="AF89" s="8" t="str">
        <f>IF(OR($A89="",$C89="",$D89="",$C89&gt;AF$6,$D89&lt;AF$9),"",IF($J89="里程碑","◆",""))</f>
        <v/>
      </c>
      <c r="AG89" s="8" t="str">
        <f>IF(OR($A89="",$C89="",$D89="",$C89&gt;AG$6,$D89&lt;AG$9),"",IF($J89="里程碑","◆",""))</f>
        <v/>
      </c>
      <c r="AH89" s="8" t="str">
        <f>IF(OR($A89="",$C89="",$D89="",$C89&gt;AH$6,$D89&lt;AH$9),"",IF($J89="里程碑","◆",""))</f>
        <v/>
      </c>
      <c r="AI89" s="8" t="str">
        <f>IF(OR($A89="",$C89="",$D89="",$C89&gt;AI$6,$D89&lt;AI$9),"",IF($J89="里程碑","◆",""))</f>
        <v/>
      </c>
      <c r="AJ89" s="8" t="str">
        <f>IF(OR($A89="",$C89="",$D89="",$C89&gt;AJ$6,$D89&lt;AJ$9),"",IF($J89="里程碑","◆",""))</f>
        <v/>
      </c>
      <c r="AK89" s="8" t="str">
        <f>IF(OR($A89="",$C89="",$D89="",$C89&gt;AK$6,$D89&lt;AK$9),"",IF($J89="里程碑","◆",""))</f>
        <v/>
      </c>
      <c r="AL89" s="8" t="str">
        <f>IF(OR($A89="",$C89="",$D89="",$C89&gt;AL$6,$D89&lt;AL$9),"",IF($J89="里程碑","◆",""))</f>
        <v/>
      </c>
      <c r="AM89" s="8" t="str">
        <f>IF(OR($A89="",$C89="",$D89="",$C89&gt;AM$6,$D89&lt;AM$9),"",IF($J89="里程碑","◆",""))</f>
        <v/>
      </c>
      <c r="AN89" s="8" t="str">
        <f>IF(OR($A89="",$C89="",$D89="",$C89&gt;AN$6,$D89&lt;AN$9),"",IF($J89="里程碑","◆",""))</f>
        <v/>
      </c>
      <c r="AO89" s="8" t="str">
        <f>IF(OR($A89="",$C89="",$D89="",$C89&gt;AO$6,$D89&lt;AO$9),"",IF($J89="里程碑","◆",""))</f>
        <v/>
      </c>
      <c r="AP89" s="8" t="str">
        <f>IF(OR($A89="",$C89="",$D89="",$C89&gt;AP$6,$D89&lt;AP$9),"",IF($J89="里程碑","◆",""))</f>
        <v/>
      </c>
      <c r="AQ89" s="8" t="str">
        <f>IF(OR($A89="",$C89="",$D89="",$C89&gt;AQ$6,$D89&lt;AQ$9),"",IF($J89="里程碑","◆",""))</f>
        <v/>
      </c>
      <c r="AR89" s="8" t="str">
        <f>IF(OR($A89="",$C89="",$D89="",$C89&gt;AR$6,$D89&lt;AR$9),"",IF($J89="里程碑","◆",""))</f>
        <v/>
      </c>
      <c r="AS89" s="8" t="str">
        <f>IF(OR($A89="",$C89="",$D89="",$C89&gt;AS$6,$D89&lt;AS$9),"",IF($J89="里程碑","◆",""))</f>
        <v/>
      </c>
      <c r="AT89" s="8" t="str">
        <f>IF(OR($A89="",$C89="",$D89="",$C89&gt;AT$6,$D89&lt;AT$9),"",IF($J89="里程碑","◆",""))</f>
        <v/>
      </c>
      <c r="AU89" s="8" t="str">
        <f>IF(OR($A89="",$C89="",$D89="",$C89&gt;AU$6,$D89&lt;AU$9),"",IF($J89="里程碑","◆",""))</f>
        <v/>
      </c>
      <c r="AV89" s="8" t="str">
        <f>IF(OR($A89="",$C89="",$D89="",$C89&gt;AV$6,$D89&lt;AV$9),"",IF($J89="里程碑","◆",""))</f>
        <v/>
      </c>
      <c r="AW89" s="8" t="str">
        <f>IF(OR($A89="",$C89="",$D89="",$C89&gt;AW$6,$D89&lt;AW$9),"",IF($J89="里程碑","◆",""))</f>
        <v/>
      </c>
      <c r="AX89" s="8" t="str">
        <f>IF(OR($A89="",$C89="",$D89="",$C89&gt;AX$6,$D89&lt;AX$9),"",IF($J89="里程碑","◆",""))</f>
        <v/>
      </c>
      <c r="AY89" s="8" t="str">
        <f>IF(OR($A89="",$C89="",$D89="",$C89&gt;AY$6,$D89&lt;AY$9),"",IF($J89="里程碑","◆",""))</f>
        <v/>
      </c>
      <c r="AZ89" s="8" t="str">
        <f>IF(OR($A89="",$C89="",$D89="",$C89&gt;AZ$6,$D89&lt;AZ$9),"",IF($J89="里程碑","◆",""))</f>
        <v/>
      </c>
      <c r="BA89" s="8" t="str">
        <f>IF(OR($A89="",$C89="",$D89="",$C89&gt;BA$6,$D89&lt;BA$9),"",IF($J89="里程碑","◆",""))</f>
        <v/>
      </c>
      <c r="BB89" s="8" t="str">
        <f>IF(OR($A89="",$C89="",$D89="",$C89&gt;BB$6,$D89&lt;BB$9),"",IF($J89="里程碑","◆",""))</f>
        <v/>
      </c>
      <c r="BC89" s="8" t="str">
        <f>IF(OR($A89="",$C89="",$D89="",$C89&gt;BC$6,$D89&lt;BC$9),"",IF($J89="里程碑","◆",""))</f>
        <v/>
      </c>
      <c r="BD89" s="8" t="str">
        <f>IF(OR($A89="",$C89="",$D89="",$C89&gt;BD$6,$D89&lt;BD$9),"",IF($J89="里程碑","◆",""))</f>
        <v/>
      </c>
      <c r="BE89" s="8" t="str">
        <f>IF(OR($A89="",$C89="",$D89="",$C89&gt;BE$6,$D89&lt;BE$9),"",IF($J89="里程碑","◆",""))</f>
        <v/>
      </c>
      <c r="BF89" s="8" t="str">
        <f>IF(OR($A89="",$C89="",$D89="",$C89&gt;BF$6,$D89&lt;BF$9),"",IF($J89="里程碑","◆",""))</f>
        <v/>
      </c>
      <c r="BG89" s="8" t="str">
        <f>IF(OR($A89="",$C89="",$D89="",$C89&gt;BG$6,$D89&lt;BG$9),"",IF($J89="里程碑","◆",""))</f>
        <v/>
      </c>
      <c r="BH89" s="8" t="str">
        <f>IF(OR($A89="",$C89="",$D89="",$C89&gt;BH$6,$D89&lt;BH$9),"",IF($J89="里程碑","◆",""))</f>
        <v/>
      </c>
      <c r="BI89" s="8" t="str">
        <f>IF(OR($A89="",$C89="",$D89="",$C89&gt;BI$6,$D89&lt;BI$9),"",IF($J89="里程碑","◆",""))</f>
        <v/>
      </c>
      <c r="BJ89" s="8" t="str">
        <f>IF(OR($A89="",$C89="",$D89="",$C89&gt;BJ$6,$D89&lt;BJ$9),"",IF($J89="里程碑","◆",""))</f>
        <v/>
      </c>
      <c r="BK89" s="8" t="str">
        <f>IF(OR($A89="",$C89="",$D89="",$C89&gt;BK$6,$D89&lt;BK$9),"",IF($J89="里程碑","◆",""))</f>
        <v/>
      </c>
      <c r="BL89" s="8" t="str">
        <f>IF(OR($A89="",$C89="",$D89="",$C89&gt;BL$6,$D89&lt;BL$9),"",IF($J89="里程碑","◆",""))</f>
        <v/>
      </c>
      <c r="BM89" s="8" t="str">
        <f>IF(OR($A89="",$C89="",$D89="",$C89&gt;BM$6,$D89&lt;BM$9),"",IF($J89="里程碑","◆",""))</f>
        <v/>
      </c>
      <c r="BN89" s="8" t="str">
        <f>IF(OR($A89="",$C89="",$D89="",$C89&gt;BN$6,$D89&lt;BN$9),"",IF($J89="里程碑","◆",""))</f>
        <v/>
      </c>
      <c r="BO89" s="8" t="str">
        <f>IF(OR($A89="",$C89="",$D89="",$C89&gt;BO$6,$D89&lt;BO$9),"",IF($J89="里程碑","◆",""))</f>
        <v/>
      </c>
      <c r="BP89" s="8" t="str">
        <f>IF(OR($A89="",$C89="",$D89="",$C89&gt;BP$6,$D89&lt;BP$9),"",IF($J89="里程碑","◆",""))</f>
        <v/>
      </c>
      <c r="BQ89" s="8" t="str">
        <f>IF(OR($A89="",$C89="",$D89="",$C89&gt;BQ$6,$D89&lt;BQ$9),"",IF($J89="里程碑","◆",""))</f>
        <v/>
      </c>
      <c r="BR89" s="8" t="str">
        <f>IF(OR($A89="",$C89="",$D89="",$C89&gt;BR$6,$D89&lt;BR$9),"",IF($J89="里程碑","◆",""))</f>
        <v/>
      </c>
      <c r="BS89" s="8" t="str">
        <f>IF(OR($A89="",$C89="",$D89="",$C89&gt;BS$6,$D89&lt;BS$9),"",IF($J89="里程碑","◆",""))</f>
        <v/>
      </c>
      <c r="BT89" s="8" t="str">
        <f>IF(OR($A89="",$C89="",$D89="",$C89&gt;BT$6,$D89&lt;BT$9),"",IF($J89="里程碑","◆",""))</f>
        <v/>
      </c>
      <c r="BU89" s="8" t="str">
        <f>IF(OR($A89="",$C89="",$D89="",$C89&gt;BU$6,$D89&lt;BU$9),"",IF($J89="里程碑","◆",""))</f>
        <v/>
      </c>
      <c r="BV89" s="8" t="str">
        <f>IF(OR($A89="",$C89="",$D89="",$C89&gt;BV$6,$D89&lt;BV$9),"",IF($J89="里程碑","◆",""))</f>
        <v/>
      </c>
      <c r="BW89" s="8" t="str">
        <f>IF(OR($A89="",$C89="",$D89="",$C89&gt;BW$6,$D89&lt;BW$9),"",IF($J89="里程碑","◆",""))</f>
        <v/>
      </c>
      <c r="BX89" s="8" t="str">
        <f>IF(OR($A89="",$C89="",$D89="",$C89&gt;BX$6,$D89&lt;BX$9),"",IF($J89="里程碑","◆",""))</f>
        <v/>
      </c>
      <c r="BY89" s="8" t="str">
        <f>IF(OR($A89="",$C89="",$D89="",$C89&gt;BY$6,$D89&lt;BY$9),"",IF($J89="里程碑","◆",""))</f>
        <v/>
      </c>
      <c r="BZ89" s="8" t="str">
        <f>IF(OR($A89="",$C89="",$D89="",$C89&gt;BZ$6,$D89&lt;BZ$9),"",IF($J89="里程碑","◆",""))</f>
        <v/>
      </c>
      <c r="CA89" s="8" t="str">
        <f>IF(OR($A89="",$C89="",$D89="",$C89&gt;CA$6,$D89&lt;CA$9),"",IF($J89="里程碑","◆",""))</f>
        <v/>
      </c>
      <c r="CB89" s="8" t="str">
        <f>IF(OR($A89="",$C89="",$D89="",$C89&gt;CB$6,$D89&lt;CB$9),"",IF($J89="里程碑","◆",""))</f>
        <v/>
      </c>
      <c r="CC89" s="8" t="str">
        <f>IF(OR($A89="",$C89="",$D89="",$C89&gt;CC$6,$D89&lt;CC$9),"",IF($J89="里程碑","◆",""))</f>
        <v/>
      </c>
      <c r="CD89" s="8" t="str">
        <f>IF(OR($A89="",$C89="",$D89="",$C89&gt;CD$6,$D89&lt;CD$9),"",IF($J89="里程碑","◆",""))</f>
        <v/>
      </c>
      <c r="CE89" s="8" t="str">
        <f>IF(OR($A89="",$C89="",$D89="",$C89&gt;CE$6,$D89&lt;CE$9),"",IF($J89="里程碑","◆",""))</f>
        <v/>
      </c>
      <c r="CF89" s="8" t="str">
        <f>IF(OR($A89="",$C89="",$D89="",$C89&gt;CF$6,$D89&lt;CF$9),"",IF($J89="里程碑","◆",""))</f>
        <v/>
      </c>
      <c r="CG89" s="8" t="str">
        <f>IF(OR($A89="",$C89="",$D89="",$C89&gt;CG$6,$D89&lt;CG$9),"",IF($J89="里程碑","◆",""))</f>
        <v/>
      </c>
      <c r="CH89" s="8" t="str">
        <f>IF(OR($A89="",$C89="",$D89="",$C89&gt;CH$6,$D89&lt;CH$9),"",IF($J89="里程碑","◆",""))</f>
        <v/>
      </c>
      <c r="CI89" s="8" t="str">
        <f>IF(OR($A89="",$C89="",$D89="",$C89&gt;CI$6,$D89&lt;CI$9),"",IF($J89="里程碑","◆",""))</f>
        <v/>
      </c>
      <c r="CJ89" s="8" t="str">
        <f>IF(OR($A89="",$C89="",$D89="",$C89&gt;CJ$6,$D89&lt;CJ$9),"",IF($J89="里程碑","◆",""))</f>
        <v/>
      </c>
      <c r="CK89" s="8" t="str">
        <f>IF(OR($A89="",$C89="",$D89="",$C89&gt;CK$6,$D89&lt;CK$9),"",IF($J89="里程碑","◆",""))</f>
        <v/>
      </c>
      <c r="CL89" s="8" t="str">
        <f>IF(OR($A89="",$C89="",$D89="",$C89&gt;CL$6,$D89&lt;CL$9),"",IF($J89="里程碑","◆",""))</f>
        <v/>
      </c>
      <c r="CM89" s="8" t="str">
        <f>IF(OR($A89="",$C89="",$D89="",$C89&gt;CM$6,$D89&lt;CM$9),"",IF($J89="里程碑","◆",""))</f>
        <v/>
      </c>
      <c r="CN89" s="8" t="str">
        <f>IF(OR($A89="",$C89="",$D89="",$C89&gt;CN$6,$D89&lt;CN$9),"",IF($J89="里程碑","◆",""))</f>
        <v/>
      </c>
      <c r="CO89" s="8" t="str">
        <f>IF(OR($A89="",$C89="",$D89="",$C89&gt;CO$6,$D89&lt;CO$9),"",IF($J89="里程碑","◆",""))</f>
        <v/>
      </c>
      <c r="CP89" s="8" t="str">
        <f>IF(OR($A89="",$C89="",$D89="",$C89&gt;CP$6,$D89&lt;CP$9),"",IF($J89="里程碑","◆",""))</f>
        <v/>
      </c>
      <c r="CQ89" s="8" t="str">
        <f>IF(OR($A89="",$C89="",$D89="",$C89&gt;CQ$6,$D89&lt;CQ$9),"",IF($J89="里程碑","◆",""))</f>
        <v/>
      </c>
      <c r="CR89" s="8" t="str">
        <f>IF(OR($A89="",$C89="",$D89="",$C89&gt;CR$6,$D89&lt;CR$9),"",IF($J89="里程碑","◆",""))</f>
        <v/>
      </c>
      <c r="CS89" s="8" t="str">
        <f>IF(OR($A89="",$C89="",$D89="",$C89&gt;CS$6,$D89&lt;CS$9),"",IF($J89="里程碑","◆",""))</f>
        <v/>
      </c>
      <c r="CT89" s="8" t="str">
        <f>IF(OR($A89="",$C89="",$D89="",$C89&gt;CT$6,$D89&lt;CT$9),"",IF($J89="里程碑","◆",""))</f>
        <v/>
      </c>
      <c r="CU89" s="8" t="str">
        <f>IF(OR($A89="",$C89="",$D89="",$C89&gt;CU$6,$D89&lt;CU$9),"",IF($J89="里程碑","◆",""))</f>
        <v/>
      </c>
      <c r="CV89" s="8" t="str">
        <f>IF(OR($A89="",$C89="",$D89="",$C89&gt;CV$6,$D89&lt;CV$9),"",IF($J89="里程碑","◆",""))</f>
        <v/>
      </c>
      <c r="CW89" s="8" t="str">
        <f>IF(OR($A89="",$C89="",$D89="",$C89&gt;CW$6,$D89&lt;CW$9),"",IF($J89="里程碑","◆",""))</f>
        <v/>
      </c>
      <c r="CX89" s="8" t="str">
        <f>IF(OR($A89="",$C89="",$D89="",$C89&gt;CX$6,$D89&lt;CX$9),"",IF($J89="里程碑","◆",""))</f>
        <v/>
      </c>
      <c r="CY89" s="8" t="str">
        <f>IF(OR($A89="",$C89="",$D89="",$C89&gt;CY$6,$D89&lt;CY$9),"",IF($J89="里程碑","◆",""))</f>
        <v/>
      </c>
      <c r="CZ89" s="8" t="str">
        <f>IF(OR($A89="",$C89="",$D89="",$C89&gt;CZ$6,$D89&lt;CZ$9),"",IF($J89="里程碑","◆",""))</f>
        <v/>
      </c>
      <c r="DA89" s="8" t="str">
        <f>IF(OR($A89="",$C89="",$D89="",$C89&gt;DA$6,$D89&lt;DA$9),"",IF($J89="里程碑","◆",""))</f>
        <v/>
      </c>
      <c r="DB89" s="8" t="str">
        <f>IF(OR($A89="",$C89="",$D89="",$C89&gt;DB$6,$D89&lt;DB$9),"",IF($J89="里程碑","◆",""))</f>
        <v/>
      </c>
      <c r="DC89" s="1" t="str">
        <f>IF(ROW()-9&gt;$DH$3,"",MATCH(ROW()-9,排期计算!$U$10:$U$109,0))</f>
        <v/>
      </c>
      <c r="DD89" s="1" t="str">
        <f>IF($DC89="","",INDEX(排期计算!$L$10:$L$109,$DC89))</f>
        <v/>
      </c>
      <c r="DE89" s="1"/>
      <c r="DF89" s="1"/>
      <c r="DG89" s="1"/>
      <c r="DH89" s="1"/>
      <c r="DI89" s="1"/>
      <c r="DJ89" s="1"/>
      <c r="DK89" s="1"/>
    </row>
    <row r="90" spans="1:115" ht="24.95" customHeight="1">
      <c r="A90" s="9" t="str">
        <f>IF($DC90="","",IF(AND(INDEX(排期计算!$A$10:$A$109,$DC90)="",NOT(ISNUMBER(INDEX(排期计算!$A$10:$A$109,$DC90)))),"",INDEX(排期计算!$A$10:$A$109,$DC90)))</f>
        <v/>
      </c>
      <c r="B90" s="1" t="str">
        <f>IF($DC90="","",REPT("　",$DD90-1)&amp;INDEX(排期计算!$B$10:$B$109,$DC90))</f>
        <v/>
      </c>
      <c r="C90" s="3" t="str">
        <f>IF($DC90="","",IF(AND(INDEX(排期计算!$M$10:$M$109,$DC90)="",NOT(ISNUMBER(INDEX(排期计算!$M$10:$M$109,$DC90)))),"",INDEX(排期计算!$M$10:$M$109,$DC90)))</f>
        <v/>
      </c>
      <c r="D90" s="3" t="str">
        <f>IF($DC90="","",IF(AND(INDEX(排期计算!$N$10:$N$109,$DC90)="",NOT(ISNUMBER(INDEX(排期计算!$N$10:$N$109,$DC90)))),"",INDEX(排期计算!$N$10:$N$109,$DC90)))</f>
        <v/>
      </c>
      <c r="E90" s="1" t="str">
        <f>IF(OR($C90="",$D90=""),"",IF($J90="里程碑",0,NETWORKDAYS($C90,$D90)))</f>
        <v/>
      </c>
      <c r="F90" s="7" t="str">
        <f>IF($DC90="","",IF(AND(INDEX(排期计算!$O$10:$O$109,$DC90)="",NOT(ISNUMBER(INDEX(排期计算!$O$10:$O$109,$DC90)))),"",INDEX(排期计算!$O$10:$O$109,$DC90)))</f>
        <v/>
      </c>
      <c r="G90" s="8" t="str">
        <f>IF($A90="","",IF(OR($C90="",$D90=""),"未排期",IF($F90&gt;=1,"已完成",IF($D90&lt;$B$4,"逾期",IF($C90&gt;$B$4,"未开始","进行中")))))</f>
        <v/>
      </c>
      <c r="H90" s="1" t="str">
        <f>IF($DC90="","",IF(AND(INDEX(排期计算!$C$10:$C$109,$DC90)="",NOT(ISNUMBER(INDEX(排期计算!$C$10:$C$109,$DC90)))),"",INDEX(排期计算!$C$10:$C$109,$DC90)))</f>
        <v/>
      </c>
      <c r="I90" s="1" t="str">
        <f>IF($DC90="","",IF(AND(INDEX(排期计算!$H$10:$H$109,$DC90)="",NOT(ISNUMBER(INDEX(排期计算!$H$10:$H$109,$DC90)))),"",INDEX(排期计算!$H$10:$H$109,$DC90)))</f>
        <v/>
      </c>
      <c r="J90" s="1" t="str">
        <f>IF($DC90="","",IF(AND(INDEX(排期计算!$K$10:$K$109,$DC90)="",NOT(ISNUMBER(INDEX(排期计算!$K$10:$K$109,$DC90)))),"",INDEX(排期计算!$K$10:$K$109,$DC90)))</f>
        <v/>
      </c>
      <c r="K90" s="8" t="str">
        <f>IF(OR($A90="",$C90="",$D90="",$C90&gt;K$6,$D90&lt;K$9),"",IF($J90="里程碑","◆",""))</f>
        <v/>
      </c>
      <c r="L90" s="8" t="str">
        <f>IF(OR($A90="",$C90="",$D90="",$C90&gt;L$6,$D90&lt;L$9),"",IF($J90="里程碑","◆",""))</f>
        <v/>
      </c>
      <c r="M90" s="8" t="str">
        <f>IF(OR($A90="",$C90="",$D90="",$C90&gt;M$6,$D90&lt;M$9),"",IF($J90="里程碑","◆",""))</f>
        <v/>
      </c>
      <c r="N90" s="8" t="str">
        <f>IF(OR($A90="",$C90="",$D90="",$C90&gt;N$6,$D90&lt;N$9),"",IF($J90="里程碑","◆",""))</f>
        <v/>
      </c>
      <c r="O90" s="8" t="str">
        <f>IF(OR($A90="",$C90="",$D90="",$C90&gt;O$6,$D90&lt;O$9),"",IF($J90="里程碑","◆",""))</f>
        <v/>
      </c>
      <c r="P90" s="8" t="str">
        <f>IF(OR($A90="",$C90="",$D90="",$C90&gt;P$6,$D90&lt;P$9),"",IF($J90="里程碑","◆",""))</f>
        <v/>
      </c>
      <c r="Q90" s="8" t="str">
        <f>IF(OR($A90="",$C90="",$D90="",$C90&gt;Q$6,$D90&lt;Q$9),"",IF($J90="里程碑","◆",""))</f>
        <v/>
      </c>
      <c r="R90" s="8" t="str">
        <f>IF(OR($A90="",$C90="",$D90="",$C90&gt;R$6,$D90&lt;R$9),"",IF($J90="里程碑","◆",""))</f>
        <v/>
      </c>
      <c r="S90" s="8" t="str">
        <f>IF(OR($A90="",$C90="",$D90="",$C90&gt;S$6,$D90&lt;S$9),"",IF($J90="里程碑","◆",""))</f>
        <v/>
      </c>
      <c r="T90" s="8" t="str">
        <f>IF(OR($A90="",$C90="",$D90="",$C90&gt;T$6,$D90&lt;T$9),"",IF($J90="里程碑","◆",""))</f>
        <v/>
      </c>
      <c r="U90" s="8" t="str">
        <f>IF(OR($A90="",$C90="",$D90="",$C90&gt;U$6,$D90&lt;U$9),"",IF($J90="里程碑","◆",""))</f>
        <v/>
      </c>
      <c r="V90" s="8" t="str">
        <f>IF(OR($A90="",$C90="",$D90="",$C90&gt;V$6,$D90&lt;V$9),"",IF($J90="里程碑","◆",""))</f>
        <v/>
      </c>
      <c r="W90" s="8" t="str">
        <f>IF(OR($A90="",$C90="",$D90="",$C90&gt;W$6,$D90&lt;W$9),"",IF($J90="里程碑","◆",""))</f>
        <v/>
      </c>
      <c r="X90" s="8" t="str">
        <f>IF(OR($A90="",$C90="",$D90="",$C90&gt;X$6,$D90&lt;X$9),"",IF($J90="里程碑","◆",""))</f>
        <v/>
      </c>
      <c r="Y90" s="8" t="str">
        <f>IF(OR($A90="",$C90="",$D90="",$C90&gt;Y$6,$D90&lt;Y$9),"",IF($J90="里程碑","◆",""))</f>
        <v/>
      </c>
      <c r="Z90" s="8" t="str">
        <f>IF(OR($A90="",$C90="",$D90="",$C90&gt;Z$6,$D90&lt;Z$9),"",IF($J90="里程碑","◆",""))</f>
        <v/>
      </c>
      <c r="AA90" s="8" t="str">
        <f>IF(OR($A90="",$C90="",$D90="",$C90&gt;AA$6,$D90&lt;AA$9),"",IF($J90="里程碑","◆",""))</f>
        <v/>
      </c>
      <c r="AB90" s="8" t="str">
        <f>IF(OR($A90="",$C90="",$D90="",$C90&gt;AB$6,$D90&lt;AB$9),"",IF($J90="里程碑","◆",""))</f>
        <v/>
      </c>
      <c r="AC90" s="8" t="str">
        <f>IF(OR($A90="",$C90="",$D90="",$C90&gt;AC$6,$D90&lt;AC$9),"",IF($J90="里程碑","◆",""))</f>
        <v/>
      </c>
      <c r="AD90" s="8" t="str">
        <f>IF(OR($A90="",$C90="",$D90="",$C90&gt;AD$6,$D90&lt;AD$9),"",IF($J90="里程碑","◆",""))</f>
        <v/>
      </c>
      <c r="AE90" s="8" t="str">
        <f>IF(OR($A90="",$C90="",$D90="",$C90&gt;AE$6,$D90&lt;AE$9),"",IF($J90="里程碑","◆",""))</f>
        <v/>
      </c>
      <c r="AF90" s="8" t="str">
        <f>IF(OR($A90="",$C90="",$D90="",$C90&gt;AF$6,$D90&lt;AF$9),"",IF($J90="里程碑","◆",""))</f>
        <v/>
      </c>
      <c r="AG90" s="8" t="str">
        <f>IF(OR($A90="",$C90="",$D90="",$C90&gt;AG$6,$D90&lt;AG$9),"",IF($J90="里程碑","◆",""))</f>
        <v/>
      </c>
      <c r="AH90" s="8" t="str">
        <f>IF(OR($A90="",$C90="",$D90="",$C90&gt;AH$6,$D90&lt;AH$9),"",IF($J90="里程碑","◆",""))</f>
        <v/>
      </c>
      <c r="AI90" s="8" t="str">
        <f>IF(OR($A90="",$C90="",$D90="",$C90&gt;AI$6,$D90&lt;AI$9),"",IF($J90="里程碑","◆",""))</f>
        <v/>
      </c>
      <c r="AJ90" s="8" t="str">
        <f>IF(OR($A90="",$C90="",$D90="",$C90&gt;AJ$6,$D90&lt;AJ$9),"",IF($J90="里程碑","◆",""))</f>
        <v/>
      </c>
      <c r="AK90" s="8" t="str">
        <f>IF(OR($A90="",$C90="",$D90="",$C90&gt;AK$6,$D90&lt;AK$9),"",IF($J90="里程碑","◆",""))</f>
        <v/>
      </c>
      <c r="AL90" s="8" t="str">
        <f>IF(OR($A90="",$C90="",$D90="",$C90&gt;AL$6,$D90&lt;AL$9),"",IF($J90="里程碑","◆",""))</f>
        <v/>
      </c>
      <c r="AM90" s="8" t="str">
        <f>IF(OR($A90="",$C90="",$D90="",$C90&gt;AM$6,$D90&lt;AM$9),"",IF($J90="里程碑","◆",""))</f>
        <v/>
      </c>
      <c r="AN90" s="8" t="str">
        <f>IF(OR($A90="",$C90="",$D90="",$C90&gt;AN$6,$D90&lt;AN$9),"",IF($J90="里程碑","◆",""))</f>
        <v/>
      </c>
      <c r="AO90" s="8" t="str">
        <f>IF(OR($A90="",$C90="",$D90="",$C90&gt;AO$6,$D90&lt;AO$9),"",IF($J90="里程碑","◆",""))</f>
        <v/>
      </c>
      <c r="AP90" s="8" t="str">
        <f>IF(OR($A90="",$C90="",$D90="",$C90&gt;AP$6,$D90&lt;AP$9),"",IF($J90="里程碑","◆",""))</f>
        <v/>
      </c>
      <c r="AQ90" s="8" t="str">
        <f>IF(OR($A90="",$C90="",$D90="",$C90&gt;AQ$6,$D90&lt;AQ$9),"",IF($J90="里程碑","◆",""))</f>
        <v/>
      </c>
      <c r="AR90" s="8" t="str">
        <f>IF(OR($A90="",$C90="",$D90="",$C90&gt;AR$6,$D90&lt;AR$9),"",IF($J90="里程碑","◆",""))</f>
        <v/>
      </c>
      <c r="AS90" s="8" t="str">
        <f>IF(OR($A90="",$C90="",$D90="",$C90&gt;AS$6,$D90&lt;AS$9),"",IF($J90="里程碑","◆",""))</f>
        <v/>
      </c>
      <c r="AT90" s="8" t="str">
        <f>IF(OR($A90="",$C90="",$D90="",$C90&gt;AT$6,$D90&lt;AT$9),"",IF($J90="里程碑","◆",""))</f>
        <v/>
      </c>
      <c r="AU90" s="8" t="str">
        <f>IF(OR($A90="",$C90="",$D90="",$C90&gt;AU$6,$D90&lt;AU$9),"",IF($J90="里程碑","◆",""))</f>
        <v/>
      </c>
      <c r="AV90" s="8" t="str">
        <f>IF(OR($A90="",$C90="",$D90="",$C90&gt;AV$6,$D90&lt;AV$9),"",IF($J90="里程碑","◆",""))</f>
        <v/>
      </c>
      <c r="AW90" s="8" t="str">
        <f>IF(OR($A90="",$C90="",$D90="",$C90&gt;AW$6,$D90&lt;AW$9),"",IF($J90="里程碑","◆",""))</f>
        <v/>
      </c>
      <c r="AX90" s="8" t="str">
        <f>IF(OR($A90="",$C90="",$D90="",$C90&gt;AX$6,$D90&lt;AX$9),"",IF($J90="里程碑","◆",""))</f>
        <v/>
      </c>
      <c r="AY90" s="8" t="str">
        <f>IF(OR($A90="",$C90="",$D90="",$C90&gt;AY$6,$D90&lt;AY$9),"",IF($J90="里程碑","◆",""))</f>
        <v/>
      </c>
      <c r="AZ90" s="8" t="str">
        <f>IF(OR($A90="",$C90="",$D90="",$C90&gt;AZ$6,$D90&lt;AZ$9),"",IF($J90="里程碑","◆",""))</f>
        <v/>
      </c>
      <c r="BA90" s="8" t="str">
        <f>IF(OR($A90="",$C90="",$D90="",$C90&gt;BA$6,$D90&lt;BA$9),"",IF($J90="里程碑","◆",""))</f>
        <v/>
      </c>
      <c r="BB90" s="8" t="str">
        <f>IF(OR($A90="",$C90="",$D90="",$C90&gt;BB$6,$D90&lt;BB$9),"",IF($J90="里程碑","◆",""))</f>
        <v/>
      </c>
      <c r="BC90" s="8" t="str">
        <f>IF(OR($A90="",$C90="",$D90="",$C90&gt;BC$6,$D90&lt;BC$9),"",IF($J90="里程碑","◆",""))</f>
        <v/>
      </c>
      <c r="BD90" s="8" t="str">
        <f>IF(OR($A90="",$C90="",$D90="",$C90&gt;BD$6,$D90&lt;BD$9),"",IF($J90="里程碑","◆",""))</f>
        <v/>
      </c>
      <c r="BE90" s="8" t="str">
        <f>IF(OR($A90="",$C90="",$D90="",$C90&gt;BE$6,$D90&lt;BE$9),"",IF($J90="里程碑","◆",""))</f>
        <v/>
      </c>
      <c r="BF90" s="8" t="str">
        <f>IF(OR($A90="",$C90="",$D90="",$C90&gt;BF$6,$D90&lt;BF$9),"",IF($J90="里程碑","◆",""))</f>
        <v/>
      </c>
      <c r="BG90" s="8" t="str">
        <f>IF(OR($A90="",$C90="",$D90="",$C90&gt;BG$6,$D90&lt;BG$9),"",IF($J90="里程碑","◆",""))</f>
        <v/>
      </c>
      <c r="BH90" s="8" t="str">
        <f>IF(OR($A90="",$C90="",$D90="",$C90&gt;BH$6,$D90&lt;BH$9),"",IF($J90="里程碑","◆",""))</f>
        <v/>
      </c>
      <c r="BI90" s="8" t="str">
        <f>IF(OR($A90="",$C90="",$D90="",$C90&gt;BI$6,$D90&lt;BI$9),"",IF($J90="里程碑","◆",""))</f>
        <v/>
      </c>
      <c r="BJ90" s="8" t="str">
        <f>IF(OR($A90="",$C90="",$D90="",$C90&gt;BJ$6,$D90&lt;BJ$9),"",IF($J90="里程碑","◆",""))</f>
        <v/>
      </c>
      <c r="BK90" s="8" t="str">
        <f>IF(OR($A90="",$C90="",$D90="",$C90&gt;BK$6,$D90&lt;BK$9),"",IF($J90="里程碑","◆",""))</f>
        <v/>
      </c>
      <c r="BL90" s="8" t="str">
        <f>IF(OR($A90="",$C90="",$D90="",$C90&gt;BL$6,$D90&lt;BL$9),"",IF($J90="里程碑","◆",""))</f>
        <v/>
      </c>
      <c r="BM90" s="8" t="str">
        <f>IF(OR($A90="",$C90="",$D90="",$C90&gt;BM$6,$D90&lt;BM$9),"",IF($J90="里程碑","◆",""))</f>
        <v/>
      </c>
      <c r="BN90" s="8" t="str">
        <f>IF(OR($A90="",$C90="",$D90="",$C90&gt;BN$6,$D90&lt;BN$9),"",IF($J90="里程碑","◆",""))</f>
        <v/>
      </c>
      <c r="BO90" s="8" t="str">
        <f>IF(OR($A90="",$C90="",$D90="",$C90&gt;BO$6,$D90&lt;BO$9),"",IF($J90="里程碑","◆",""))</f>
        <v/>
      </c>
      <c r="BP90" s="8" t="str">
        <f>IF(OR($A90="",$C90="",$D90="",$C90&gt;BP$6,$D90&lt;BP$9),"",IF($J90="里程碑","◆",""))</f>
        <v/>
      </c>
      <c r="BQ90" s="8" t="str">
        <f>IF(OR($A90="",$C90="",$D90="",$C90&gt;BQ$6,$D90&lt;BQ$9),"",IF($J90="里程碑","◆",""))</f>
        <v/>
      </c>
      <c r="BR90" s="8" t="str">
        <f>IF(OR($A90="",$C90="",$D90="",$C90&gt;BR$6,$D90&lt;BR$9),"",IF($J90="里程碑","◆",""))</f>
        <v/>
      </c>
      <c r="BS90" s="8" t="str">
        <f>IF(OR($A90="",$C90="",$D90="",$C90&gt;BS$6,$D90&lt;BS$9),"",IF($J90="里程碑","◆",""))</f>
        <v/>
      </c>
      <c r="BT90" s="8" t="str">
        <f>IF(OR($A90="",$C90="",$D90="",$C90&gt;BT$6,$D90&lt;BT$9),"",IF($J90="里程碑","◆",""))</f>
        <v/>
      </c>
      <c r="BU90" s="8" t="str">
        <f>IF(OR($A90="",$C90="",$D90="",$C90&gt;BU$6,$D90&lt;BU$9),"",IF($J90="里程碑","◆",""))</f>
        <v/>
      </c>
      <c r="BV90" s="8" t="str">
        <f>IF(OR($A90="",$C90="",$D90="",$C90&gt;BV$6,$D90&lt;BV$9),"",IF($J90="里程碑","◆",""))</f>
        <v/>
      </c>
      <c r="BW90" s="8" t="str">
        <f>IF(OR($A90="",$C90="",$D90="",$C90&gt;BW$6,$D90&lt;BW$9),"",IF($J90="里程碑","◆",""))</f>
        <v/>
      </c>
      <c r="BX90" s="8" t="str">
        <f>IF(OR($A90="",$C90="",$D90="",$C90&gt;BX$6,$D90&lt;BX$9),"",IF($J90="里程碑","◆",""))</f>
        <v/>
      </c>
      <c r="BY90" s="8" t="str">
        <f>IF(OR($A90="",$C90="",$D90="",$C90&gt;BY$6,$D90&lt;BY$9),"",IF($J90="里程碑","◆",""))</f>
        <v/>
      </c>
      <c r="BZ90" s="8" t="str">
        <f>IF(OR($A90="",$C90="",$D90="",$C90&gt;BZ$6,$D90&lt;BZ$9),"",IF($J90="里程碑","◆",""))</f>
        <v/>
      </c>
      <c r="CA90" s="8" t="str">
        <f>IF(OR($A90="",$C90="",$D90="",$C90&gt;CA$6,$D90&lt;CA$9),"",IF($J90="里程碑","◆",""))</f>
        <v/>
      </c>
      <c r="CB90" s="8" t="str">
        <f>IF(OR($A90="",$C90="",$D90="",$C90&gt;CB$6,$D90&lt;CB$9),"",IF($J90="里程碑","◆",""))</f>
        <v/>
      </c>
      <c r="CC90" s="8" t="str">
        <f>IF(OR($A90="",$C90="",$D90="",$C90&gt;CC$6,$D90&lt;CC$9),"",IF($J90="里程碑","◆",""))</f>
        <v/>
      </c>
      <c r="CD90" s="8" t="str">
        <f>IF(OR($A90="",$C90="",$D90="",$C90&gt;CD$6,$D90&lt;CD$9),"",IF($J90="里程碑","◆",""))</f>
        <v/>
      </c>
      <c r="CE90" s="8" t="str">
        <f>IF(OR($A90="",$C90="",$D90="",$C90&gt;CE$6,$D90&lt;CE$9),"",IF($J90="里程碑","◆",""))</f>
        <v/>
      </c>
      <c r="CF90" s="8" t="str">
        <f>IF(OR($A90="",$C90="",$D90="",$C90&gt;CF$6,$D90&lt;CF$9),"",IF($J90="里程碑","◆",""))</f>
        <v/>
      </c>
      <c r="CG90" s="8" t="str">
        <f>IF(OR($A90="",$C90="",$D90="",$C90&gt;CG$6,$D90&lt;CG$9),"",IF($J90="里程碑","◆",""))</f>
        <v/>
      </c>
      <c r="CH90" s="8" t="str">
        <f>IF(OR($A90="",$C90="",$D90="",$C90&gt;CH$6,$D90&lt;CH$9),"",IF($J90="里程碑","◆",""))</f>
        <v/>
      </c>
      <c r="CI90" s="8" t="str">
        <f>IF(OR($A90="",$C90="",$D90="",$C90&gt;CI$6,$D90&lt;CI$9),"",IF($J90="里程碑","◆",""))</f>
        <v/>
      </c>
      <c r="CJ90" s="8" t="str">
        <f>IF(OR($A90="",$C90="",$D90="",$C90&gt;CJ$6,$D90&lt;CJ$9),"",IF($J90="里程碑","◆",""))</f>
        <v/>
      </c>
      <c r="CK90" s="8" t="str">
        <f>IF(OR($A90="",$C90="",$D90="",$C90&gt;CK$6,$D90&lt;CK$9),"",IF($J90="里程碑","◆",""))</f>
        <v/>
      </c>
      <c r="CL90" s="8" t="str">
        <f>IF(OR($A90="",$C90="",$D90="",$C90&gt;CL$6,$D90&lt;CL$9),"",IF($J90="里程碑","◆",""))</f>
        <v/>
      </c>
      <c r="CM90" s="8" t="str">
        <f>IF(OR($A90="",$C90="",$D90="",$C90&gt;CM$6,$D90&lt;CM$9),"",IF($J90="里程碑","◆",""))</f>
        <v/>
      </c>
      <c r="CN90" s="8" t="str">
        <f>IF(OR($A90="",$C90="",$D90="",$C90&gt;CN$6,$D90&lt;CN$9),"",IF($J90="里程碑","◆",""))</f>
        <v/>
      </c>
      <c r="CO90" s="8" t="str">
        <f>IF(OR($A90="",$C90="",$D90="",$C90&gt;CO$6,$D90&lt;CO$9),"",IF($J90="里程碑","◆",""))</f>
        <v/>
      </c>
      <c r="CP90" s="8" t="str">
        <f>IF(OR($A90="",$C90="",$D90="",$C90&gt;CP$6,$D90&lt;CP$9),"",IF($J90="里程碑","◆",""))</f>
        <v/>
      </c>
      <c r="CQ90" s="8" t="str">
        <f>IF(OR($A90="",$C90="",$D90="",$C90&gt;CQ$6,$D90&lt;CQ$9),"",IF($J90="里程碑","◆",""))</f>
        <v/>
      </c>
      <c r="CR90" s="8" t="str">
        <f>IF(OR($A90="",$C90="",$D90="",$C90&gt;CR$6,$D90&lt;CR$9),"",IF($J90="里程碑","◆",""))</f>
        <v/>
      </c>
      <c r="CS90" s="8" t="str">
        <f>IF(OR($A90="",$C90="",$D90="",$C90&gt;CS$6,$D90&lt;CS$9),"",IF($J90="里程碑","◆",""))</f>
        <v/>
      </c>
      <c r="CT90" s="8" t="str">
        <f>IF(OR($A90="",$C90="",$D90="",$C90&gt;CT$6,$D90&lt;CT$9),"",IF($J90="里程碑","◆",""))</f>
        <v/>
      </c>
      <c r="CU90" s="8" t="str">
        <f>IF(OR($A90="",$C90="",$D90="",$C90&gt;CU$6,$D90&lt;CU$9),"",IF($J90="里程碑","◆",""))</f>
        <v/>
      </c>
      <c r="CV90" s="8" t="str">
        <f>IF(OR($A90="",$C90="",$D90="",$C90&gt;CV$6,$D90&lt;CV$9),"",IF($J90="里程碑","◆",""))</f>
        <v/>
      </c>
      <c r="CW90" s="8" t="str">
        <f>IF(OR($A90="",$C90="",$D90="",$C90&gt;CW$6,$D90&lt;CW$9),"",IF($J90="里程碑","◆",""))</f>
        <v/>
      </c>
      <c r="CX90" s="8" t="str">
        <f>IF(OR($A90="",$C90="",$D90="",$C90&gt;CX$6,$D90&lt;CX$9),"",IF($J90="里程碑","◆",""))</f>
        <v/>
      </c>
      <c r="CY90" s="8" t="str">
        <f>IF(OR($A90="",$C90="",$D90="",$C90&gt;CY$6,$D90&lt;CY$9),"",IF($J90="里程碑","◆",""))</f>
        <v/>
      </c>
      <c r="CZ90" s="8" t="str">
        <f>IF(OR($A90="",$C90="",$D90="",$C90&gt;CZ$6,$D90&lt;CZ$9),"",IF($J90="里程碑","◆",""))</f>
        <v/>
      </c>
      <c r="DA90" s="8" t="str">
        <f>IF(OR($A90="",$C90="",$D90="",$C90&gt;DA$6,$D90&lt;DA$9),"",IF($J90="里程碑","◆",""))</f>
        <v/>
      </c>
      <c r="DB90" s="8" t="str">
        <f>IF(OR($A90="",$C90="",$D90="",$C90&gt;DB$6,$D90&lt;DB$9),"",IF($J90="里程碑","◆",""))</f>
        <v/>
      </c>
      <c r="DC90" s="1" t="str">
        <f>IF(ROW()-9&gt;$DH$3,"",MATCH(ROW()-9,排期计算!$U$10:$U$109,0))</f>
        <v/>
      </c>
      <c r="DD90" s="1" t="str">
        <f>IF($DC90="","",INDEX(排期计算!$L$10:$L$109,$DC90))</f>
        <v/>
      </c>
      <c r="DE90" s="1"/>
      <c r="DF90" s="1"/>
      <c r="DG90" s="1"/>
      <c r="DH90" s="1"/>
      <c r="DI90" s="1"/>
      <c r="DJ90" s="1"/>
      <c r="DK90" s="1"/>
    </row>
    <row r="91" spans="1:115" ht="24.95" customHeight="1">
      <c r="A91" s="9" t="str">
        <f>IF($DC91="","",IF(AND(INDEX(排期计算!$A$10:$A$109,$DC91)="",NOT(ISNUMBER(INDEX(排期计算!$A$10:$A$109,$DC91)))),"",INDEX(排期计算!$A$10:$A$109,$DC91)))</f>
        <v/>
      </c>
      <c r="B91" s="1" t="str">
        <f>IF($DC91="","",REPT("　",$DD91-1)&amp;INDEX(排期计算!$B$10:$B$109,$DC91))</f>
        <v/>
      </c>
      <c r="C91" s="3" t="str">
        <f>IF($DC91="","",IF(AND(INDEX(排期计算!$M$10:$M$109,$DC91)="",NOT(ISNUMBER(INDEX(排期计算!$M$10:$M$109,$DC91)))),"",INDEX(排期计算!$M$10:$M$109,$DC91)))</f>
        <v/>
      </c>
      <c r="D91" s="3" t="str">
        <f>IF($DC91="","",IF(AND(INDEX(排期计算!$N$10:$N$109,$DC91)="",NOT(ISNUMBER(INDEX(排期计算!$N$10:$N$109,$DC91)))),"",INDEX(排期计算!$N$10:$N$109,$DC91)))</f>
        <v/>
      </c>
      <c r="E91" s="1" t="str">
        <f>IF(OR($C91="",$D91=""),"",IF($J91="里程碑",0,NETWORKDAYS($C91,$D91)))</f>
        <v/>
      </c>
      <c r="F91" s="7" t="str">
        <f>IF($DC91="","",IF(AND(INDEX(排期计算!$O$10:$O$109,$DC91)="",NOT(ISNUMBER(INDEX(排期计算!$O$10:$O$109,$DC91)))),"",INDEX(排期计算!$O$10:$O$109,$DC91)))</f>
        <v/>
      </c>
      <c r="G91" s="8" t="str">
        <f>IF($A91="","",IF(OR($C91="",$D91=""),"未排期",IF($F91&gt;=1,"已完成",IF($D91&lt;$B$4,"逾期",IF($C91&gt;$B$4,"未开始","进行中")))))</f>
        <v/>
      </c>
      <c r="H91" s="1" t="str">
        <f>IF($DC91="","",IF(AND(INDEX(排期计算!$C$10:$C$109,$DC91)="",NOT(ISNUMBER(INDEX(排期计算!$C$10:$C$109,$DC91)))),"",INDEX(排期计算!$C$10:$C$109,$DC91)))</f>
        <v/>
      </c>
      <c r="I91" s="1" t="str">
        <f>IF($DC91="","",IF(AND(INDEX(排期计算!$H$10:$H$109,$DC91)="",NOT(ISNUMBER(INDEX(排期计算!$H$10:$H$109,$DC91)))),"",INDEX(排期计算!$H$10:$H$109,$DC91)))</f>
        <v/>
      </c>
      <c r="J91" s="1" t="str">
        <f>IF($DC91="","",IF(AND(INDEX(排期计算!$K$10:$K$109,$DC91)="",NOT(ISNUMBER(INDEX(排期计算!$K$10:$K$109,$DC91)))),"",INDEX(排期计算!$K$10:$K$109,$DC91)))</f>
        <v/>
      </c>
      <c r="K91" s="8" t="str">
        <f>IF(OR($A91="",$C91="",$D91="",$C91&gt;K$6,$D91&lt;K$9),"",IF($J91="里程碑","◆",""))</f>
        <v/>
      </c>
      <c r="L91" s="8" t="str">
        <f>IF(OR($A91="",$C91="",$D91="",$C91&gt;L$6,$D91&lt;L$9),"",IF($J91="里程碑","◆",""))</f>
        <v/>
      </c>
      <c r="M91" s="8" t="str">
        <f>IF(OR($A91="",$C91="",$D91="",$C91&gt;M$6,$D91&lt;M$9),"",IF($J91="里程碑","◆",""))</f>
        <v/>
      </c>
      <c r="N91" s="8" t="str">
        <f>IF(OR($A91="",$C91="",$D91="",$C91&gt;N$6,$D91&lt;N$9),"",IF($J91="里程碑","◆",""))</f>
        <v/>
      </c>
      <c r="O91" s="8" t="str">
        <f>IF(OR($A91="",$C91="",$D91="",$C91&gt;O$6,$D91&lt;O$9),"",IF($J91="里程碑","◆",""))</f>
        <v/>
      </c>
      <c r="P91" s="8" t="str">
        <f>IF(OR($A91="",$C91="",$D91="",$C91&gt;P$6,$D91&lt;P$9),"",IF($J91="里程碑","◆",""))</f>
        <v/>
      </c>
      <c r="Q91" s="8" t="str">
        <f>IF(OR($A91="",$C91="",$D91="",$C91&gt;Q$6,$D91&lt;Q$9),"",IF($J91="里程碑","◆",""))</f>
        <v/>
      </c>
      <c r="R91" s="8" t="str">
        <f>IF(OR($A91="",$C91="",$D91="",$C91&gt;R$6,$D91&lt;R$9),"",IF($J91="里程碑","◆",""))</f>
        <v/>
      </c>
      <c r="S91" s="8" t="str">
        <f>IF(OR($A91="",$C91="",$D91="",$C91&gt;S$6,$D91&lt;S$9),"",IF($J91="里程碑","◆",""))</f>
        <v/>
      </c>
      <c r="T91" s="8" t="str">
        <f>IF(OR($A91="",$C91="",$D91="",$C91&gt;T$6,$D91&lt;T$9),"",IF($J91="里程碑","◆",""))</f>
        <v/>
      </c>
      <c r="U91" s="8" t="str">
        <f>IF(OR($A91="",$C91="",$D91="",$C91&gt;U$6,$D91&lt;U$9),"",IF($J91="里程碑","◆",""))</f>
        <v/>
      </c>
      <c r="V91" s="8" t="str">
        <f>IF(OR($A91="",$C91="",$D91="",$C91&gt;V$6,$D91&lt;V$9),"",IF($J91="里程碑","◆",""))</f>
        <v/>
      </c>
      <c r="W91" s="8" t="str">
        <f>IF(OR($A91="",$C91="",$D91="",$C91&gt;W$6,$D91&lt;W$9),"",IF($J91="里程碑","◆",""))</f>
        <v/>
      </c>
      <c r="X91" s="8" t="str">
        <f>IF(OR($A91="",$C91="",$D91="",$C91&gt;X$6,$D91&lt;X$9),"",IF($J91="里程碑","◆",""))</f>
        <v/>
      </c>
      <c r="Y91" s="8" t="str">
        <f>IF(OR($A91="",$C91="",$D91="",$C91&gt;Y$6,$D91&lt;Y$9),"",IF($J91="里程碑","◆",""))</f>
        <v/>
      </c>
      <c r="Z91" s="8" t="str">
        <f>IF(OR($A91="",$C91="",$D91="",$C91&gt;Z$6,$D91&lt;Z$9),"",IF($J91="里程碑","◆",""))</f>
        <v/>
      </c>
      <c r="AA91" s="8" t="str">
        <f>IF(OR($A91="",$C91="",$D91="",$C91&gt;AA$6,$D91&lt;AA$9),"",IF($J91="里程碑","◆",""))</f>
        <v/>
      </c>
      <c r="AB91" s="8" t="str">
        <f>IF(OR($A91="",$C91="",$D91="",$C91&gt;AB$6,$D91&lt;AB$9),"",IF($J91="里程碑","◆",""))</f>
        <v/>
      </c>
      <c r="AC91" s="8" t="str">
        <f>IF(OR($A91="",$C91="",$D91="",$C91&gt;AC$6,$D91&lt;AC$9),"",IF($J91="里程碑","◆",""))</f>
        <v/>
      </c>
      <c r="AD91" s="8" t="str">
        <f>IF(OR($A91="",$C91="",$D91="",$C91&gt;AD$6,$D91&lt;AD$9),"",IF($J91="里程碑","◆",""))</f>
        <v/>
      </c>
      <c r="AE91" s="8" t="str">
        <f>IF(OR($A91="",$C91="",$D91="",$C91&gt;AE$6,$D91&lt;AE$9),"",IF($J91="里程碑","◆",""))</f>
        <v/>
      </c>
      <c r="AF91" s="8" t="str">
        <f>IF(OR($A91="",$C91="",$D91="",$C91&gt;AF$6,$D91&lt;AF$9),"",IF($J91="里程碑","◆",""))</f>
        <v/>
      </c>
      <c r="AG91" s="8" t="str">
        <f>IF(OR($A91="",$C91="",$D91="",$C91&gt;AG$6,$D91&lt;AG$9),"",IF($J91="里程碑","◆",""))</f>
        <v/>
      </c>
      <c r="AH91" s="8" t="str">
        <f>IF(OR($A91="",$C91="",$D91="",$C91&gt;AH$6,$D91&lt;AH$9),"",IF($J91="里程碑","◆",""))</f>
        <v/>
      </c>
      <c r="AI91" s="8" t="str">
        <f>IF(OR($A91="",$C91="",$D91="",$C91&gt;AI$6,$D91&lt;AI$9),"",IF($J91="里程碑","◆",""))</f>
        <v/>
      </c>
      <c r="AJ91" s="8" t="str">
        <f>IF(OR($A91="",$C91="",$D91="",$C91&gt;AJ$6,$D91&lt;AJ$9),"",IF($J91="里程碑","◆",""))</f>
        <v/>
      </c>
      <c r="AK91" s="8" t="str">
        <f>IF(OR($A91="",$C91="",$D91="",$C91&gt;AK$6,$D91&lt;AK$9),"",IF($J91="里程碑","◆",""))</f>
        <v/>
      </c>
      <c r="AL91" s="8" t="str">
        <f>IF(OR($A91="",$C91="",$D91="",$C91&gt;AL$6,$D91&lt;AL$9),"",IF($J91="里程碑","◆",""))</f>
        <v/>
      </c>
      <c r="AM91" s="8" t="str">
        <f>IF(OR($A91="",$C91="",$D91="",$C91&gt;AM$6,$D91&lt;AM$9),"",IF($J91="里程碑","◆",""))</f>
        <v/>
      </c>
      <c r="AN91" s="8" t="str">
        <f>IF(OR($A91="",$C91="",$D91="",$C91&gt;AN$6,$D91&lt;AN$9),"",IF($J91="里程碑","◆",""))</f>
        <v/>
      </c>
      <c r="AO91" s="8" t="str">
        <f>IF(OR($A91="",$C91="",$D91="",$C91&gt;AO$6,$D91&lt;AO$9),"",IF($J91="里程碑","◆",""))</f>
        <v/>
      </c>
      <c r="AP91" s="8" t="str">
        <f>IF(OR($A91="",$C91="",$D91="",$C91&gt;AP$6,$D91&lt;AP$9),"",IF($J91="里程碑","◆",""))</f>
        <v/>
      </c>
      <c r="AQ91" s="8" t="str">
        <f>IF(OR($A91="",$C91="",$D91="",$C91&gt;AQ$6,$D91&lt;AQ$9),"",IF($J91="里程碑","◆",""))</f>
        <v/>
      </c>
      <c r="AR91" s="8" t="str">
        <f>IF(OR($A91="",$C91="",$D91="",$C91&gt;AR$6,$D91&lt;AR$9),"",IF($J91="里程碑","◆",""))</f>
        <v/>
      </c>
      <c r="AS91" s="8" t="str">
        <f>IF(OR($A91="",$C91="",$D91="",$C91&gt;AS$6,$D91&lt;AS$9),"",IF($J91="里程碑","◆",""))</f>
        <v/>
      </c>
      <c r="AT91" s="8" t="str">
        <f>IF(OR($A91="",$C91="",$D91="",$C91&gt;AT$6,$D91&lt;AT$9),"",IF($J91="里程碑","◆",""))</f>
        <v/>
      </c>
      <c r="AU91" s="8" t="str">
        <f>IF(OR($A91="",$C91="",$D91="",$C91&gt;AU$6,$D91&lt;AU$9),"",IF($J91="里程碑","◆",""))</f>
        <v/>
      </c>
      <c r="AV91" s="8" t="str">
        <f>IF(OR($A91="",$C91="",$D91="",$C91&gt;AV$6,$D91&lt;AV$9),"",IF($J91="里程碑","◆",""))</f>
        <v/>
      </c>
      <c r="AW91" s="8" t="str">
        <f>IF(OR($A91="",$C91="",$D91="",$C91&gt;AW$6,$D91&lt;AW$9),"",IF($J91="里程碑","◆",""))</f>
        <v/>
      </c>
      <c r="AX91" s="8" t="str">
        <f>IF(OR($A91="",$C91="",$D91="",$C91&gt;AX$6,$D91&lt;AX$9),"",IF($J91="里程碑","◆",""))</f>
        <v/>
      </c>
      <c r="AY91" s="8" t="str">
        <f>IF(OR($A91="",$C91="",$D91="",$C91&gt;AY$6,$D91&lt;AY$9),"",IF($J91="里程碑","◆",""))</f>
        <v/>
      </c>
      <c r="AZ91" s="8" t="str">
        <f>IF(OR($A91="",$C91="",$D91="",$C91&gt;AZ$6,$D91&lt;AZ$9),"",IF($J91="里程碑","◆",""))</f>
        <v/>
      </c>
      <c r="BA91" s="8" t="str">
        <f>IF(OR($A91="",$C91="",$D91="",$C91&gt;BA$6,$D91&lt;BA$9),"",IF($J91="里程碑","◆",""))</f>
        <v/>
      </c>
      <c r="BB91" s="8" t="str">
        <f>IF(OR($A91="",$C91="",$D91="",$C91&gt;BB$6,$D91&lt;BB$9),"",IF($J91="里程碑","◆",""))</f>
        <v/>
      </c>
      <c r="BC91" s="8" t="str">
        <f>IF(OR($A91="",$C91="",$D91="",$C91&gt;BC$6,$D91&lt;BC$9),"",IF($J91="里程碑","◆",""))</f>
        <v/>
      </c>
      <c r="BD91" s="8" t="str">
        <f>IF(OR($A91="",$C91="",$D91="",$C91&gt;BD$6,$D91&lt;BD$9),"",IF($J91="里程碑","◆",""))</f>
        <v/>
      </c>
      <c r="BE91" s="8" t="str">
        <f>IF(OR($A91="",$C91="",$D91="",$C91&gt;BE$6,$D91&lt;BE$9),"",IF($J91="里程碑","◆",""))</f>
        <v/>
      </c>
      <c r="BF91" s="8" t="str">
        <f>IF(OR($A91="",$C91="",$D91="",$C91&gt;BF$6,$D91&lt;BF$9),"",IF($J91="里程碑","◆",""))</f>
        <v/>
      </c>
      <c r="BG91" s="8" t="str">
        <f>IF(OR($A91="",$C91="",$D91="",$C91&gt;BG$6,$D91&lt;BG$9),"",IF($J91="里程碑","◆",""))</f>
        <v/>
      </c>
      <c r="BH91" s="8" t="str">
        <f>IF(OR($A91="",$C91="",$D91="",$C91&gt;BH$6,$D91&lt;BH$9),"",IF($J91="里程碑","◆",""))</f>
        <v/>
      </c>
      <c r="BI91" s="8" t="str">
        <f>IF(OR($A91="",$C91="",$D91="",$C91&gt;BI$6,$D91&lt;BI$9),"",IF($J91="里程碑","◆",""))</f>
        <v/>
      </c>
      <c r="BJ91" s="8" t="str">
        <f>IF(OR($A91="",$C91="",$D91="",$C91&gt;BJ$6,$D91&lt;BJ$9),"",IF($J91="里程碑","◆",""))</f>
        <v/>
      </c>
      <c r="BK91" s="8" t="str">
        <f>IF(OR($A91="",$C91="",$D91="",$C91&gt;BK$6,$D91&lt;BK$9),"",IF($J91="里程碑","◆",""))</f>
        <v/>
      </c>
      <c r="BL91" s="8" t="str">
        <f>IF(OR($A91="",$C91="",$D91="",$C91&gt;BL$6,$D91&lt;BL$9),"",IF($J91="里程碑","◆",""))</f>
        <v/>
      </c>
      <c r="BM91" s="8" t="str">
        <f>IF(OR($A91="",$C91="",$D91="",$C91&gt;BM$6,$D91&lt;BM$9),"",IF($J91="里程碑","◆",""))</f>
        <v/>
      </c>
      <c r="BN91" s="8" t="str">
        <f>IF(OR($A91="",$C91="",$D91="",$C91&gt;BN$6,$D91&lt;BN$9),"",IF($J91="里程碑","◆",""))</f>
        <v/>
      </c>
      <c r="BO91" s="8" t="str">
        <f>IF(OR($A91="",$C91="",$D91="",$C91&gt;BO$6,$D91&lt;BO$9),"",IF($J91="里程碑","◆",""))</f>
        <v/>
      </c>
      <c r="BP91" s="8" t="str">
        <f>IF(OR($A91="",$C91="",$D91="",$C91&gt;BP$6,$D91&lt;BP$9),"",IF($J91="里程碑","◆",""))</f>
        <v/>
      </c>
      <c r="BQ91" s="8" t="str">
        <f>IF(OR($A91="",$C91="",$D91="",$C91&gt;BQ$6,$D91&lt;BQ$9),"",IF($J91="里程碑","◆",""))</f>
        <v/>
      </c>
      <c r="BR91" s="8" t="str">
        <f>IF(OR($A91="",$C91="",$D91="",$C91&gt;BR$6,$D91&lt;BR$9),"",IF($J91="里程碑","◆",""))</f>
        <v/>
      </c>
      <c r="BS91" s="8" t="str">
        <f>IF(OR($A91="",$C91="",$D91="",$C91&gt;BS$6,$D91&lt;BS$9),"",IF($J91="里程碑","◆",""))</f>
        <v/>
      </c>
      <c r="BT91" s="8" t="str">
        <f>IF(OR($A91="",$C91="",$D91="",$C91&gt;BT$6,$D91&lt;BT$9),"",IF($J91="里程碑","◆",""))</f>
        <v/>
      </c>
      <c r="BU91" s="8" t="str">
        <f>IF(OR($A91="",$C91="",$D91="",$C91&gt;BU$6,$D91&lt;BU$9),"",IF($J91="里程碑","◆",""))</f>
        <v/>
      </c>
      <c r="BV91" s="8" t="str">
        <f>IF(OR($A91="",$C91="",$D91="",$C91&gt;BV$6,$D91&lt;BV$9),"",IF($J91="里程碑","◆",""))</f>
        <v/>
      </c>
      <c r="BW91" s="8" t="str">
        <f>IF(OR($A91="",$C91="",$D91="",$C91&gt;BW$6,$D91&lt;BW$9),"",IF($J91="里程碑","◆",""))</f>
        <v/>
      </c>
      <c r="BX91" s="8" t="str">
        <f>IF(OR($A91="",$C91="",$D91="",$C91&gt;BX$6,$D91&lt;BX$9),"",IF($J91="里程碑","◆",""))</f>
        <v/>
      </c>
      <c r="BY91" s="8" t="str">
        <f>IF(OR($A91="",$C91="",$D91="",$C91&gt;BY$6,$D91&lt;BY$9),"",IF($J91="里程碑","◆",""))</f>
        <v/>
      </c>
      <c r="BZ91" s="8" t="str">
        <f>IF(OR($A91="",$C91="",$D91="",$C91&gt;BZ$6,$D91&lt;BZ$9),"",IF($J91="里程碑","◆",""))</f>
        <v/>
      </c>
      <c r="CA91" s="8" t="str">
        <f>IF(OR($A91="",$C91="",$D91="",$C91&gt;CA$6,$D91&lt;CA$9),"",IF($J91="里程碑","◆",""))</f>
        <v/>
      </c>
      <c r="CB91" s="8" t="str">
        <f>IF(OR($A91="",$C91="",$D91="",$C91&gt;CB$6,$D91&lt;CB$9),"",IF($J91="里程碑","◆",""))</f>
        <v/>
      </c>
      <c r="CC91" s="8" t="str">
        <f>IF(OR($A91="",$C91="",$D91="",$C91&gt;CC$6,$D91&lt;CC$9),"",IF($J91="里程碑","◆",""))</f>
        <v/>
      </c>
      <c r="CD91" s="8" t="str">
        <f>IF(OR($A91="",$C91="",$D91="",$C91&gt;CD$6,$D91&lt;CD$9),"",IF($J91="里程碑","◆",""))</f>
        <v/>
      </c>
      <c r="CE91" s="8" t="str">
        <f>IF(OR($A91="",$C91="",$D91="",$C91&gt;CE$6,$D91&lt;CE$9),"",IF($J91="里程碑","◆",""))</f>
        <v/>
      </c>
      <c r="CF91" s="8" t="str">
        <f>IF(OR($A91="",$C91="",$D91="",$C91&gt;CF$6,$D91&lt;CF$9),"",IF($J91="里程碑","◆",""))</f>
        <v/>
      </c>
      <c r="CG91" s="8" t="str">
        <f>IF(OR($A91="",$C91="",$D91="",$C91&gt;CG$6,$D91&lt;CG$9),"",IF($J91="里程碑","◆",""))</f>
        <v/>
      </c>
      <c r="CH91" s="8" t="str">
        <f>IF(OR($A91="",$C91="",$D91="",$C91&gt;CH$6,$D91&lt;CH$9),"",IF($J91="里程碑","◆",""))</f>
        <v/>
      </c>
      <c r="CI91" s="8" t="str">
        <f>IF(OR($A91="",$C91="",$D91="",$C91&gt;CI$6,$D91&lt;CI$9),"",IF($J91="里程碑","◆",""))</f>
        <v/>
      </c>
      <c r="CJ91" s="8" t="str">
        <f>IF(OR($A91="",$C91="",$D91="",$C91&gt;CJ$6,$D91&lt;CJ$9),"",IF($J91="里程碑","◆",""))</f>
        <v/>
      </c>
      <c r="CK91" s="8" t="str">
        <f>IF(OR($A91="",$C91="",$D91="",$C91&gt;CK$6,$D91&lt;CK$9),"",IF($J91="里程碑","◆",""))</f>
        <v/>
      </c>
      <c r="CL91" s="8" t="str">
        <f>IF(OR($A91="",$C91="",$D91="",$C91&gt;CL$6,$D91&lt;CL$9),"",IF($J91="里程碑","◆",""))</f>
        <v/>
      </c>
      <c r="CM91" s="8" t="str">
        <f>IF(OR($A91="",$C91="",$D91="",$C91&gt;CM$6,$D91&lt;CM$9),"",IF($J91="里程碑","◆",""))</f>
        <v/>
      </c>
      <c r="CN91" s="8" t="str">
        <f>IF(OR($A91="",$C91="",$D91="",$C91&gt;CN$6,$D91&lt;CN$9),"",IF($J91="里程碑","◆",""))</f>
        <v/>
      </c>
      <c r="CO91" s="8" t="str">
        <f>IF(OR($A91="",$C91="",$D91="",$C91&gt;CO$6,$D91&lt;CO$9),"",IF($J91="里程碑","◆",""))</f>
        <v/>
      </c>
      <c r="CP91" s="8" t="str">
        <f>IF(OR($A91="",$C91="",$D91="",$C91&gt;CP$6,$D91&lt;CP$9),"",IF($J91="里程碑","◆",""))</f>
        <v/>
      </c>
      <c r="CQ91" s="8" t="str">
        <f>IF(OR($A91="",$C91="",$D91="",$C91&gt;CQ$6,$D91&lt;CQ$9),"",IF($J91="里程碑","◆",""))</f>
        <v/>
      </c>
      <c r="CR91" s="8" t="str">
        <f>IF(OR($A91="",$C91="",$D91="",$C91&gt;CR$6,$D91&lt;CR$9),"",IF($J91="里程碑","◆",""))</f>
        <v/>
      </c>
      <c r="CS91" s="8" t="str">
        <f>IF(OR($A91="",$C91="",$D91="",$C91&gt;CS$6,$D91&lt;CS$9),"",IF($J91="里程碑","◆",""))</f>
        <v/>
      </c>
      <c r="CT91" s="8" t="str">
        <f>IF(OR($A91="",$C91="",$D91="",$C91&gt;CT$6,$D91&lt;CT$9),"",IF($J91="里程碑","◆",""))</f>
        <v/>
      </c>
      <c r="CU91" s="8" t="str">
        <f>IF(OR($A91="",$C91="",$D91="",$C91&gt;CU$6,$D91&lt;CU$9),"",IF($J91="里程碑","◆",""))</f>
        <v/>
      </c>
      <c r="CV91" s="8" t="str">
        <f>IF(OR($A91="",$C91="",$D91="",$C91&gt;CV$6,$D91&lt;CV$9),"",IF($J91="里程碑","◆",""))</f>
        <v/>
      </c>
      <c r="CW91" s="8" t="str">
        <f>IF(OR($A91="",$C91="",$D91="",$C91&gt;CW$6,$D91&lt;CW$9),"",IF($J91="里程碑","◆",""))</f>
        <v/>
      </c>
      <c r="CX91" s="8" t="str">
        <f>IF(OR($A91="",$C91="",$D91="",$C91&gt;CX$6,$D91&lt;CX$9),"",IF($J91="里程碑","◆",""))</f>
        <v/>
      </c>
      <c r="CY91" s="8" t="str">
        <f>IF(OR($A91="",$C91="",$D91="",$C91&gt;CY$6,$D91&lt;CY$9),"",IF($J91="里程碑","◆",""))</f>
        <v/>
      </c>
      <c r="CZ91" s="8" t="str">
        <f>IF(OR($A91="",$C91="",$D91="",$C91&gt;CZ$6,$D91&lt;CZ$9),"",IF($J91="里程碑","◆",""))</f>
        <v/>
      </c>
      <c r="DA91" s="8" t="str">
        <f>IF(OR($A91="",$C91="",$D91="",$C91&gt;DA$6,$D91&lt;DA$9),"",IF($J91="里程碑","◆",""))</f>
        <v/>
      </c>
      <c r="DB91" s="8" t="str">
        <f>IF(OR($A91="",$C91="",$D91="",$C91&gt;DB$6,$D91&lt;DB$9),"",IF($J91="里程碑","◆",""))</f>
        <v/>
      </c>
      <c r="DC91" s="1" t="str">
        <f>IF(ROW()-9&gt;$DH$3,"",MATCH(ROW()-9,排期计算!$U$10:$U$109,0))</f>
        <v/>
      </c>
      <c r="DD91" s="1" t="str">
        <f>IF($DC91="","",INDEX(排期计算!$L$10:$L$109,$DC91))</f>
        <v/>
      </c>
      <c r="DE91" s="1"/>
      <c r="DF91" s="1"/>
      <c r="DG91" s="1"/>
      <c r="DH91" s="1"/>
      <c r="DI91" s="1"/>
      <c r="DJ91" s="1"/>
      <c r="DK91" s="1"/>
    </row>
    <row r="92" spans="1:115" ht="24.95" customHeight="1">
      <c r="A92" s="9" t="str">
        <f>IF($DC92="","",IF(AND(INDEX(排期计算!$A$10:$A$109,$DC92)="",NOT(ISNUMBER(INDEX(排期计算!$A$10:$A$109,$DC92)))),"",INDEX(排期计算!$A$10:$A$109,$DC92)))</f>
        <v/>
      </c>
      <c r="B92" s="1" t="str">
        <f>IF($DC92="","",REPT("　",$DD92-1)&amp;INDEX(排期计算!$B$10:$B$109,$DC92))</f>
        <v/>
      </c>
      <c r="C92" s="3" t="str">
        <f>IF($DC92="","",IF(AND(INDEX(排期计算!$M$10:$M$109,$DC92)="",NOT(ISNUMBER(INDEX(排期计算!$M$10:$M$109,$DC92)))),"",INDEX(排期计算!$M$10:$M$109,$DC92)))</f>
        <v/>
      </c>
      <c r="D92" s="3" t="str">
        <f>IF($DC92="","",IF(AND(INDEX(排期计算!$N$10:$N$109,$DC92)="",NOT(ISNUMBER(INDEX(排期计算!$N$10:$N$109,$DC92)))),"",INDEX(排期计算!$N$10:$N$109,$DC92)))</f>
        <v/>
      </c>
      <c r="E92" s="1" t="str">
        <f>IF(OR($C92="",$D92=""),"",IF($J92="里程碑",0,NETWORKDAYS($C92,$D92)))</f>
        <v/>
      </c>
      <c r="F92" s="7" t="str">
        <f>IF($DC92="","",IF(AND(INDEX(排期计算!$O$10:$O$109,$DC92)="",NOT(ISNUMBER(INDEX(排期计算!$O$10:$O$109,$DC92)))),"",INDEX(排期计算!$O$10:$O$109,$DC92)))</f>
        <v/>
      </c>
      <c r="G92" s="8" t="str">
        <f>IF($A92="","",IF(OR($C92="",$D92=""),"未排期",IF($F92&gt;=1,"已完成",IF($D92&lt;$B$4,"逾期",IF($C92&gt;$B$4,"未开始","进行中")))))</f>
        <v/>
      </c>
      <c r="H92" s="1" t="str">
        <f>IF($DC92="","",IF(AND(INDEX(排期计算!$C$10:$C$109,$DC92)="",NOT(ISNUMBER(INDEX(排期计算!$C$10:$C$109,$DC92)))),"",INDEX(排期计算!$C$10:$C$109,$DC92)))</f>
        <v/>
      </c>
      <c r="I92" s="1" t="str">
        <f>IF($DC92="","",IF(AND(INDEX(排期计算!$H$10:$H$109,$DC92)="",NOT(ISNUMBER(INDEX(排期计算!$H$10:$H$109,$DC92)))),"",INDEX(排期计算!$H$10:$H$109,$DC92)))</f>
        <v/>
      </c>
      <c r="J92" s="1" t="str">
        <f>IF($DC92="","",IF(AND(INDEX(排期计算!$K$10:$K$109,$DC92)="",NOT(ISNUMBER(INDEX(排期计算!$K$10:$K$109,$DC92)))),"",INDEX(排期计算!$K$10:$K$109,$DC92)))</f>
        <v/>
      </c>
      <c r="K92" s="8" t="str">
        <f>IF(OR($A92="",$C92="",$D92="",$C92&gt;K$6,$D92&lt;K$9),"",IF($J92="里程碑","◆",""))</f>
        <v/>
      </c>
      <c r="L92" s="8" t="str">
        <f>IF(OR($A92="",$C92="",$D92="",$C92&gt;L$6,$D92&lt;L$9),"",IF($J92="里程碑","◆",""))</f>
        <v/>
      </c>
      <c r="M92" s="8" t="str">
        <f>IF(OR($A92="",$C92="",$D92="",$C92&gt;M$6,$D92&lt;M$9),"",IF($J92="里程碑","◆",""))</f>
        <v/>
      </c>
      <c r="N92" s="8" t="str">
        <f>IF(OR($A92="",$C92="",$D92="",$C92&gt;N$6,$D92&lt;N$9),"",IF($J92="里程碑","◆",""))</f>
        <v/>
      </c>
      <c r="O92" s="8" t="str">
        <f>IF(OR($A92="",$C92="",$D92="",$C92&gt;O$6,$D92&lt;O$9),"",IF($J92="里程碑","◆",""))</f>
        <v/>
      </c>
      <c r="P92" s="8" t="str">
        <f>IF(OR($A92="",$C92="",$D92="",$C92&gt;P$6,$D92&lt;P$9),"",IF($J92="里程碑","◆",""))</f>
        <v/>
      </c>
      <c r="Q92" s="8" t="str">
        <f>IF(OR($A92="",$C92="",$D92="",$C92&gt;Q$6,$D92&lt;Q$9),"",IF($J92="里程碑","◆",""))</f>
        <v/>
      </c>
      <c r="R92" s="8" t="str">
        <f>IF(OR($A92="",$C92="",$D92="",$C92&gt;R$6,$D92&lt;R$9),"",IF($J92="里程碑","◆",""))</f>
        <v/>
      </c>
      <c r="S92" s="8" t="str">
        <f>IF(OR($A92="",$C92="",$D92="",$C92&gt;S$6,$D92&lt;S$9),"",IF($J92="里程碑","◆",""))</f>
        <v/>
      </c>
      <c r="T92" s="8" t="str">
        <f>IF(OR($A92="",$C92="",$D92="",$C92&gt;T$6,$D92&lt;T$9),"",IF($J92="里程碑","◆",""))</f>
        <v/>
      </c>
      <c r="U92" s="8" t="str">
        <f>IF(OR($A92="",$C92="",$D92="",$C92&gt;U$6,$D92&lt;U$9),"",IF($J92="里程碑","◆",""))</f>
        <v/>
      </c>
      <c r="V92" s="8" t="str">
        <f>IF(OR($A92="",$C92="",$D92="",$C92&gt;V$6,$D92&lt;V$9),"",IF($J92="里程碑","◆",""))</f>
        <v/>
      </c>
      <c r="W92" s="8" t="str">
        <f>IF(OR($A92="",$C92="",$D92="",$C92&gt;W$6,$D92&lt;W$9),"",IF($J92="里程碑","◆",""))</f>
        <v/>
      </c>
      <c r="X92" s="8" t="str">
        <f>IF(OR($A92="",$C92="",$D92="",$C92&gt;X$6,$D92&lt;X$9),"",IF($J92="里程碑","◆",""))</f>
        <v/>
      </c>
      <c r="Y92" s="8" t="str">
        <f>IF(OR($A92="",$C92="",$D92="",$C92&gt;Y$6,$D92&lt;Y$9),"",IF($J92="里程碑","◆",""))</f>
        <v/>
      </c>
      <c r="Z92" s="8" t="str">
        <f>IF(OR($A92="",$C92="",$D92="",$C92&gt;Z$6,$D92&lt;Z$9),"",IF($J92="里程碑","◆",""))</f>
        <v/>
      </c>
      <c r="AA92" s="8" t="str">
        <f>IF(OR($A92="",$C92="",$D92="",$C92&gt;AA$6,$D92&lt;AA$9),"",IF($J92="里程碑","◆",""))</f>
        <v/>
      </c>
      <c r="AB92" s="8" t="str">
        <f>IF(OR($A92="",$C92="",$D92="",$C92&gt;AB$6,$D92&lt;AB$9),"",IF($J92="里程碑","◆",""))</f>
        <v/>
      </c>
      <c r="AC92" s="8" t="str">
        <f>IF(OR($A92="",$C92="",$D92="",$C92&gt;AC$6,$D92&lt;AC$9),"",IF($J92="里程碑","◆",""))</f>
        <v/>
      </c>
      <c r="AD92" s="8" t="str">
        <f>IF(OR($A92="",$C92="",$D92="",$C92&gt;AD$6,$D92&lt;AD$9),"",IF($J92="里程碑","◆",""))</f>
        <v/>
      </c>
      <c r="AE92" s="8" t="str">
        <f>IF(OR($A92="",$C92="",$D92="",$C92&gt;AE$6,$D92&lt;AE$9),"",IF($J92="里程碑","◆",""))</f>
        <v/>
      </c>
      <c r="AF92" s="8" t="str">
        <f>IF(OR($A92="",$C92="",$D92="",$C92&gt;AF$6,$D92&lt;AF$9),"",IF($J92="里程碑","◆",""))</f>
        <v/>
      </c>
      <c r="AG92" s="8" t="str">
        <f>IF(OR($A92="",$C92="",$D92="",$C92&gt;AG$6,$D92&lt;AG$9),"",IF($J92="里程碑","◆",""))</f>
        <v/>
      </c>
      <c r="AH92" s="8" t="str">
        <f>IF(OR($A92="",$C92="",$D92="",$C92&gt;AH$6,$D92&lt;AH$9),"",IF($J92="里程碑","◆",""))</f>
        <v/>
      </c>
      <c r="AI92" s="8" t="str">
        <f>IF(OR($A92="",$C92="",$D92="",$C92&gt;AI$6,$D92&lt;AI$9),"",IF($J92="里程碑","◆",""))</f>
        <v/>
      </c>
      <c r="AJ92" s="8" t="str">
        <f>IF(OR($A92="",$C92="",$D92="",$C92&gt;AJ$6,$D92&lt;AJ$9),"",IF($J92="里程碑","◆",""))</f>
        <v/>
      </c>
      <c r="AK92" s="8" t="str">
        <f>IF(OR($A92="",$C92="",$D92="",$C92&gt;AK$6,$D92&lt;AK$9),"",IF($J92="里程碑","◆",""))</f>
        <v/>
      </c>
      <c r="AL92" s="8" t="str">
        <f>IF(OR($A92="",$C92="",$D92="",$C92&gt;AL$6,$D92&lt;AL$9),"",IF($J92="里程碑","◆",""))</f>
        <v/>
      </c>
      <c r="AM92" s="8" t="str">
        <f>IF(OR($A92="",$C92="",$D92="",$C92&gt;AM$6,$D92&lt;AM$9),"",IF($J92="里程碑","◆",""))</f>
        <v/>
      </c>
      <c r="AN92" s="8" t="str">
        <f>IF(OR($A92="",$C92="",$D92="",$C92&gt;AN$6,$D92&lt;AN$9),"",IF($J92="里程碑","◆",""))</f>
        <v/>
      </c>
      <c r="AO92" s="8" t="str">
        <f>IF(OR($A92="",$C92="",$D92="",$C92&gt;AO$6,$D92&lt;AO$9),"",IF($J92="里程碑","◆",""))</f>
        <v/>
      </c>
      <c r="AP92" s="8" t="str">
        <f>IF(OR($A92="",$C92="",$D92="",$C92&gt;AP$6,$D92&lt;AP$9),"",IF($J92="里程碑","◆",""))</f>
        <v/>
      </c>
      <c r="AQ92" s="8" t="str">
        <f>IF(OR($A92="",$C92="",$D92="",$C92&gt;AQ$6,$D92&lt;AQ$9),"",IF($J92="里程碑","◆",""))</f>
        <v/>
      </c>
      <c r="AR92" s="8" t="str">
        <f>IF(OR($A92="",$C92="",$D92="",$C92&gt;AR$6,$D92&lt;AR$9),"",IF($J92="里程碑","◆",""))</f>
        <v/>
      </c>
      <c r="AS92" s="8" t="str">
        <f>IF(OR($A92="",$C92="",$D92="",$C92&gt;AS$6,$D92&lt;AS$9),"",IF($J92="里程碑","◆",""))</f>
        <v/>
      </c>
      <c r="AT92" s="8" t="str">
        <f>IF(OR($A92="",$C92="",$D92="",$C92&gt;AT$6,$D92&lt;AT$9),"",IF($J92="里程碑","◆",""))</f>
        <v/>
      </c>
      <c r="AU92" s="8" t="str">
        <f>IF(OR($A92="",$C92="",$D92="",$C92&gt;AU$6,$D92&lt;AU$9),"",IF($J92="里程碑","◆",""))</f>
        <v/>
      </c>
      <c r="AV92" s="8" t="str">
        <f>IF(OR($A92="",$C92="",$D92="",$C92&gt;AV$6,$D92&lt;AV$9),"",IF($J92="里程碑","◆",""))</f>
        <v/>
      </c>
      <c r="AW92" s="8" t="str">
        <f>IF(OR($A92="",$C92="",$D92="",$C92&gt;AW$6,$D92&lt;AW$9),"",IF($J92="里程碑","◆",""))</f>
        <v/>
      </c>
      <c r="AX92" s="8" t="str">
        <f>IF(OR($A92="",$C92="",$D92="",$C92&gt;AX$6,$D92&lt;AX$9),"",IF($J92="里程碑","◆",""))</f>
        <v/>
      </c>
      <c r="AY92" s="8" t="str">
        <f>IF(OR($A92="",$C92="",$D92="",$C92&gt;AY$6,$D92&lt;AY$9),"",IF($J92="里程碑","◆",""))</f>
        <v/>
      </c>
      <c r="AZ92" s="8" t="str">
        <f>IF(OR($A92="",$C92="",$D92="",$C92&gt;AZ$6,$D92&lt;AZ$9),"",IF($J92="里程碑","◆",""))</f>
        <v/>
      </c>
      <c r="BA92" s="8" t="str">
        <f>IF(OR($A92="",$C92="",$D92="",$C92&gt;BA$6,$D92&lt;BA$9),"",IF($J92="里程碑","◆",""))</f>
        <v/>
      </c>
      <c r="BB92" s="8" t="str">
        <f>IF(OR($A92="",$C92="",$D92="",$C92&gt;BB$6,$D92&lt;BB$9),"",IF($J92="里程碑","◆",""))</f>
        <v/>
      </c>
      <c r="BC92" s="8" t="str">
        <f>IF(OR($A92="",$C92="",$D92="",$C92&gt;BC$6,$D92&lt;BC$9),"",IF($J92="里程碑","◆",""))</f>
        <v/>
      </c>
      <c r="BD92" s="8" t="str">
        <f>IF(OR($A92="",$C92="",$D92="",$C92&gt;BD$6,$D92&lt;BD$9),"",IF($J92="里程碑","◆",""))</f>
        <v/>
      </c>
      <c r="BE92" s="8" t="str">
        <f>IF(OR($A92="",$C92="",$D92="",$C92&gt;BE$6,$D92&lt;BE$9),"",IF($J92="里程碑","◆",""))</f>
        <v/>
      </c>
      <c r="BF92" s="8" t="str">
        <f>IF(OR($A92="",$C92="",$D92="",$C92&gt;BF$6,$D92&lt;BF$9),"",IF($J92="里程碑","◆",""))</f>
        <v/>
      </c>
      <c r="BG92" s="8" t="str">
        <f>IF(OR($A92="",$C92="",$D92="",$C92&gt;BG$6,$D92&lt;BG$9),"",IF($J92="里程碑","◆",""))</f>
        <v/>
      </c>
      <c r="BH92" s="8" t="str">
        <f>IF(OR($A92="",$C92="",$D92="",$C92&gt;BH$6,$D92&lt;BH$9),"",IF($J92="里程碑","◆",""))</f>
        <v/>
      </c>
      <c r="BI92" s="8" t="str">
        <f>IF(OR($A92="",$C92="",$D92="",$C92&gt;BI$6,$D92&lt;BI$9),"",IF($J92="里程碑","◆",""))</f>
        <v/>
      </c>
      <c r="BJ92" s="8" t="str">
        <f>IF(OR($A92="",$C92="",$D92="",$C92&gt;BJ$6,$D92&lt;BJ$9),"",IF($J92="里程碑","◆",""))</f>
        <v/>
      </c>
      <c r="BK92" s="8" t="str">
        <f>IF(OR($A92="",$C92="",$D92="",$C92&gt;BK$6,$D92&lt;BK$9),"",IF($J92="里程碑","◆",""))</f>
        <v/>
      </c>
      <c r="BL92" s="8" t="str">
        <f>IF(OR($A92="",$C92="",$D92="",$C92&gt;BL$6,$D92&lt;BL$9),"",IF($J92="里程碑","◆",""))</f>
        <v/>
      </c>
      <c r="BM92" s="8" t="str">
        <f>IF(OR($A92="",$C92="",$D92="",$C92&gt;BM$6,$D92&lt;BM$9),"",IF($J92="里程碑","◆",""))</f>
        <v/>
      </c>
      <c r="BN92" s="8" t="str">
        <f>IF(OR($A92="",$C92="",$D92="",$C92&gt;BN$6,$D92&lt;BN$9),"",IF($J92="里程碑","◆",""))</f>
        <v/>
      </c>
      <c r="BO92" s="8" t="str">
        <f>IF(OR($A92="",$C92="",$D92="",$C92&gt;BO$6,$D92&lt;BO$9),"",IF($J92="里程碑","◆",""))</f>
        <v/>
      </c>
      <c r="BP92" s="8" t="str">
        <f>IF(OR($A92="",$C92="",$D92="",$C92&gt;BP$6,$D92&lt;BP$9),"",IF($J92="里程碑","◆",""))</f>
        <v/>
      </c>
      <c r="BQ92" s="8" t="str">
        <f>IF(OR($A92="",$C92="",$D92="",$C92&gt;BQ$6,$D92&lt;BQ$9),"",IF($J92="里程碑","◆",""))</f>
        <v/>
      </c>
      <c r="BR92" s="8" t="str">
        <f>IF(OR($A92="",$C92="",$D92="",$C92&gt;BR$6,$D92&lt;BR$9),"",IF($J92="里程碑","◆",""))</f>
        <v/>
      </c>
      <c r="BS92" s="8" t="str">
        <f>IF(OR($A92="",$C92="",$D92="",$C92&gt;BS$6,$D92&lt;BS$9),"",IF($J92="里程碑","◆",""))</f>
        <v/>
      </c>
      <c r="BT92" s="8" t="str">
        <f>IF(OR($A92="",$C92="",$D92="",$C92&gt;BT$6,$D92&lt;BT$9),"",IF($J92="里程碑","◆",""))</f>
        <v/>
      </c>
      <c r="BU92" s="8" t="str">
        <f>IF(OR($A92="",$C92="",$D92="",$C92&gt;BU$6,$D92&lt;BU$9),"",IF($J92="里程碑","◆",""))</f>
        <v/>
      </c>
      <c r="BV92" s="8" t="str">
        <f>IF(OR($A92="",$C92="",$D92="",$C92&gt;BV$6,$D92&lt;BV$9),"",IF($J92="里程碑","◆",""))</f>
        <v/>
      </c>
      <c r="BW92" s="8" t="str">
        <f>IF(OR($A92="",$C92="",$D92="",$C92&gt;BW$6,$D92&lt;BW$9),"",IF($J92="里程碑","◆",""))</f>
        <v/>
      </c>
      <c r="BX92" s="8" t="str">
        <f>IF(OR($A92="",$C92="",$D92="",$C92&gt;BX$6,$D92&lt;BX$9),"",IF($J92="里程碑","◆",""))</f>
        <v/>
      </c>
      <c r="BY92" s="8" t="str">
        <f>IF(OR($A92="",$C92="",$D92="",$C92&gt;BY$6,$D92&lt;BY$9),"",IF($J92="里程碑","◆",""))</f>
        <v/>
      </c>
      <c r="BZ92" s="8" t="str">
        <f>IF(OR($A92="",$C92="",$D92="",$C92&gt;BZ$6,$D92&lt;BZ$9),"",IF($J92="里程碑","◆",""))</f>
        <v/>
      </c>
      <c r="CA92" s="8" t="str">
        <f>IF(OR($A92="",$C92="",$D92="",$C92&gt;CA$6,$D92&lt;CA$9),"",IF($J92="里程碑","◆",""))</f>
        <v/>
      </c>
      <c r="CB92" s="8" t="str">
        <f>IF(OR($A92="",$C92="",$D92="",$C92&gt;CB$6,$D92&lt;CB$9),"",IF($J92="里程碑","◆",""))</f>
        <v/>
      </c>
      <c r="CC92" s="8" t="str">
        <f>IF(OR($A92="",$C92="",$D92="",$C92&gt;CC$6,$D92&lt;CC$9),"",IF($J92="里程碑","◆",""))</f>
        <v/>
      </c>
      <c r="CD92" s="8" t="str">
        <f>IF(OR($A92="",$C92="",$D92="",$C92&gt;CD$6,$D92&lt;CD$9),"",IF($J92="里程碑","◆",""))</f>
        <v/>
      </c>
      <c r="CE92" s="8" t="str">
        <f>IF(OR($A92="",$C92="",$D92="",$C92&gt;CE$6,$D92&lt;CE$9),"",IF($J92="里程碑","◆",""))</f>
        <v/>
      </c>
      <c r="CF92" s="8" t="str">
        <f>IF(OR($A92="",$C92="",$D92="",$C92&gt;CF$6,$D92&lt;CF$9),"",IF($J92="里程碑","◆",""))</f>
        <v/>
      </c>
      <c r="CG92" s="8" t="str">
        <f>IF(OR($A92="",$C92="",$D92="",$C92&gt;CG$6,$D92&lt;CG$9),"",IF($J92="里程碑","◆",""))</f>
        <v/>
      </c>
      <c r="CH92" s="8" t="str">
        <f>IF(OR($A92="",$C92="",$D92="",$C92&gt;CH$6,$D92&lt;CH$9),"",IF($J92="里程碑","◆",""))</f>
        <v/>
      </c>
      <c r="CI92" s="8" t="str">
        <f>IF(OR($A92="",$C92="",$D92="",$C92&gt;CI$6,$D92&lt;CI$9),"",IF($J92="里程碑","◆",""))</f>
        <v/>
      </c>
      <c r="CJ92" s="8" t="str">
        <f>IF(OR($A92="",$C92="",$D92="",$C92&gt;CJ$6,$D92&lt;CJ$9),"",IF($J92="里程碑","◆",""))</f>
        <v/>
      </c>
      <c r="CK92" s="8" t="str">
        <f>IF(OR($A92="",$C92="",$D92="",$C92&gt;CK$6,$D92&lt;CK$9),"",IF($J92="里程碑","◆",""))</f>
        <v/>
      </c>
      <c r="CL92" s="8" t="str">
        <f>IF(OR($A92="",$C92="",$D92="",$C92&gt;CL$6,$D92&lt;CL$9),"",IF($J92="里程碑","◆",""))</f>
        <v/>
      </c>
      <c r="CM92" s="8" t="str">
        <f>IF(OR($A92="",$C92="",$D92="",$C92&gt;CM$6,$D92&lt;CM$9),"",IF($J92="里程碑","◆",""))</f>
        <v/>
      </c>
      <c r="CN92" s="8" t="str">
        <f>IF(OR($A92="",$C92="",$D92="",$C92&gt;CN$6,$D92&lt;CN$9),"",IF($J92="里程碑","◆",""))</f>
        <v/>
      </c>
      <c r="CO92" s="8" t="str">
        <f>IF(OR($A92="",$C92="",$D92="",$C92&gt;CO$6,$D92&lt;CO$9),"",IF($J92="里程碑","◆",""))</f>
        <v/>
      </c>
      <c r="CP92" s="8" t="str">
        <f>IF(OR($A92="",$C92="",$D92="",$C92&gt;CP$6,$D92&lt;CP$9),"",IF($J92="里程碑","◆",""))</f>
        <v/>
      </c>
      <c r="CQ92" s="8" t="str">
        <f>IF(OR($A92="",$C92="",$D92="",$C92&gt;CQ$6,$D92&lt;CQ$9),"",IF($J92="里程碑","◆",""))</f>
        <v/>
      </c>
      <c r="CR92" s="8" t="str">
        <f>IF(OR($A92="",$C92="",$D92="",$C92&gt;CR$6,$D92&lt;CR$9),"",IF($J92="里程碑","◆",""))</f>
        <v/>
      </c>
      <c r="CS92" s="8" t="str">
        <f>IF(OR($A92="",$C92="",$D92="",$C92&gt;CS$6,$D92&lt;CS$9),"",IF($J92="里程碑","◆",""))</f>
        <v/>
      </c>
      <c r="CT92" s="8" t="str">
        <f>IF(OR($A92="",$C92="",$D92="",$C92&gt;CT$6,$D92&lt;CT$9),"",IF($J92="里程碑","◆",""))</f>
        <v/>
      </c>
      <c r="CU92" s="8" t="str">
        <f>IF(OR($A92="",$C92="",$D92="",$C92&gt;CU$6,$D92&lt;CU$9),"",IF($J92="里程碑","◆",""))</f>
        <v/>
      </c>
      <c r="CV92" s="8" t="str">
        <f>IF(OR($A92="",$C92="",$D92="",$C92&gt;CV$6,$D92&lt;CV$9),"",IF($J92="里程碑","◆",""))</f>
        <v/>
      </c>
      <c r="CW92" s="8" t="str">
        <f>IF(OR($A92="",$C92="",$D92="",$C92&gt;CW$6,$D92&lt;CW$9),"",IF($J92="里程碑","◆",""))</f>
        <v/>
      </c>
      <c r="CX92" s="8" t="str">
        <f>IF(OR($A92="",$C92="",$D92="",$C92&gt;CX$6,$D92&lt;CX$9),"",IF($J92="里程碑","◆",""))</f>
        <v/>
      </c>
      <c r="CY92" s="8" t="str">
        <f>IF(OR($A92="",$C92="",$D92="",$C92&gt;CY$6,$D92&lt;CY$9),"",IF($J92="里程碑","◆",""))</f>
        <v/>
      </c>
      <c r="CZ92" s="8" t="str">
        <f>IF(OR($A92="",$C92="",$D92="",$C92&gt;CZ$6,$D92&lt;CZ$9),"",IF($J92="里程碑","◆",""))</f>
        <v/>
      </c>
      <c r="DA92" s="8" t="str">
        <f>IF(OR($A92="",$C92="",$D92="",$C92&gt;DA$6,$D92&lt;DA$9),"",IF($J92="里程碑","◆",""))</f>
        <v/>
      </c>
      <c r="DB92" s="8" t="str">
        <f>IF(OR($A92="",$C92="",$D92="",$C92&gt;DB$6,$D92&lt;DB$9),"",IF($J92="里程碑","◆",""))</f>
        <v/>
      </c>
      <c r="DC92" s="1" t="str">
        <f>IF(ROW()-9&gt;$DH$3,"",MATCH(ROW()-9,排期计算!$U$10:$U$109,0))</f>
        <v/>
      </c>
      <c r="DD92" s="1" t="str">
        <f>IF($DC92="","",INDEX(排期计算!$L$10:$L$109,$DC92))</f>
        <v/>
      </c>
      <c r="DE92" s="1"/>
      <c r="DF92" s="1"/>
      <c r="DG92" s="1"/>
      <c r="DH92" s="1"/>
      <c r="DI92" s="1"/>
      <c r="DJ92" s="1"/>
      <c r="DK92" s="1"/>
    </row>
    <row r="93" spans="1:115" ht="24.95" customHeight="1">
      <c r="A93" s="9" t="str">
        <f>IF($DC93="","",IF(AND(INDEX(排期计算!$A$10:$A$109,$DC93)="",NOT(ISNUMBER(INDEX(排期计算!$A$10:$A$109,$DC93)))),"",INDEX(排期计算!$A$10:$A$109,$DC93)))</f>
        <v/>
      </c>
      <c r="B93" s="1" t="str">
        <f>IF($DC93="","",REPT("　",$DD93-1)&amp;INDEX(排期计算!$B$10:$B$109,$DC93))</f>
        <v/>
      </c>
      <c r="C93" s="3" t="str">
        <f>IF($DC93="","",IF(AND(INDEX(排期计算!$M$10:$M$109,$DC93)="",NOT(ISNUMBER(INDEX(排期计算!$M$10:$M$109,$DC93)))),"",INDEX(排期计算!$M$10:$M$109,$DC93)))</f>
        <v/>
      </c>
      <c r="D93" s="3" t="str">
        <f>IF($DC93="","",IF(AND(INDEX(排期计算!$N$10:$N$109,$DC93)="",NOT(ISNUMBER(INDEX(排期计算!$N$10:$N$109,$DC93)))),"",INDEX(排期计算!$N$10:$N$109,$DC93)))</f>
        <v/>
      </c>
      <c r="E93" s="1" t="str">
        <f>IF(OR($C93="",$D93=""),"",IF($J93="里程碑",0,NETWORKDAYS($C93,$D93)))</f>
        <v/>
      </c>
      <c r="F93" s="7" t="str">
        <f>IF($DC93="","",IF(AND(INDEX(排期计算!$O$10:$O$109,$DC93)="",NOT(ISNUMBER(INDEX(排期计算!$O$10:$O$109,$DC93)))),"",INDEX(排期计算!$O$10:$O$109,$DC93)))</f>
        <v/>
      </c>
      <c r="G93" s="8" t="str">
        <f>IF($A93="","",IF(OR($C93="",$D93=""),"未排期",IF($F93&gt;=1,"已完成",IF($D93&lt;$B$4,"逾期",IF($C93&gt;$B$4,"未开始","进行中")))))</f>
        <v/>
      </c>
      <c r="H93" s="1" t="str">
        <f>IF($DC93="","",IF(AND(INDEX(排期计算!$C$10:$C$109,$DC93)="",NOT(ISNUMBER(INDEX(排期计算!$C$10:$C$109,$DC93)))),"",INDEX(排期计算!$C$10:$C$109,$DC93)))</f>
        <v/>
      </c>
      <c r="I93" s="1" t="str">
        <f>IF($DC93="","",IF(AND(INDEX(排期计算!$H$10:$H$109,$DC93)="",NOT(ISNUMBER(INDEX(排期计算!$H$10:$H$109,$DC93)))),"",INDEX(排期计算!$H$10:$H$109,$DC93)))</f>
        <v/>
      </c>
      <c r="J93" s="1" t="str">
        <f>IF($DC93="","",IF(AND(INDEX(排期计算!$K$10:$K$109,$DC93)="",NOT(ISNUMBER(INDEX(排期计算!$K$10:$K$109,$DC93)))),"",INDEX(排期计算!$K$10:$K$109,$DC93)))</f>
        <v/>
      </c>
      <c r="K93" s="8" t="str">
        <f>IF(OR($A93="",$C93="",$D93="",$C93&gt;K$6,$D93&lt;K$9),"",IF($J93="里程碑","◆",""))</f>
        <v/>
      </c>
      <c r="L93" s="8" t="str">
        <f>IF(OR($A93="",$C93="",$D93="",$C93&gt;L$6,$D93&lt;L$9),"",IF($J93="里程碑","◆",""))</f>
        <v/>
      </c>
      <c r="M93" s="8" t="str">
        <f>IF(OR($A93="",$C93="",$D93="",$C93&gt;M$6,$D93&lt;M$9),"",IF($J93="里程碑","◆",""))</f>
        <v/>
      </c>
      <c r="N93" s="8" t="str">
        <f>IF(OR($A93="",$C93="",$D93="",$C93&gt;N$6,$D93&lt;N$9),"",IF($J93="里程碑","◆",""))</f>
        <v/>
      </c>
      <c r="O93" s="8" t="str">
        <f>IF(OR($A93="",$C93="",$D93="",$C93&gt;O$6,$D93&lt;O$9),"",IF($J93="里程碑","◆",""))</f>
        <v/>
      </c>
      <c r="P93" s="8" t="str">
        <f>IF(OR($A93="",$C93="",$D93="",$C93&gt;P$6,$D93&lt;P$9),"",IF($J93="里程碑","◆",""))</f>
        <v/>
      </c>
      <c r="Q93" s="8" t="str">
        <f>IF(OR($A93="",$C93="",$D93="",$C93&gt;Q$6,$D93&lt;Q$9),"",IF($J93="里程碑","◆",""))</f>
        <v/>
      </c>
      <c r="R93" s="8" t="str">
        <f>IF(OR($A93="",$C93="",$D93="",$C93&gt;R$6,$D93&lt;R$9),"",IF($J93="里程碑","◆",""))</f>
        <v/>
      </c>
      <c r="S93" s="8" t="str">
        <f>IF(OR($A93="",$C93="",$D93="",$C93&gt;S$6,$D93&lt;S$9),"",IF($J93="里程碑","◆",""))</f>
        <v/>
      </c>
      <c r="T93" s="8" t="str">
        <f>IF(OR($A93="",$C93="",$D93="",$C93&gt;T$6,$D93&lt;T$9),"",IF($J93="里程碑","◆",""))</f>
        <v/>
      </c>
      <c r="U93" s="8" t="str">
        <f>IF(OR($A93="",$C93="",$D93="",$C93&gt;U$6,$D93&lt;U$9),"",IF($J93="里程碑","◆",""))</f>
        <v/>
      </c>
      <c r="V93" s="8" t="str">
        <f>IF(OR($A93="",$C93="",$D93="",$C93&gt;V$6,$D93&lt;V$9),"",IF($J93="里程碑","◆",""))</f>
        <v/>
      </c>
      <c r="W93" s="8" t="str">
        <f>IF(OR($A93="",$C93="",$D93="",$C93&gt;W$6,$D93&lt;W$9),"",IF($J93="里程碑","◆",""))</f>
        <v/>
      </c>
      <c r="X93" s="8" t="str">
        <f>IF(OR($A93="",$C93="",$D93="",$C93&gt;X$6,$D93&lt;X$9),"",IF($J93="里程碑","◆",""))</f>
        <v/>
      </c>
      <c r="Y93" s="8" t="str">
        <f>IF(OR($A93="",$C93="",$D93="",$C93&gt;Y$6,$D93&lt;Y$9),"",IF($J93="里程碑","◆",""))</f>
        <v/>
      </c>
      <c r="Z93" s="8" t="str">
        <f>IF(OR($A93="",$C93="",$D93="",$C93&gt;Z$6,$D93&lt;Z$9),"",IF($J93="里程碑","◆",""))</f>
        <v/>
      </c>
      <c r="AA93" s="8" t="str">
        <f>IF(OR($A93="",$C93="",$D93="",$C93&gt;AA$6,$D93&lt;AA$9),"",IF($J93="里程碑","◆",""))</f>
        <v/>
      </c>
      <c r="AB93" s="8" t="str">
        <f>IF(OR($A93="",$C93="",$D93="",$C93&gt;AB$6,$D93&lt;AB$9),"",IF($J93="里程碑","◆",""))</f>
        <v/>
      </c>
      <c r="AC93" s="8" t="str">
        <f>IF(OR($A93="",$C93="",$D93="",$C93&gt;AC$6,$D93&lt;AC$9),"",IF($J93="里程碑","◆",""))</f>
        <v/>
      </c>
      <c r="AD93" s="8" t="str">
        <f>IF(OR($A93="",$C93="",$D93="",$C93&gt;AD$6,$D93&lt;AD$9),"",IF($J93="里程碑","◆",""))</f>
        <v/>
      </c>
      <c r="AE93" s="8" t="str">
        <f>IF(OR($A93="",$C93="",$D93="",$C93&gt;AE$6,$D93&lt;AE$9),"",IF($J93="里程碑","◆",""))</f>
        <v/>
      </c>
      <c r="AF93" s="8" t="str">
        <f>IF(OR($A93="",$C93="",$D93="",$C93&gt;AF$6,$D93&lt;AF$9),"",IF($J93="里程碑","◆",""))</f>
        <v/>
      </c>
      <c r="AG93" s="8" t="str">
        <f>IF(OR($A93="",$C93="",$D93="",$C93&gt;AG$6,$D93&lt;AG$9),"",IF($J93="里程碑","◆",""))</f>
        <v/>
      </c>
      <c r="AH93" s="8" t="str">
        <f>IF(OR($A93="",$C93="",$D93="",$C93&gt;AH$6,$D93&lt;AH$9),"",IF($J93="里程碑","◆",""))</f>
        <v/>
      </c>
      <c r="AI93" s="8" t="str">
        <f>IF(OR($A93="",$C93="",$D93="",$C93&gt;AI$6,$D93&lt;AI$9),"",IF($J93="里程碑","◆",""))</f>
        <v/>
      </c>
      <c r="AJ93" s="8" t="str">
        <f>IF(OR($A93="",$C93="",$D93="",$C93&gt;AJ$6,$D93&lt;AJ$9),"",IF($J93="里程碑","◆",""))</f>
        <v/>
      </c>
      <c r="AK93" s="8" t="str">
        <f>IF(OR($A93="",$C93="",$D93="",$C93&gt;AK$6,$D93&lt;AK$9),"",IF($J93="里程碑","◆",""))</f>
        <v/>
      </c>
      <c r="AL93" s="8" t="str">
        <f>IF(OR($A93="",$C93="",$D93="",$C93&gt;AL$6,$D93&lt;AL$9),"",IF($J93="里程碑","◆",""))</f>
        <v/>
      </c>
      <c r="AM93" s="8" t="str">
        <f>IF(OR($A93="",$C93="",$D93="",$C93&gt;AM$6,$D93&lt;AM$9),"",IF($J93="里程碑","◆",""))</f>
        <v/>
      </c>
      <c r="AN93" s="8" t="str">
        <f>IF(OR($A93="",$C93="",$D93="",$C93&gt;AN$6,$D93&lt;AN$9),"",IF($J93="里程碑","◆",""))</f>
        <v/>
      </c>
      <c r="AO93" s="8" t="str">
        <f>IF(OR($A93="",$C93="",$D93="",$C93&gt;AO$6,$D93&lt;AO$9),"",IF($J93="里程碑","◆",""))</f>
        <v/>
      </c>
      <c r="AP93" s="8" t="str">
        <f>IF(OR($A93="",$C93="",$D93="",$C93&gt;AP$6,$D93&lt;AP$9),"",IF($J93="里程碑","◆",""))</f>
        <v/>
      </c>
      <c r="AQ93" s="8" t="str">
        <f>IF(OR($A93="",$C93="",$D93="",$C93&gt;AQ$6,$D93&lt;AQ$9),"",IF($J93="里程碑","◆",""))</f>
        <v/>
      </c>
      <c r="AR93" s="8" t="str">
        <f>IF(OR($A93="",$C93="",$D93="",$C93&gt;AR$6,$D93&lt;AR$9),"",IF($J93="里程碑","◆",""))</f>
        <v/>
      </c>
      <c r="AS93" s="8" t="str">
        <f>IF(OR($A93="",$C93="",$D93="",$C93&gt;AS$6,$D93&lt;AS$9),"",IF($J93="里程碑","◆",""))</f>
        <v/>
      </c>
      <c r="AT93" s="8" t="str">
        <f>IF(OR($A93="",$C93="",$D93="",$C93&gt;AT$6,$D93&lt;AT$9),"",IF($J93="里程碑","◆",""))</f>
        <v/>
      </c>
      <c r="AU93" s="8" t="str">
        <f>IF(OR($A93="",$C93="",$D93="",$C93&gt;AU$6,$D93&lt;AU$9),"",IF($J93="里程碑","◆",""))</f>
        <v/>
      </c>
      <c r="AV93" s="8" t="str">
        <f>IF(OR($A93="",$C93="",$D93="",$C93&gt;AV$6,$D93&lt;AV$9),"",IF($J93="里程碑","◆",""))</f>
        <v/>
      </c>
      <c r="AW93" s="8" t="str">
        <f>IF(OR($A93="",$C93="",$D93="",$C93&gt;AW$6,$D93&lt;AW$9),"",IF($J93="里程碑","◆",""))</f>
        <v/>
      </c>
      <c r="AX93" s="8" t="str">
        <f>IF(OR($A93="",$C93="",$D93="",$C93&gt;AX$6,$D93&lt;AX$9),"",IF($J93="里程碑","◆",""))</f>
        <v/>
      </c>
      <c r="AY93" s="8" t="str">
        <f>IF(OR($A93="",$C93="",$D93="",$C93&gt;AY$6,$D93&lt;AY$9),"",IF($J93="里程碑","◆",""))</f>
        <v/>
      </c>
      <c r="AZ93" s="8" t="str">
        <f>IF(OR($A93="",$C93="",$D93="",$C93&gt;AZ$6,$D93&lt;AZ$9),"",IF($J93="里程碑","◆",""))</f>
        <v/>
      </c>
      <c r="BA93" s="8" t="str">
        <f>IF(OR($A93="",$C93="",$D93="",$C93&gt;BA$6,$D93&lt;BA$9),"",IF($J93="里程碑","◆",""))</f>
        <v/>
      </c>
      <c r="BB93" s="8" t="str">
        <f>IF(OR($A93="",$C93="",$D93="",$C93&gt;BB$6,$D93&lt;BB$9),"",IF($J93="里程碑","◆",""))</f>
        <v/>
      </c>
      <c r="BC93" s="8" t="str">
        <f>IF(OR($A93="",$C93="",$D93="",$C93&gt;BC$6,$D93&lt;BC$9),"",IF($J93="里程碑","◆",""))</f>
        <v/>
      </c>
      <c r="BD93" s="8" t="str">
        <f>IF(OR($A93="",$C93="",$D93="",$C93&gt;BD$6,$D93&lt;BD$9),"",IF($J93="里程碑","◆",""))</f>
        <v/>
      </c>
      <c r="BE93" s="8" t="str">
        <f>IF(OR($A93="",$C93="",$D93="",$C93&gt;BE$6,$D93&lt;BE$9),"",IF($J93="里程碑","◆",""))</f>
        <v/>
      </c>
      <c r="BF93" s="8" t="str">
        <f>IF(OR($A93="",$C93="",$D93="",$C93&gt;BF$6,$D93&lt;BF$9),"",IF($J93="里程碑","◆",""))</f>
        <v/>
      </c>
      <c r="BG93" s="8" t="str">
        <f>IF(OR($A93="",$C93="",$D93="",$C93&gt;BG$6,$D93&lt;BG$9),"",IF($J93="里程碑","◆",""))</f>
        <v/>
      </c>
      <c r="BH93" s="8" t="str">
        <f>IF(OR($A93="",$C93="",$D93="",$C93&gt;BH$6,$D93&lt;BH$9),"",IF($J93="里程碑","◆",""))</f>
        <v/>
      </c>
      <c r="BI93" s="8" t="str">
        <f>IF(OR($A93="",$C93="",$D93="",$C93&gt;BI$6,$D93&lt;BI$9),"",IF($J93="里程碑","◆",""))</f>
        <v/>
      </c>
      <c r="BJ93" s="8" t="str">
        <f>IF(OR($A93="",$C93="",$D93="",$C93&gt;BJ$6,$D93&lt;BJ$9),"",IF($J93="里程碑","◆",""))</f>
        <v/>
      </c>
      <c r="BK93" s="8" t="str">
        <f>IF(OR($A93="",$C93="",$D93="",$C93&gt;BK$6,$D93&lt;BK$9),"",IF($J93="里程碑","◆",""))</f>
        <v/>
      </c>
      <c r="BL93" s="8" t="str">
        <f>IF(OR($A93="",$C93="",$D93="",$C93&gt;BL$6,$D93&lt;BL$9),"",IF($J93="里程碑","◆",""))</f>
        <v/>
      </c>
      <c r="BM93" s="8" t="str">
        <f>IF(OR($A93="",$C93="",$D93="",$C93&gt;BM$6,$D93&lt;BM$9),"",IF($J93="里程碑","◆",""))</f>
        <v/>
      </c>
      <c r="BN93" s="8" t="str">
        <f>IF(OR($A93="",$C93="",$D93="",$C93&gt;BN$6,$D93&lt;BN$9),"",IF($J93="里程碑","◆",""))</f>
        <v/>
      </c>
      <c r="BO93" s="8" t="str">
        <f>IF(OR($A93="",$C93="",$D93="",$C93&gt;BO$6,$D93&lt;BO$9),"",IF($J93="里程碑","◆",""))</f>
        <v/>
      </c>
      <c r="BP93" s="8" t="str">
        <f>IF(OR($A93="",$C93="",$D93="",$C93&gt;BP$6,$D93&lt;BP$9),"",IF($J93="里程碑","◆",""))</f>
        <v/>
      </c>
      <c r="BQ93" s="8" t="str">
        <f>IF(OR($A93="",$C93="",$D93="",$C93&gt;BQ$6,$D93&lt;BQ$9),"",IF($J93="里程碑","◆",""))</f>
        <v/>
      </c>
      <c r="BR93" s="8" t="str">
        <f>IF(OR($A93="",$C93="",$D93="",$C93&gt;BR$6,$D93&lt;BR$9),"",IF($J93="里程碑","◆",""))</f>
        <v/>
      </c>
      <c r="BS93" s="8" t="str">
        <f>IF(OR($A93="",$C93="",$D93="",$C93&gt;BS$6,$D93&lt;BS$9),"",IF($J93="里程碑","◆",""))</f>
        <v/>
      </c>
      <c r="BT93" s="8" t="str">
        <f>IF(OR($A93="",$C93="",$D93="",$C93&gt;BT$6,$D93&lt;BT$9),"",IF($J93="里程碑","◆",""))</f>
        <v/>
      </c>
      <c r="BU93" s="8" t="str">
        <f>IF(OR($A93="",$C93="",$D93="",$C93&gt;BU$6,$D93&lt;BU$9),"",IF($J93="里程碑","◆",""))</f>
        <v/>
      </c>
      <c r="BV93" s="8" t="str">
        <f>IF(OR($A93="",$C93="",$D93="",$C93&gt;BV$6,$D93&lt;BV$9),"",IF($J93="里程碑","◆",""))</f>
        <v/>
      </c>
      <c r="BW93" s="8" t="str">
        <f>IF(OR($A93="",$C93="",$D93="",$C93&gt;BW$6,$D93&lt;BW$9),"",IF($J93="里程碑","◆",""))</f>
        <v/>
      </c>
      <c r="BX93" s="8" t="str">
        <f>IF(OR($A93="",$C93="",$D93="",$C93&gt;BX$6,$D93&lt;BX$9),"",IF($J93="里程碑","◆",""))</f>
        <v/>
      </c>
      <c r="BY93" s="8" t="str">
        <f>IF(OR($A93="",$C93="",$D93="",$C93&gt;BY$6,$D93&lt;BY$9),"",IF($J93="里程碑","◆",""))</f>
        <v/>
      </c>
      <c r="BZ93" s="8" t="str">
        <f>IF(OR($A93="",$C93="",$D93="",$C93&gt;BZ$6,$D93&lt;BZ$9),"",IF($J93="里程碑","◆",""))</f>
        <v/>
      </c>
      <c r="CA93" s="8" t="str">
        <f>IF(OR($A93="",$C93="",$D93="",$C93&gt;CA$6,$D93&lt;CA$9),"",IF($J93="里程碑","◆",""))</f>
        <v/>
      </c>
      <c r="CB93" s="8" t="str">
        <f>IF(OR($A93="",$C93="",$D93="",$C93&gt;CB$6,$D93&lt;CB$9),"",IF($J93="里程碑","◆",""))</f>
        <v/>
      </c>
      <c r="CC93" s="8" t="str">
        <f>IF(OR($A93="",$C93="",$D93="",$C93&gt;CC$6,$D93&lt;CC$9),"",IF($J93="里程碑","◆",""))</f>
        <v/>
      </c>
      <c r="CD93" s="8" t="str">
        <f>IF(OR($A93="",$C93="",$D93="",$C93&gt;CD$6,$D93&lt;CD$9),"",IF($J93="里程碑","◆",""))</f>
        <v/>
      </c>
      <c r="CE93" s="8" t="str">
        <f>IF(OR($A93="",$C93="",$D93="",$C93&gt;CE$6,$D93&lt;CE$9),"",IF($J93="里程碑","◆",""))</f>
        <v/>
      </c>
      <c r="CF93" s="8" t="str">
        <f>IF(OR($A93="",$C93="",$D93="",$C93&gt;CF$6,$D93&lt;CF$9),"",IF($J93="里程碑","◆",""))</f>
        <v/>
      </c>
      <c r="CG93" s="8" t="str">
        <f>IF(OR($A93="",$C93="",$D93="",$C93&gt;CG$6,$D93&lt;CG$9),"",IF($J93="里程碑","◆",""))</f>
        <v/>
      </c>
      <c r="CH93" s="8" t="str">
        <f>IF(OR($A93="",$C93="",$D93="",$C93&gt;CH$6,$D93&lt;CH$9),"",IF($J93="里程碑","◆",""))</f>
        <v/>
      </c>
      <c r="CI93" s="8" t="str">
        <f>IF(OR($A93="",$C93="",$D93="",$C93&gt;CI$6,$D93&lt;CI$9),"",IF($J93="里程碑","◆",""))</f>
        <v/>
      </c>
      <c r="CJ93" s="8" t="str">
        <f>IF(OR($A93="",$C93="",$D93="",$C93&gt;CJ$6,$D93&lt;CJ$9),"",IF($J93="里程碑","◆",""))</f>
        <v/>
      </c>
      <c r="CK93" s="8" t="str">
        <f>IF(OR($A93="",$C93="",$D93="",$C93&gt;CK$6,$D93&lt;CK$9),"",IF($J93="里程碑","◆",""))</f>
        <v/>
      </c>
      <c r="CL93" s="8" t="str">
        <f>IF(OR($A93="",$C93="",$D93="",$C93&gt;CL$6,$D93&lt;CL$9),"",IF($J93="里程碑","◆",""))</f>
        <v/>
      </c>
      <c r="CM93" s="8" t="str">
        <f>IF(OR($A93="",$C93="",$D93="",$C93&gt;CM$6,$D93&lt;CM$9),"",IF($J93="里程碑","◆",""))</f>
        <v/>
      </c>
      <c r="CN93" s="8" t="str">
        <f>IF(OR($A93="",$C93="",$D93="",$C93&gt;CN$6,$D93&lt;CN$9),"",IF($J93="里程碑","◆",""))</f>
        <v/>
      </c>
      <c r="CO93" s="8" t="str">
        <f>IF(OR($A93="",$C93="",$D93="",$C93&gt;CO$6,$D93&lt;CO$9),"",IF($J93="里程碑","◆",""))</f>
        <v/>
      </c>
      <c r="CP93" s="8" t="str">
        <f>IF(OR($A93="",$C93="",$D93="",$C93&gt;CP$6,$D93&lt;CP$9),"",IF($J93="里程碑","◆",""))</f>
        <v/>
      </c>
      <c r="CQ93" s="8" t="str">
        <f>IF(OR($A93="",$C93="",$D93="",$C93&gt;CQ$6,$D93&lt;CQ$9),"",IF($J93="里程碑","◆",""))</f>
        <v/>
      </c>
      <c r="CR93" s="8" t="str">
        <f>IF(OR($A93="",$C93="",$D93="",$C93&gt;CR$6,$D93&lt;CR$9),"",IF($J93="里程碑","◆",""))</f>
        <v/>
      </c>
      <c r="CS93" s="8" t="str">
        <f>IF(OR($A93="",$C93="",$D93="",$C93&gt;CS$6,$D93&lt;CS$9),"",IF($J93="里程碑","◆",""))</f>
        <v/>
      </c>
      <c r="CT93" s="8" t="str">
        <f>IF(OR($A93="",$C93="",$D93="",$C93&gt;CT$6,$D93&lt;CT$9),"",IF($J93="里程碑","◆",""))</f>
        <v/>
      </c>
      <c r="CU93" s="8" t="str">
        <f>IF(OR($A93="",$C93="",$D93="",$C93&gt;CU$6,$D93&lt;CU$9),"",IF($J93="里程碑","◆",""))</f>
        <v/>
      </c>
      <c r="CV93" s="8" t="str">
        <f>IF(OR($A93="",$C93="",$D93="",$C93&gt;CV$6,$D93&lt;CV$9),"",IF($J93="里程碑","◆",""))</f>
        <v/>
      </c>
      <c r="CW93" s="8" t="str">
        <f>IF(OR($A93="",$C93="",$D93="",$C93&gt;CW$6,$D93&lt;CW$9),"",IF($J93="里程碑","◆",""))</f>
        <v/>
      </c>
      <c r="CX93" s="8" t="str">
        <f>IF(OR($A93="",$C93="",$D93="",$C93&gt;CX$6,$D93&lt;CX$9),"",IF($J93="里程碑","◆",""))</f>
        <v/>
      </c>
      <c r="CY93" s="8" t="str">
        <f>IF(OR($A93="",$C93="",$D93="",$C93&gt;CY$6,$D93&lt;CY$9),"",IF($J93="里程碑","◆",""))</f>
        <v/>
      </c>
      <c r="CZ93" s="8" t="str">
        <f>IF(OR($A93="",$C93="",$D93="",$C93&gt;CZ$6,$D93&lt;CZ$9),"",IF($J93="里程碑","◆",""))</f>
        <v/>
      </c>
      <c r="DA93" s="8" t="str">
        <f>IF(OR($A93="",$C93="",$D93="",$C93&gt;DA$6,$D93&lt;DA$9),"",IF($J93="里程碑","◆",""))</f>
        <v/>
      </c>
      <c r="DB93" s="8" t="str">
        <f>IF(OR($A93="",$C93="",$D93="",$C93&gt;DB$6,$D93&lt;DB$9),"",IF($J93="里程碑","◆",""))</f>
        <v/>
      </c>
      <c r="DC93" s="1" t="str">
        <f>IF(ROW()-9&gt;$DH$3,"",MATCH(ROW()-9,排期计算!$U$10:$U$109,0))</f>
        <v/>
      </c>
      <c r="DD93" s="1" t="str">
        <f>IF($DC93="","",INDEX(排期计算!$L$10:$L$109,$DC93))</f>
        <v/>
      </c>
      <c r="DE93" s="1"/>
      <c r="DF93" s="1"/>
      <c r="DG93" s="1"/>
      <c r="DH93" s="1"/>
      <c r="DI93" s="1"/>
      <c r="DJ93" s="1"/>
      <c r="DK93" s="1"/>
    </row>
    <row r="94" spans="1:115" ht="24.95" customHeight="1">
      <c r="A94" s="9" t="str">
        <f>IF($DC94="","",IF(AND(INDEX(排期计算!$A$10:$A$109,$DC94)="",NOT(ISNUMBER(INDEX(排期计算!$A$10:$A$109,$DC94)))),"",INDEX(排期计算!$A$10:$A$109,$DC94)))</f>
        <v/>
      </c>
      <c r="B94" s="1" t="str">
        <f>IF($DC94="","",REPT("　",$DD94-1)&amp;INDEX(排期计算!$B$10:$B$109,$DC94))</f>
        <v/>
      </c>
      <c r="C94" s="3" t="str">
        <f>IF($DC94="","",IF(AND(INDEX(排期计算!$M$10:$M$109,$DC94)="",NOT(ISNUMBER(INDEX(排期计算!$M$10:$M$109,$DC94)))),"",INDEX(排期计算!$M$10:$M$109,$DC94)))</f>
        <v/>
      </c>
      <c r="D94" s="3" t="str">
        <f>IF($DC94="","",IF(AND(INDEX(排期计算!$N$10:$N$109,$DC94)="",NOT(ISNUMBER(INDEX(排期计算!$N$10:$N$109,$DC94)))),"",INDEX(排期计算!$N$10:$N$109,$DC94)))</f>
        <v/>
      </c>
      <c r="E94" s="1" t="str">
        <f>IF(OR($C94="",$D94=""),"",IF($J94="里程碑",0,NETWORKDAYS($C94,$D94)))</f>
        <v/>
      </c>
      <c r="F94" s="7" t="str">
        <f>IF($DC94="","",IF(AND(INDEX(排期计算!$O$10:$O$109,$DC94)="",NOT(ISNUMBER(INDEX(排期计算!$O$10:$O$109,$DC94)))),"",INDEX(排期计算!$O$10:$O$109,$DC94)))</f>
        <v/>
      </c>
      <c r="G94" s="8" t="str">
        <f>IF($A94="","",IF(OR($C94="",$D94=""),"未排期",IF($F94&gt;=1,"已完成",IF($D94&lt;$B$4,"逾期",IF($C94&gt;$B$4,"未开始","进行中")))))</f>
        <v/>
      </c>
      <c r="H94" s="1" t="str">
        <f>IF($DC94="","",IF(AND(INDEX(排期计算!$C$10:$C$109,$DC94)="",NOT(ISNUMBER(INDEX(排期计算!$C$10:$C$109,$DC94)))),"",INDEX(排期计算!$C$10:$C$109,$DC94)))</f>
        <v/>
      </c>
      <c r="I94" s="1" t="str">
        <f>IF($DC94="","",IF(AND(INDEX(排期计算!$H$10:$H$109,$DC94)="",NOT(ISNUMBER(INDEX(排期计算!$H$10:$H$109,$DC94)))),"",INDEX(排期计算!$H$10:$H$109,$DC94)))</f>
        <v/>
      </c>
      <c r="J94" s="1" t="str">
        <f>IF($DC94="","",IF(AND(INDEX(排期计算!$K$10:$K$109,$DC94)="",NOT(ISNUMBER(INDEX(排期计算!$K$10:$K$109,$DC94)))),"",INDEX(排期计算!$K$10:$K$109,$DC94)))</f>
        <v/>
      </c>
      <c r="K94" s="8" t="str">
        <f>IF(OR($A94="",$C94="",$D94="",$C94&gt;K$6,$D94&lt;K$9),"",IF($J94="里程碑","◆",""))</f>
        <v/>
      </c>
      <c r="L94" s="8" t="str">
        <f>IF(OR($A94="",$C94="",$D94="",$C94&gt;L$6,$D94&lt;L$9),"",IF($J94="里程碑","◆",""))</f>
        <v/>
      </c>
      <c r="M94" s="8" t="str">
        <f>IF(OR($A94="",$C94="",$D94="",$C94&gt;M$6,$D94&lt;M$9),"",IF($J94="里程碑","◆",""))</f>
        <v/>
      </c>
      <c r="N94" s="8" t="str">
        <f>IF(OR($A94="",$C94="",$D94="",$C94&gt;N$6,$D94&lt;N$9),"",IF($J94="里程碑","◆",""))</f>
        <v/>
      </c>
      <c r="O94" s="8" t="str">
        <f>IF(OR($A94="",$C94="",$D94="",$C94&gt;O$6,$D94&lt;O$9),"",IF($J94="里程碑","◆",""))</f>
        <v/>
      </c>
      <c r="P94" s="8" t="str">
        <f>IF(OR($A94="",$C94="",$D94="",$C94&gt;P$6,$D94&lt;P$9),"",IF($J94="里程碑","◆",""))</f>
        <v/>
      </c>
      <c r="Q94" s="8" t="str">
        <f>IF(OR($A94="",$C94="",$D94="",$C94&gt;Q$6,$D94&lt;Q$9),"",IF($J94="里程碑","◆",""))</f>
        <v/>
      </c>
      <c r="R94" s="8" t="str">
        <f>IF(OR($A94="",$C94="",$D94="",$C94&gt;R$6,$D94&lt;R$9),"",IF($J94="里程碑","◆",""))</f>
        <v/>
      </c>
      <c r="S94" s="8" t="str">
        <f>IF(OR($A94="",$C94="",$D94="",$C94&gt;S$6,$D94&lt;S$9),"",IF($J94="里程碑","◆",""))</f>
        <v/>
      </c>
      <c r="T94" s="8" t="str">
        <f>IF(OR($A94="",$C94="",$D94="",$C94&gt;T$6,$D94&lt;T$9),"",IF($J94="里程碑","◆",""))</f>
        <v/>
      </c>
      <c r="U94" s="8" t="str">
        <f>IF(OR($A94="",$C94="",$D94="",$C94&gt;U$6,$D94&lt;U$9),"",IF($J94="里程碑","◆",""))</f>
        <v/>
      </c>
      <c r="V94" s="8" t="str">
        <f>IF(OR($A94="",$C94="",$D94="",$C94&gt;V$6,$D94&lt;V$9),"",IF($J94="里程碑","◆",""))</f>
        <v/>
      </c>
      <c r="W94" s="8" t="str">
        <f>IF(OR($A94="",$C94="",$D94="",$C94&gt;W$6,$D94&lt;W$9),"",IF($J94="里程碑","◆",""))</f>
        <v/>
      </c>
      <c r="X94" s="8" t="str">
        <f>IF(OR($A94="",$C94="",$D94="",$C94&gt;X$6,$D94&lt;X$9),"",IF($J94="里程碑","◆",""))</f>
        <v/>
      </c>
      <c r="Y94" s="8" t="str">
        <f>IF(OR($A94="",$C94="",$D94="",$C94&gt;Y$6,$D94&lt;Y$9),"",IF($J94="里程碑","◆",""))</f>
        <v/>
      </c>
      <c r="Z94" s="8" t="str">
        <f>IF(OR($A94="",$C94="",$D94="",$C94&gt;Z$6,$D94&lt;Z$9),"",IF($J94="里程碑","◆",""))</f>
        <v/>
      </c>
      <c r="AA94" s="8" t="str">
        <f>IF(OR($A94="",$C94="",$D94="",$C94&gt;AA$6,$D94&lt;AA$9),"",IF($J94="里程碑","◆",""))</f>
        <v/>
      </c>
      <c r="AB94" s="8" t="str">
        <f>IF(OR($A94="",$C94="",$D94="",$C94&gt;AB$6,$D94&lt;AB$9),"",IF($J94="里程碑","◆",""))</f>
        <v/>
      </c>
      <c r="AC94" s="8" t="str">
        <f>IF(OR($A94="",$C94="",$D94="",$C94&gt;AC$6,$D94&lt;AC$9),"",IF($J94="里程碑","◆",""))</f>
        <v/>
      </c>
      <c r="AD94" s="8" t="str">
        <f>IF(OR($A94="",$C94="",$D94="",$C94&gt;AD$6,$D94&lt;AD$9),"",IF($J94="里程碑","◆",""))</f>
        <v/>
      </c>
      <c r="AE94" s="8" t="str">
        <f>IF(OR($A94="",$C94="",$D94="",$C94&gt;AE$6,$D94&lt;AE$9),"",IF($J94="里程碑","◆",""))</f>
        <v/>
      </c>
      <c r="AF94" s="8" t="str">
        <f>IF(OR($A94="",$C94="",$D94="",$C94&gt;AF$6,$D94&lt;AF$9),"",IF($J94="里程碑","◆",""))</f>
        <v/>
      </c>
      <c r="AG94" s="8" t="str">
        <f>IF(OR($A94="",$C94="",$D94="",$C94&gt;AG$6,$D94&lt;AG$9),"",IF($J94="里程碑","◆",""))</f>
        <v/>
      </c>
      <c r="AH94" s="8" t="str">
        <f>IF(OR($A94="",$C94="",$D94="",$C94&gt;AH$6,$D94&lt;AH$9),"",IF($J94="里程碑","◆",""))</f>
        <v/>
      </c>
      <c r="AI94" s="8" t="str">
        <f>IF(OR($A94="",$C94="",$D94="",$C94&gt;AI$6,$D94&lt;AI$9),"",IF($J94="里程碑","◆",""))</f>
        <v/>
      </c>
      <c r="AJ94" s="8" t="str">
        <f>IF(OR($A94="",$C94="",$D94="",$C94&gt;AJ$6,$D94&lt;AJ$9),"",IF($J94="里程碑","◆",""))</f>
        <v/>
      </c>
      <c r="AK94" s="8" t="str">
        <f>IF(OR($A94="",$C94="",$D94="",$C94&gt;AK$6,$D94&lt;AK$9),"",IF($J94="里程碑","◆",""))</f>
        <v/>
      </c>
      <c r="AL94" s="8" t="str">
        <f>IF(OR($A94="",$C94="",$D94="",$C94&gt;AL$6,$D94&lt;AL$9),"",IF($J94="里程碑","◆",""))</f>
        <v/>
      </c>
      <c r="AM94" s="8" t="str">
        <f>IF(OR($A94="",$C94="",$D94="",$C94&gt;AM$6,$D94&lt;AM$9),"",IF($J94="里程碑","◆",""))</f>
        <v/>
      </c>
      <c r="AN94" s="8" t="str">
        <f>IF(OR($A94="",$C94="",$D94="",$C94&gt;AN$6,$D94&lt;AN$9),"",IF($J94="里程碑","◆",""))</f>
        <v/>
      </c>
      <c r="AO94" s="8" t="str">
        <f>IF(OR($A94="",$C94="",$D94="",$C94&gt;AO$6,$D94&lt;AO$9),"",IF($J94="里程碑","◆",""))</f>
        <v/>
      </c>
      <c r="AP94" s="8" t="str">
        <f>IF(OR($A94="",$C94="",$D94="",$C94&gt;AP$6,$D94&lt;AP$9),"",IF($J94="里程碑","◆",""))</f>
        <v/>
      </c>
      <c r="AQ94" s="8" t="str">
        <f>IF(OR($A94="",$C94="",$D94="",$C94&gt;AQ$6,$D94&lt;AQ$9),"",IF($J94="里程碑","◆",""))</f>
        <v/>
      </c>
      <c r="AR94" s="8" t="str">
        <f>IF(OR($A94="",$C94="",$D94="",$C94&gt;AR$6,$D94&lt;AR$9),"",IF($J94="里程碑","◆",""))</f>
        <v/>
      </c>
      <c r="AS94" s="8" t="str">
        <f>IF(OR($A94="",$C94="",$D94="",$C94&gt;AS$6,$D94&lt;AS$9),"",IF($J94="里程碑","◆",""))</f>
        <v/>
      </c>
      <c r="AT94" s="8" t="str">
        <f>IF(OR($A94="",$C94="",$D94="",$C94&gt;AT$6,$D94&lt;AT$9),"",IF($J94="里程碑","◆",""))</f>
        <v/>
      </c>
      <c r="AU94" s="8" t="str">
        <f>IF(OR($A94="",$C94="",$D94="",$C94&gt;AU$6,$D94&lt;AU$9),"",IF($J94="里程碑","◆",""))</f>
        <v/>
      </c>
      <c r="AV94" s="8" t="str">
        <f>IF(OR($A94="",$C94="",$D94="",$C94&gt;AV$6,$D94&lt;AV$9),"",IF($J94="里程碑","◆",""))</f>
        <v/>
      </c>
      <c r="AW94" s="8" t="str">
        <f>IF(OR($A94="",$C94="",$D94="",$C94&gt;AW$6,$D94&lt;AW$9),"",IF($J94="里程碑","◆",""))</f>
        <v/>
      </c>
      <c r="AX94" s="8" t="str">
        <f>IF(OR($A94="",$C94="",$D94="",$C94&gt;AX$6,$D94&lt;AX$9),"",IF($J94="里程碑","◆",""))</f>
        <v/>
      </c>
      <c r="AY94" s="8" t="str">
        <f>IF(OR($A94="",$C94="",$D94="",$C94&gt;AY$6,$D94&lt;AY$9),"",IF($J94="里程碑","◆",""))</f>
        <v/>
      </c>
      <c r="AZ94" s="8" t="str">
        <f>IF(OR($A94="",$C94="",$D94="",$C94&gt;AZ$6,$D94&lt;AZ$9),"",IF($J94="里程碑","◆",""))</f>
        <v/>
      </c>
      <c r="BA94" s="8" t="str">
        <f>IF(OR($A94="",$C94="",$D94="",$C94&gt;BA$6,$D94&lt;BA$9),"",IF($J94="里程碑","◆",""))</f>
        <v/>
      </c>
      <c r="BB94" s="8" t="str">
        <f>IF(OR($A94="",$C94="",$D94="",$C94&gt;BB$6,$D94&lt;BB$9),"",IF($J94="里程碑","◆",""))</f>
        <v/>
      </c>
      <c r="BC94" s="8" t="str">
        <f>IF(OR($A94="",$C94="",$D94="",$C94&gt;BC$6,$D94&lt;BC$9),"",IF($J94="里程碑","◆",""))</f>
        <v/>
      </c>
      <c r="BD94" s="8" t="str">
        <f>IF(OR($A94="",$C94="",$D94="",$C94&gt;BD$6,$D94&lt;BD$9),"",IF($J94="里程碑","◆",""))</f>
        <v/>
      </c>
      <c r="BE94" s="8" t="str">
        <f>IF(OR($A94="",$C94="",$D94="",$C94&gt;BE$6,$D94&lt;BE$9),"",IF($J94="里程碑","◆",""))</f>
        <v/>
      </c>
      <c r="BF94" s="8" t="str">
        <f>IF(OR($A94="",$C94="",$D94="",$C94&gt;BF$6,$D94&lt;BF$9),"",IF($J94="里程碑","◆",""))</f>
        <v/>
      </c>
      <c r="BG94" s="8" t="str">
        <f>IF(OR($A94="",$C94="",$D94="",$C94&gt;BG$6,$D94&lt;BG$9),"",IF($J94="里程碑","◆",""))</f>
        <v/>
      </c>
      <c r="BH94" s="8" t="str">
        <f>IF(OR($A94="",$C94="",$D94="",$C94&gt;BH$6,$D94&lt;BH$9),"",IF($J94="里程碑","◆",""))</f>
        <v/>
      </c>
      <c r="BI94" s="8" t="str">
        <f>IF(OR($A94="",$C94="",$D94="",$C94&gt;BI$6,$D94&lt;BI$9),"",IF($J94="里程碑","◆",""))</f>
        <v/>
      </c>
      <c r="BJ94" s="8" t="str">
        <f>IF(OR($A94="",$C94="",$D94="",$C94&gt;BJ$6,$D94&lt;BJ$9),"",IF($J94="里程碑","◆",""))</f>
        <v/>
      </c>
      <c r="BK94" s="8" t="str">
        <f>IF(OR($A94="",$C94="",$D94="",$C94&gt;BK$6,$D94&lt;BK$9),"",IF($J94="里程碑","◆",""))</f>
        <v/>
      </c>
      <c r="BL94" s="8" t="str">
        <f>IF(OR($A94="",$C94="",$D94="",$C94&gt;BL$6,$D94&lt;BL$9),"",IF($J94="里程碑","◆",""))</f>
        <v/>
      </c>
      <c r="BM94" s="8" t="str">
        <f>IF(OR($A94="",$C94="",$D94="",$C94&gt;BM$6,$D94&lt;BM$9),"",IF($J94="里程碑","◆",""))</f>
        <v/>
      </c>
      <c r="BN94" s="8" t="str">
        <f>IF(OR($A94="",$C94="",$D94="",$C94&gt;BN$6,$D94&lt;BN$9),"",IF($J94="里程碑","◆",""))</f>
        <v/>
      </c>
      <c r="BO94" s="8" t="str">
        <f>IF(OR($A94="",$C94="",$D94="",$C94&gt;BO$6,$D94&lt;BO$9),"",IF($J94="里程碑","◆",""))</f>
        <v/>
      </c>
      <c r="BP94" s="8" t="str">
        <f>IF(OR($A94="",$C94="",$D94="",$C94&gt;BP$6,$D94&lt;BP$9),"",IF($J94="里程碑","◆",""))</f>
        <v/>
      </c>
      <c r="BQ94" s="8" t="str">
        <f>IF(OR($A94="",$C94="",$D94="",$C94&gt;BQ$6,$D94&lt;BQ$9),"",IF($J94="里程碑","◆",""))</f>
        <v/>
      </c>
      <c r="BR94" s="8" t="str">
        <f>IF(OR($A94="",$C94="",$D94="",$C94&gt;BR$6,$D94&lt;BR$9),"",IF($J94="里程碑","◆",""))</f>
        <v/>
      </c>
      <c r="BS94" s="8" t="str">
        <f>IF(OR($A94="",$C94="",$D94="",$C94&gt;BS$6,$D94&lt;BS$9),"",IF($J94="里程碑","◆",""))</f>
        <v/>
      </c>
      <c r="BT94" s="8" t="str">
        <f>IF(OR($A94="",$C94="",$D94="",$C94&gt;BT$6,$D94&lt;BT$9),"",IF($J94="里程碑","◆",""))</f>
        <v/>
      </c>
      <c r="BU94" s="8" t="str">
        <f>IF(OR($A94="",$C94="",$D94="",$C94&gt;BU$6,$D94&lt;BU$9),"",IF($J94="里程碑","◆",""))</f>
        <v/>
      </c>
      <c r="BV94" s="8" t="str">
        <f>IF(OR($A94="",$C94="",$D94="",$C94&gt;BV$6,$D94&lt;BV$9),"",IF($J94="里程碑","◆",""))</f>
        <v/>
      </c>
      <c r="BW94" s="8" t="str">
        <f>IF(OR($A94="",$C94="",$D94="",$C94&gt;BW$6,$D94&lt;BW$9),"",IF($J94="里程碑","◆",""))</f>
        <v/>
      </c>
      <c r="BX94" s="8" t="str">
        <f>IF(OR($A94="",$C94="",$D94="",$C94&gt;BX$6,$D94&lt;BX$9),"",IF($J94="里程碑","◆",""))</f>
        <v/>
      </c>
      <c r="BY94" s="8" t="str">
        <f>IF(OR($A94="",$C94="",$D94="",$C94&gt;BY$6,$D94&lt;BY$9),"",IF($J94="里程碑","◆",""))</f>
        <v/>
      </c>
      <c r="BZ94" s="8" t="str">
        <f>IF(OR($A94="",$C94="",$D94="",$C94&gt;BZ$6,$D94&lt;BZ$9),"",IF($J94="里程碑","◆",""))</f>
        <v/>
      </c>
      <c r="CA94" s="8" t="str">
        <f>IF(OR($A94="",$C94="",$D94="",$C94&gt;CA$6,$D94&lt;CA$9),"",IF($J94="里程碑","◆",""))</f>
        <v/>
      </c>
      <c r="CB94" s="8" t="str">
        <f>IF(OR($A94="",$C94="",$D94="",$C94&gt;CB$6,$D94&lt;CB$9),"",IF($J94="里程碑","◆",""))</f>
        <v/>
      </c>
      <c r="CC94" s="8" t="str">
        <f>IF(OR($A94="",$C94="",$D94="",$C94&gt;CC$6,$D94&lt;CC$9),"",IF($J94="里程碑","◆",""))</f>
        <v/>
      </c>
      <c r="CD94" s="8" t="str">
        <f>IF(OR($A94="",$C94="",$D94="",$C94&gt;CD$6,$D94&lt;CD$9),"",IF($J94="里程碑","◆",""))</f>
        <v/>
      </c>
      <c r="CE94" s="8" t="str">
        <f>IF(OR($A94="",$C94="",$D94="",$C94&gt;CE$6,$D94&lt;CE$9),"",IF($J94="里程碑","◆",""))</f>
        <v/>
      </c>
      <c r="CF94" s="8" t="str">
        <f>IF(OR($A94="",$C94="",$D94="",$C94&gt;CF$6,$D94&lt;CF$9),"",IF($J94="里程碑","◆",""))</f>
        <v/>
      </c>
      <c r="CG94" s="8" t="str">
        <f>IF(OR($A94="",$C94="",$D94="",$C94&gt;CG$6,$D94&lt;CG$9),"",IF($J94="里程碑","◆",""))</f>
        <v/>
      </c>
      <c r="CH94" s="8" t="str">
        <f>IF(OR($A94="",$C94="",$D94="",$C94&gt;CH$6,$D94&lt;CH$9),"",IF($J94="里程碑","◆",""))</f>
        <v/>
      </c>
      <c r="CI94" s="8" t="str">
        <f>IF(OR($A94="",$C94="",$D94="",$C94&gt;CI$6,$D94&lt;CI$9),"",IF($J94="里程碑","◆",""))</f>
        <v/>
      </c>
      <c r="CJ94" s="8" t="str">
        <f>IF(OR($A94="",$C94="",$D94="",$C94&gt;CJ$6,$D94&lt;CJ$9),"",IF($J94="里程碑","◆",""))</f>
        <v/>
      </c>
      <c r="CK94" s="8" t="str">
        <f>IF(OR($A94="",$C94="",$D94="",$C94&gt;CK$6,$D94&lt;CK$9),"",IF($J94="里程碑","◆",""))</f>
        <v/>
      </c>
      <c r="CL94" s="8" t="str">
        <f>IF(OR($A94="",$C94="",$D94="",$C94&gt;CL$6,$D94&lt;CL$9),"",IF($J94="里程碑","◆",""))</f>
        <v/>
      </c>
      <c r="CM94" s="8" t="str">
        <f>IF(OR($A94="",$C94="",$D94="",$C94&gt;CM$6,$D94&lt;CM$9),"",IF($J94="里程碑","◆",""))</f>
        <v/>
      </c>
      <c r="CN94" s="8" t="str">
        <f>IF(OR($A94="",$C94="",$D94="",$C94&gt;CN$6,$D94&lt;CN$9),"",IF($J94="里程碑","◆",""))</f>
        <v/>
      </c>
      <c r="CO94" s="8" t="str">
        <f>IF(OR($A94="",$C94="",$D94="",$C94&gt;CO$6,$D94&lt;CO$9),"",IF($J94="里程碑","◆",""))</f>
        <v/>
      </c>
      <c r="CP94" s="8" t="str">
        <f>IF(OR($A94="",$C94="",$D94="",$C94&gt;CP$6,$D94&lt;CP$9),"",IF($J94="里程碑","◆",""))</f>
        <v/>
      </c>
      <c r="CQ94" s="8" t="str">
        <f>IF(OR($A94="",$C94="",$D94="",$C94&gt;CQ$6,$D94&lt;CQ$9),"",IF($J94="里程碑","◆",""))</f>
        <v/>
      </c>
      <c r="CR94" s="8" t="str">
        <f>IF(OR($A94="",$C94="",$D94="",$C94&gt;CR$6,$D94&lt;CR$9),"",IF($J94="里程碑","◆",""))</f>
        <v/>
      </c>
      <c r="CS94" s="8" t="str">
        <f>IF(OR($A94="",$C94="",$D94="",$C94&gt;CS$6,$D94&lt;CS$9),"",IF($J94="里程碑","◆",""))</f>
        <v/>
      </c>
      <c r="CT94" s="8" t="str">
        <f>IF(OR($A94="",$C94="",$D94="",$C94&gt;CT$6,$D94&lt;CT$9),"",IF($J94="里程碑","◆",""))</f>
        <v/>
      </c>
      <c r="CU94" s="8" t="str">
        <f>IF(OR($A94="",$C94="",$D94="",$C94&gt;CU$6,$D94&lt;CU$9),"",IF($J94="里程碑","◆",""))</f>
        <v/>
      </c>
      <c r="CV94" s="8" t="str">
        <f>IF(OR($A94="",$C94="",$D94="",$C94&gt;CV$6,$D94&lt;CV$9),"",IF($J94="里程碑","◆",""))</f>
        <v/>
      </c>
      <c r="CW94" s="8" t="str">
        <f>IF(OR($A94="",$C94="",$D94="",$C94&gt;CW$6,$D94&lt;CW$9),"",IF($J94="里程碑","◆",""))</f>
        <v/>
      </c>
      <c r="CX94" s="8" t="str">
        <f>IF(OR($A94="",$C94="",$D94="",$C94&gt;CX$6,$D94&lt;CX$9),"",IF($J94="里程碑","◆",""))</f>
        <v/>
      </c>
      <c r="CY94" s="8" t="str">
        <f>IF(OR($A94="",$C94="",$D94="",$C94&gt;CY$6,$D94&lt;CY$9),"",IF($J94="里程碑","◆",""))</f>
        <v/>
      </c>
      <c r="CZ94" s="8" t="str">
        <f>IF(OR($A94="",$C94="",$D94="",$C94&gt;CZ$6,$D94&lt;CZ$9),"",IF($J94="里程碑","◆",""))</f>
        <v/>
      </c>
      <c r="DA94" s="8" t="str">
        <f>IF(OR($A94="",$C94="",$D94="",$C94&gt;DA$6,$D94&lt;DA$9),"",IF($J94="里程碑","◆",""))</f>
        <v/>
      </c>
      <c r="DB94" s="8" t="str">
        <f>IF(OR($A94="",$C94="",$D94="",$C94&gt;DB$6,$D94&lt;DB$9),"",IF($J94="里程碑","◆",""))</f>
        <v/>
      </c>
      <c r="DC94" s="1" t="str">
        <f>IF(ROW()-9&gt;$DH$3,"",MATCH(ROW()-9,排期计算!$U$10:$U$109,0))</f>
        <v/>
      </c>
      <c r="DD94" s="1" t="str">
        <f>IF($DC94="","",INDEX(排期计算!$L$10:$L$109,$DC94))</f>
        <v/>
      </c>
      <c r="DE94" s="1"/>
      <c r="DF94" s="1"/>
      <c r="DG94" s="1"/>
      <c r="DH94" s="1"/>
      <c r="DI94" s="1"/>
      <c r="DJ94" s="1"/>
      <c r="DK94" s="1"/>
    </row>
    <row r="95" spans="1:115" ht="24.95" customHeight="1">
      <c r="A95" s="9" t="str">
        <f>IF($DC95="","",IF(AND(INDEX(排期计算!$A$10:$A$109,$DC95)="",NOT(ISNUMBER(INDEX(排期计算!$A$10:$A$109,$DC95)))),"",INDEX(排期计算!$A$10:$A$109,$DC95)))</f>
        <v/>
      </c>
      <c r="B95" s="1" t="str">
        <f>IF($DC95="","",REPT("　",$DD95-1)&amp;INDEX(排期计算!$B$10:$B$109,$DC95))</f>
        <v/>
      </c>
      <c r="C95" s="3" t="str">
        <f>IF($DC95="","",IF(AND(INDEX(排期计算!$M$10:$M$109,$DC95)="",NOT(ISNUMBER(INDEX(排期计算!$M$10:$M$109,$DC95)))),"",INDEX(排期计算!$M$10:$M$109,$DC95)))</f>
        <v/>
      </c>
      <c r="D95" s="3" t="str">
        <f>IF($DC95="","",IF(AND(INDEX(排期计算!$N$10:$N$109,$DC95)="",NOT(ISNUMBER(INDEX(排期计算!$N$10:$N$109,$DC95)))),"",INDEX(排期计算!$N$10:$N$109,$DC95)))</f>
        <v/>
      </c>
      <c r="E95" s="1" t="str">
        <f>IF(OR($C95="",$D95=""),"",IF($J95="里程碑",0,NETWORKDAYS($C95,$D95)))</f>
        <v/>
      </c>
      <c r="F95" s="7" t="str">
        <f>IF($DC95="","",IF(AND(INDEX(排期计算!$O$10:$O$109,$DC95)="",NOT(ISNUMBER(INDEX(排期计算!$O$10:$O$109,$DC95)))),"",INDEX(排期计算!$O$10:$O$109,$DC95)))</f>
        <v/>
      </c>
      <c r="G95" s="8" t="str">
        <f>IF($A95="","",IF(OR($C95="",$D95=""),"未排期",IF($F95&gt;=1,"已完成",IF($D95&lt;$B$4,"逾期",IF($C95&gt;$B$4,"未开始","进行中")))))</f>
        <v/>
      </c>
      <c r="H95" s="1" t="str">
        <f>IF($DC95="","",IF(AND(INDEX(排期计算!$C$10:$C$109,$DC95)="",NOT(ISNUMBER(INDEX(排期计算!$C$10:$C$109,$DC95)))),"",INDEX(排期计算!$C$10:$C$109,$DC95)))</f>
        <v/>
      </c>
      <c r="I95" s="1" t="str">
        <f>IF($DC95="","",IF(AND(INDEX(排期计算!$H$10:$H$109,$DC95)="",NOT(ISNUMBER(INDEX(排期计算!$H$10:$H$109,$DC95)))),"",INDEX(排期计算!$H$10:$H$109,$DC95)))</f>
        <v/>
      </c>
      <c r="J95" s="1" t="str">
        <f>IF($DC95="","",IF(AND(INDEX(排期计算!$K$10:$K$109,$DC95)="",NOT(ISNUMBER(INDEX(排期计算!$K$10:$K$109,$DC95)))),"",INDEX(排期计算!$K$10:$K$109,$DC95)))</f>
        <v/>
      </c>
      <c r="K95" s="8" t="str">
        <f>IF(OR($A95="",$C95="",$D95="",$C95&gt;K$6,$D95&lt;K$9),"",IF($J95="里程碑","◆",""))</f>
        <v/>
      </c>
      <c r="L95" s="8" t="str">
        <f>IF(OR($A95="",$C95="",$D95="",$C95&gt;L$6,$D95&lt;L$9),"",IF($J95="里程碑","◆",""))</f>
        <v/>
      </c>
      <c r="M95" s="8" t="str">
        <f>IF(OR($A95="",$C95="",$D95="",$C95&gt;M$6,$D95&lt;M$9),"",IF($J95="里程碑","◆",""))</f>
        <v/>
      </c>
      <c r="N95" s="8" t="str">
        <f>IF(OR($A95="",$C95="",$D95="",$C95&gt;N$6,$D95&lt;N$9),"",IF($J95="里程碑","◆",""))</f>
        <v/>
      </c>
      <c r="O95" s="8" t="str">
        <f>IF(OR($A95="",$C95="",$D95="",$C95&gt;O$6,$D95&lt;O$9),"",IF($J95="里程碑","◆",""))</f>
        <v/>
      </c>
      <c r="P95" s="8" t="str">
        <f>IF(OR($A95="",$C95="",$D95="",$C95&gt;P$6,$D95&lt;P$9),"",IF($J95="里程碑","◆",""))</f>
        <v/>
      </c>
      <c r="Q95" s="8" t="str">
        <f>IF(OR($A95="",$C95="",$D95="",$C95&gt;Q$6,$D95&lt;Q$9),"",IF($J95="里程碑","◆",""))</f>
        <v/>
      </c>
      <c r="R95" s="8" t="str">
        <f>IF(OR($A95="",$C95="",$D95="",$C95&gt;R$6,$D95&lt;R$9),"",IF($J95="里程碑","◆",""))</f>
        <v/>
      </c>
      <c r="S95" s="8" t="str">
        <f>IF(OR($A95="",$C95="",$D95="",$C95&gt;S$6,$D95&lt;S$9),"",IF($J95="里程碑","◆",""))</f>
        <v/>
      </c>
      <c r="T95" s="8" t="str">
        <f>IF(OR($A95="",$C95="",$D95="",$C95&gt;T$6,$D95&lt;T$9),"",IF($J95="里程碑","◆",""))</f>
        <v/>
      </c>
      <c r="U95" s="8" t="str">
        <f>IF(OR($A95="",$C95="",$D95="",$C95&gt;U$6,$D95&lt;U$9),"",IF($J95="里程碑","◆",""))</f>
        <v/>
      </c>
      <c r="V95" s="8" t="str">
        <f>IF(OR($A95="",$C95="",$D95="",$C95&gt;V$6,$D95&lt;V$9),"",IF($J95="里程碑","◆",""))</f>
        <v/>
      </c>
      <c r="W95" s="8" t="str">
        <f>IF(OR($A95="",$C95="",$D95="",$C95&gt;W$6,$D95&lt;W$9),"",IF($J95="里程碑","◆",""))</f>
        <v/>
      </c>
      <c r="X95" s="8" t="str">
        <f>IF(OR($A95="",$C95="",$D95="",$C95&gt;X$6,$D95&lt;X$9),"",IF($J95="里程碑","◆",""))</f>
        <v/>
      </c>
      <c r="Y95" s="8" t="str">
        <f>IF(OR($A95="",$C95="",$D95="",$C95&gt;Y$6,$D95&lt;Y$9),"",IF($J95="里程碑","◆",""))</f>
        <v/>
      </c>
      <c r="Z95" s="8" t="str">
        <f>IF(OR($A95="",$C95="",$D95="",$C95&gt;Z$6,$D95&lt;Z$9),"",IF($J95="里程碑","◆",""))</f>
        <v/>
      </c>
      <c r="AA95" s="8" t="str">
        <f>IF(OR($A95="",$C95="",$D95="",$C95&gt;AA$6,$D95&lt;AA$9),"",IF($J95="里程碑","◆",""))</f>
        <v/>
      </c>
      <c r="AB95" s="8" t="str">
        <f>IF(OR($A95="",$C95="",$D95="",$C95&gt;AB$6,$D95&lt;AB$9),"",IF($J95="里程碑","◆",""))</f>
        <v/>
      </c>
      <c r="AC95" s="8" t="str">
        <f>IF(OR($A95="",$C95="",$D95="",$C95&gt;AC$6,$D95&lt;AC$9),"",IF($J95="里程碑","◆",""))</f>
        <v/>
      </c>
      <c r="AD95" s="8" t="str">
        <f>IF(OR($A95="",$C95="",$D95="",$C95&gt;AD$6,$D95&lt;AD$9),"",IF($J95="里程碑","◆",""))</f>
        <v/>
      </c>
      <c r="AE95" s="8" t="str">
        <f>IF(OR($A95="",$C95="",$D95="",$C95&gt;AE$6,$D95&lt;AE$9),"",IF($J95="里程碑","◆",""))</f>
        <v/>
      </c>
      <c r="AF95" s="8" t="str">
        <f>IF(OR($A95="",$C95="",$D95="",$C95&gt;AF$6,$D95&lt;AF$9),"",IF($J95="里程碑","◆",""))</f>
        <v/>
      </c>
      <c r="AG95" s="8" t="str">
        <f>IF(OR($A95="",$C95="",$D95="",$C95&gt;AG$6,$D95&lt;AG$9),"",IF($J95="里程碑","◆",""))</f>
        <v/>
      </c>
      <c r="AH95" s="8" t="str">
        <f>IF(OR($A95="",$C95="",$D95="",$C95&gt;AH$6,$D95&lt;AH$9),"",IF($J95="里程碑","◆",""))</f>
        <v/>
      </c>
      <c r="AI95" s="8" t="str">
        <f>IF(OR($A95="",$C95="",$D95="",$C95&gt;AI$6,$D95&lt;AI$9),"",IF($J95="里程碑","◆",""))</f>
        <v/>
      </c>
      <c r="AJ95" s="8" t="str">
        <f>IF(OR($A95="",$C95="",$D95="",$C95&gt;AJ$6,$D95&lt;AJ$9),"",IF($J95="里程碑","◆",""))</f>
        <v/>
      </c>
      <c r="AK95" s="8" t="str">
        <f>IF(OR($A95="",$C95="",$D95="",$C95&gt;AK$6,$D95&lt;AK$9),"",IF($J95="里程碑","◆",""))</f>
        <v/>
      </c>
      <c r="AL95" s="8" t="str">
        <f>IF(OR($A95="",$C95="",$D95="",$C95&gt;AL$6,$D95&lt;AL$9),"",IF($J95="里程碑","◆",""))</f>
        <v/>
      </c>
      <c r="AM95" s="8" t="str">
        <f>IF(OR($A95="",$C95="",$D95="",$C95&gt;AM$6,$D95&lt;AM$9),"",IF($J95="里程碑","◆",""))</f>
        <v/>
      </c>
      <c r="AN95" s="8" t="str">
        <f>IF(OR($A95="",$C95="",$D95="",$C95&gt;AN$6,$D95&lt;AN$9),"",IF($J95="里程碑","◆",""))</f>
        <v/>
      </c>
      <c r="AO95" s="8" t="str">
        <f>IF(OR($A95="",$C95="",$D95="",$C95&gt;AO$6,$D95&lt;AO$9),"",IF($J95="里程碑","◆",""))</f>
        <v/>
      </c>
      <c r="AP95" s="8" t="str">
        <f>IF(OR($A95="",$C95="",$D95="",$C95&gt;AP$6,$D95&lt;AP$9),"",IF($J95="里程碑","◆",""))</f>
        <v/>
      </c>
      <c r="AQ95" s="8" t="str">
        <f>IF(OR($A95="",$C95="",$D95="",$C95&gt;AQ$6,$D95&lt;AQ$9),"",IF($J95="里程碑","◆",""))</f>
        <v/>
      </c>
      <c r="AR95" s="8" t="str">
        <f>IF(OR($A95="",$C95="",$D95="",$C95&gt;AR$6,$D95&lt;AR$9),"",IF($J95="里程碑","◆",""))</f>
        <v/>
      </c>
      <c r="AS95" s="8" t="str">
        <f>IF(OR($A95="",$C95="",$D95="",$C95&gt;AS$6,$D95&lt;AS$9),"",IF($J95="里程碑","◆",""))</f>
        <v/>
      </c>
      <c r="AT95" s="8" t="str">
        <f>IF(OR($A95="",$C95="",$D95="",$C95&gt;AT$6,$D95&lt;AT$9),"",IF($J95="里程碑","◆",""))</f>
        <v/>
      </c>
      <c r="AU95" s="8" t="str">
        <f>IF(OR($A95="",$C95="",$D95="",$C95&gt;AU$6,$D95&lt;AU$9),"",IF($J95="里程碑","◆",""))</f>
        <v/>
      </c>
      <c r="AV95" s="8" t="str">
        <f>IF(OR($A95="",$C95="",$D95="",$C95&gt;AV$6,$D95&lt;AV$9),"",IF($J95="里程碑","◆",""))</f>
        <v/>
      </c>
      <c r="AW95" s="8" t="str">
        <f>IF(OR($A95="",$C95="",$D95="",$C95&gt;AW$6,$D95&lt;AW$9),"",IF($J95="里程碑","◆",""))</f>
        <v/>
      </c>
      <c r="AX95" s="8" t="str">
        <f>IF(OR($A95="",$C95="",$D95="",$C95&gt;AX$6,$D95&lt;AX$9),"",IF($J95="里程碑","◆",""))</f>
        <v/>
      </c>
      <c r="AY95" s="8" t="str">
        <f>IF(OR($A95="",$C95="",$D95="",$C95&gt;AY$6,$D95&lt;AY$9),"",IF($J95="里程碑","◆",""))</f>
        <v/>
      </c>
      <c r="AZ95" s="8" t="str">
        <f>IF(OR($A95="",$C95="",$D95="",$C95&gt;AZ$6,$D95&lt;AZ$9),"",IF($J95="里程碑","◆",""))</f>
        <v/>
      </c>
      <c r="BA95" s="8" t="str">
        <f>IF(OR($A95="",$C95="",$D95="",$C95&gt;BA$6,$D95&lt;BA$9),"",IF($J95="里程碑","◆",""))</f>
        <v/>
      </c>
      <c r="BB95" s="8" t="str">
        <f>IF(OR($A95="",$C95="",$D95="",$C95&gt;BB$6,$D95&lt;BB$9),"",IF($J95="里程碑","◆",""))</f>
        <v/>
      </c>
      <c r="BC95" s="8" t="str">
        <f>IF(OR($A95="",$C95="",$D95="",$C95&gt;BC$6,$D95&lt;BC$9),"",IF($J95="里程碑","◆",""))</f>
        <v/>
      </c>
      <c r="BD95" s="8" t="str">
        <f>IF(OR($A95="",$C95="",$D95="",$C95&gt;BD$6,$D95&lt;BD$9),"",IF($J95="里程碑","◆",""))</f>
        <v/>
      </c>
      <c r="BE95" s="8" t="str">
        <f>IF(OR($A95="",$C95="",$D95="",$C95&gt;BE$6,$D95&lt;BE$9),"",IF($J95="里程碑","◆",""))</f>
        <v/>
      </c>
      <c r="BF95" s="8" t="str">
        <f>IF(OR($A95="",$C95="",$D95="",$C95&gt;BF$6,$D95&lt;BF$9),"",IF($J95="里程碑","◆",""))</f>
        <v/>
      </c>
      <c r="BG95" s="8" t="str">
        <f>IF(OR($A95="",$C95="",$D95="",$C95&gt;BG$6,$D95&lt;BG$9),"",IF($J95="里程碑","◆",""))</f>
        <v/>
      </c>
      <c r="BH95" s="8" t="str">
        <f>IF(OR($A95="",$C95="",$D95="",$C95&gt;BH$6,$D95&lt;BH$9),"",IF($J95="里程碑","◆",""))</f>
        <v/>
      </c>
      <c r="BI95" s="8" t="str">
        <f>IF(OR($A95="",$C95="",$D95="",$C95&gt;BI$6,$D95&lt;BI$9),"",IF($J95="里程碑","◆",""))</f>
        <v/>
      </c>
      <c r="BJ95" s="8" t="str">
        <f>IF(OR($A95="",$C95="",$D95="",$C95&gt;BJ$6,$D95&lt;BJ$9),"",IF($J95="里程碑","◆",""))</f>
        <v/>
      </c>
      <c r="BK95" s="8" t="str">
        <f>IF(OR($A95="",$C95="",$D95="",$C95&gt;BK$6,$D95&lt;BK$9),"",IF($J95="里程碑","◆",""))</f>
        <v/>
      </c>
      <c r="BL95" s="8" t="str">
        <f>IF(OR($A95="",$C95="",$D95="",$C95&gt;BL$6,$D95&lt;BL$9),"",IF($J95="里程碑","◆",""))</f>
        <v/>
      </c>
      <c r="BM95" s="8" t="str">
        <f>IF(OR($A95="",$C95="",$D95="",$C95&gt;BM$6,$D95&lt;BM$9),"",IF($J95="里程碑","◆",""))</f>
        <v/>
      </c>
      <c r="BN95" s="8" t="str">
        <f>IF(OR($A95="",$C95="",$D95="",$C95&gt;BN$6,$D95&lt;BN$9),"",IF($J95="里程碑","◆",""))</f>
        <v/>
      </c>
      <c r="BO95" s="8" t="str">
        <f>IF(OR($A95="",$C95="",$D95="",$C95&gt;BO$6,$D95&lt;BO$9),"",IF($J95="里程碑","◆",""))</f>
        <v/>
      </c>
      <c r="BP95" s="8" t="str">
        <f>IF(OR($A95="",$C95="",$D95="",$C95&gt;BP$6,$D95&lt;BP$9),"",IF($J95="里程碑","◆",""))</f>
        <v/>
      </c>
      <c r="BQ95" s="8" t="str">
        <f>IF(OR($A95="",$C95="",$D95="",$C95&gt;BQ$6,$D95&lt;BQ$9),"",IF($J95="里程碑","◆",""))</f>
        <v/>
      </c>
      <c r="BR95" s="8" t="str">
        <f>IF(OR($A95="",$C95="",$D95="",$C95&gt;BR$6,$D95&lt;BR$9),"",IF($J95="里程碑","◆",""))</f>
        <v/>
      </c>
      <c r="BS95" s="8" t="str">
        <f>IF(OR($A95="",$C95="",$D95="",$C95&gt;BS$6,$D95&lt;BS$9),"",IF($J95="里程碑","◆",""))</f>
        <v/>
      </c>
      <c r="BT95" s="8" t="str">
        <f>IF(OR($A95="",$C95="",$D95="",$C95&gt;BT$6,$D95&lt;BT$9),"",IF($J95="里程碑","◆",""))</f>
        <v/>
      </c>
      <c r="BU95" s="8" t="str">
        <f>IF(OR($A95="",$C95="",$D95="",$C95&gt;BU$6,$D95&lt;BU$9),"",IF($J95="里程碑","◆",""))</f>
        <v/>
      </c>
      <c r="BV95" s="8" t="str">
        <f>IF(OR($A95="",$C95="",$D95="",$C95&gt;BV$6,$D95&lt;BV$9),"",IF($J95="里程碑","◆",""))</f>
        <v/>
      </c>
      <c r="BW95" s="8" t="str">
        <f>IF(OR($A95="",$C95="",$D95="",$C95&gt;BW$6,$D95&lt;BW$9),"",IF($J95="里程碑","◆",""))</f>
        <v/>
      </c>
      <c r="BX95" s="8" t="str">
        <f>IF(OR($A95="",$C95="",$D95="",$C95&gt;BX$6,$D95&lt;BX$9),"",IF($J95="里程碑","◆",""))</f>
        <v/>
      </c>
      <c r="BY95" s="8" t="str">
        <f>IF(OR($A95="",$C95="",$D95="",$C95&gt;BY$6,$D95&lt;BY$9),"",IF($J95="里程碑","◆",""))</f>
        <v/>
      </c>
      <c r="BZ95" s="8" t="str">
        <f>IF(OR($A95="",$C95="",$D95="",$C95&gt;BZ$6,$D95&lt;BZ$9),"",IF($J95="里程碑","◆",""))</f>
        <v/>
      </c>
      <c r="CA95" s="8" t="str">
        <f>IF(OR($A95="",$C95="",$D95="",$C95&gt;CA$6,$D95&lt;CA$9),"",IF($J95="里程碑","◆",""))</f>
        <v/>
      </c>
      <c r="CB95" s="8" t="str">
        <f>IF(OR($A95="",$C95="",$D95="",$C95&gt;CB$6,$D95&lt;CB$9),"",IF($J95="里程碑","◆",""))</f>
        <v/>
      </c>
      <c r="CC95" s="8" t="str">
        <f>IF(OR($A95="",$C95="",$D95="",$C95&gt;CC$6,$D95&lt;CC$9),"",IF($J95="里程碑","◆",""))</f>
        <v/>
      </c>
      <c r="CD95" s="8" t="str">
        <f>IF(OR($A95="",$C95="",$D95="",$C95&gt;CD$6,$D95&lt;CD$9),"",IF($J95="里程碑","◆",""))</f>
        <v/>
      </c>
      <c r="CE95" s="8" t="str">
        <f>IF(OR($A95="",$C95="",$D95="",$C95&gt;CE$6,$D95&lt;CE$9),"",IF($J95="里程碑","◆",""))</f>
        <v/>
      </c>
      <c r="CF95" s="8" t="str">
        <f>IF(OR($A95="",$C95="",$D95="",$C95&gt;CF$6,$D95&lt;CF$9),"",IF($J95="里程碑","◆",""))</f>
        <v/>
      </c>
      <c r="CG95" s="8" t="str">
        <f>IF(OR($A95="",$C95="",$D95="",$C95&gt;CG$6,$D95&lt;CG$9),"",IF($J95="里程碑","◆",""))</f>
        <v/>
      </c>
      <c r="CH95" s="8" t="str">
        <f>IF(OR($A95="",$C95="",$D95="",$C95&gt;CH$6,$D95&lt;CH$9),"",IF($J95="里程碑","◆",""))</f>
        <v/>
      </c>
      <c r="CI95" s="8" t="str">
        <f>IF(OR($A95="",$C95="",$D95="",$C95&gt;CI$6,$D95&lt;CI$9),"",IF($J95="里程碑","◆",""))</f>
        <v/>
      </c>
      <c r="CJ95" s="8" t="str">
        <f>IF(OR($A95="",$C95="",$D95="",$C95&gt;CJ$6,$D95&lt;CJ$9),"",IF($J95="里程碑","◆",""))</f>
        <v/>
      </c>
      <c r="CK95" s="8" t="str">
        <f>IF(OR($A95="",$C95="",$D95="",$C95&gt;CK$6,$D95&lt;CK$9),"",IF($J95="里程碑","◆",""))</f>
        <v/>
      </c>
      <c r="CL95" s="8" t="str">
        <f>IF(OR($A95="",$C95="",$D95="",$C95&gt;CL$6,$D95&lt;CL$9),"",IF($J95="里程碑","◆",""))</f>
        <v/>
      </c>
      <c r="CM95" s="8" t="str">
        <f>IF(OR($A95="",$C95="",$D95="",$C95&gt;CM$6,$D95&lt;CM$9),"",IF($J95="里程碑","◆",""))</f>
        <v/>
      </c>
      <c r="CN95" s="8" t="str">
        <f>IF(OR($A95="",$C95="",$D95="",$C95&gt;CN$6,$D95&lt;CN$9),"",IF($J95="里程碑","◆",""))</f>
        <v/>
      </c>
      <c r="CO95" s="8" t="str">
        <f>IF(OR($A95="",$C95="",$D95="",$C95&gt;CO$6,$D95&lt;CO$9),"",IF($J95="里程碑","◆",""))</f>
        <v/>
      </c>
      <c r="CP95" s="8" t="str">
        <f>IF(OR($A95="",$C95="",$D95="",$C95&gt;CP$6,$D95&lt;CP$9),"",IF($J95="里程碑","◆",""))</f>
        <v/>
      </c>
      <c r="CQ95" s="8" t="str">
        <f>IF(OR($A95="",$C95="",$D95="",$C95&gt;CQ$6,$D95&lt;CQ$9),"",IF($J95="里程碑","◆",""))</f>
        <v/>
      </c>
      <c r="CR95" s="8" t="str">
        <f>IF(OR($A95="",$C95="",$D95="",$C95&gt;CR$6,$D95&lt;CR$9),"",IF($J95="里程碑","◆",""))</f>
        <v/>
      </c>
      <c r="CS95" s="8" t="str">
        <f>IF(OR($A95="",$C95="",$D95="",$C95&gt;CS$6,$D95&lt;CS$9),"",IF($J95="里程碑","◆",""))</f>
        <v/>
      </c>
      <c r="CT95" s="8" t="str">
        <f>IF(OR($A95="",$C95="",$D95="",$C95&gt;CT$6,$D95&lt;CT$9),"",IF($J95="里程碑","◆",""))</f>
        <v/>
      </c>
      <c r="CU95" s="8" t="str">
        <f>IF(OR($A95="",$C95="",$D95="",$C95&gt;CU$6,$D95&lt;CU$9),"",IF($J95="里程碑","◆",""))</f>
        <v/>
      </c>
      <c r="CV95" s="8" t="str">
        <f>IF(OR($A95="",$C95="",$D95="",$C95&gt;CV$6,$D95&lt;CV$9),"",IF($J95="里程碑","◆",""))</f>
        <v/>
      </c>
      <c r="CW95" s="8" t="str">
        <f>IF(OR($A95="",$C95="",$D95="",$C95&gt;CW$6,$D95&lt;CW$9),"",IF($J95="里程碑","◆",""))</f>
        <v/>
      </c>
      <c r="CX95" s="8" t="str">
        <f>IF(OR($A95="",$C95="",$D95="",$C95&gt;CX$6,$D95&lt;CX$9),"",IF($J95="里程碑","◆",""))</f>
        <v/>
      </c>
      <c r="CY95" s="8" t="str">
        <f>IF(OR($A95="",$C95="",$D95="",$C95&gt;CY$6,$D95&lt;CY$9),"",IF($J95="里程碑","◆",""))</f>
        <v/>
      </c>
      <c r="CZ95" s="8" t="str">
        <f>IF(OR($A95="",$C95="",$D95="",$C95&gt;CZ$6,$D95&lt;CZ$9),"",IF($J95="里程碑","◆",""))</f>
        <v/>
      </c>
      <c r="DA95" s="8" t="str">
        <f>IF(OR($A95="",$C95="",$D95="",$C95&gt;DA$6,$D95&lt;DA$9),"",IF($J95="里程碑","◆",""))</f>
        <v/>
      </c>
      <c r="DB95" s="8" t="str">
        <f>IF(OR($A95="",$C95="",$D95="",$C95&gt;DB$6,$D95&lt;DB$9),"",IF($J95="里程碑","◆",""))</f>
        <v/>
      </c>
      <c r="DC95" s="1" t="str">
        <f>IF(ROW()-9&gt;$DH$3,"",MATCH(ROW()-9,排期计算!$U$10:$U$109,0))</f>
        <v/>
      </c>
      <c r="DD95" s="1" t="str">
        <f>IF($DC95="","",INDEX(排期计算!$L$10:$L$109,$DC95))</f>
        <v/>
      </c>
      <c r="DE95" s="1"/>
      <c r="DF95" s="1"/>
      <c r="DG95" s="1"/>
      <c r="DH95" s="1"/>
      <c r="DI95" s="1"/>
      <c r="DJ95" s="1"/>
      <c r="DK95" s="1"/>
    </row>
    <row r="96" spans="1:115" ht="24.95" customHeight="1">
      <c r="A96" s="9" t="str">
        <f>IF($DC96="","",IF(AND(INDEX(排期计算!$A$10:$A$109,$DC96)="",NOT(ISNUMBER(INDEX(排期计算!$A$10:$A$109,$DC96)))),"",INDEX(排期计算!$A$10:$A$109,$DC96)))</f>
        <v/>
      </c>
      <c r="B96" s="1" t="str">
        <f>IF($DC96="","",REPT("　",$DD96-1)&amp;INDEX(排期计算!$B$10:$B$109,$DC96))</f>
        <v/>
      </c>
      <c r="C96" s="3" t="str">
        <f>IF($DC96="","",IF(AND(INDEX(排期计算!$M$10:$M$109,$DC96)="",NOT(ISNUMBER(INDEX(排期计算!$M$10:$M$109,$DC96)))),"",INDEX(排期计算!$M$10:$M$109,$DC96)))</f>
        <v/>
      </c>
      <c r="D96" s="3" t="str">
        <f>IF($DC96="","",IF(AND(INDEX(排期计算!$N$10:$N$109,$DC96)="",NOT(ISNUMBER(INDEX(排期计算!$N$10:$N$109,$DC96)))),"",INDEX(排期计算!$N$10:$N$109,$DC96)))</f>
        <v/>
      </c>
      <c r="E96" s="1" t="str">
        <f>IF(OR($C96="",$D96=""),"",IF($J96="里程碑",0,NETWORKDAYS($C96,$D96)))</f>
        <v/>
      </c>
      <c r="F96" s="7" t="str">
        <f>IF($DC96="","",IF(AND(INDEX(排期计算!$O$10:$O$109,$DC96)="",NOT(ISNUMBER(INDEX(排期计算!$O$10:$O$109,$DC96)))),"",INDEX(排期计算!$O$10:$O$109,$DC96)))</f>
        <v/>
      </c>
      <c r="G96" s="8" t="str">
        <f>IF($A96="","",IF(OR($C96="",$D96=""),"未排期",IF($F96&gt;=1,"已完成",IF($D96&lt;$B$4,"逾期",IF($C96&gt;$B$4,"未开始","进行中")))))</f>
        <v/>
      </c>
      <c r="H96" s="1" t="str">
        <f>IF($DC96="","",IF(AND(INDEX(排期计算!$C$10:$C$109,$DC96)="",NOT(ISNUMBER(INDEX(排期计算!$C$10:$C$109,$DC96)))),"",INDEX(排期计算!$C$10:$C$109,$DC96)))</f>
        <v/>
      </c>
      <c r="I96" s="1" t="str">
        <f>IF($DC96="","",IF(AND(INDEX(排期计算!$H$10:$H$109,$DC96)="",NOT(ISNUMBER(INDEX(排期计算!$H$10:$H$109,$DC96)))),"",INDEX(排期计算!$H$10:$H$109,$DC96)))</f>
        <v/>
      </c>
      <c r="J96" s="1" t="str">
        <f>IF($DC96="","",IF(AND(INDEX(排期计算!$K$10:$K$109,$DC96)="",NOT(ISNUMBER(INDEX(排期计算!$K$10:$K$109,$DC96)))),"",INDEX(排期计算!$K$10:$K$109,$DC96)))</f>
        <v/>
      </c>
      <c r="K96" s="8" t="str">
        <f>IF(OR($A96="",$C96="",$D96="",$C96&gt;K$6,$D96&lt;K$9),"",IF($J96="里程碑","◆",""))</f>
        <v/>
      </c>
      <c r="L96" s="8" t="str">
        <f>IF(OR($A96="",$C96="",$D96="",$C96&gt;L$6,$D96&lt;L$9),"",IF($J96="里程碑","◆",""))</f>
        <v/>
      </c>
      <c r="M96" s="8" t="str">
        <f>IF(OR($A96="",$C96="",$D96="",$C96&gt;M$6,$D96&lt;M$9),"",IF($J96="里程碑","◆",""))</f>
        <v/>
      </c>
      <c r="N96" s="8" t="str">
        <f>IF(OR($A96="",$C96="",$D96="",$C96&gt;N$6,$D96&lt;N$9),"",IF($J96="里程碑","◆",""))</f>
        <v/>
      </c>
      <c r="O96" s="8" t="str">
        <f>IF(OR($A96="",$C96="",$D96="",$C96&gt;O$6,$D96&lt;O$9),"",IF($J96="里程碑","◆",""))</f>
        <v/>
      </c>
      <c r="P96" s="8" t="str">
        <f>IF(OR($A96="",$C96="",$D96="",$C96&gt;P$6,$D96&lt;P$9),"",IF($J96="里程碑","◆",""))</f>
        <v/>
      </c>
      <c r="Q96" s="8" t="str">
        <f>IF(OR($A96="",$C96="",$D96="",$C96&gt;Q$6,$D96&lt;Q$9),"",IF($J96="里程碑","◆",""))</f>
        <v/>
      </c>
      <c r="R96" s="8" t="str">
        <f>IF(OR($A96="",$C96="",$D96="",$C96&gt;R$6,$D96&lt;R$9),"",IF($J96="里程碑","◆",""))</f>
        <v/>
      </c>
      <c r="S96" s="8" t="str">
        <f>IF(OR($A96="",$C96="",$D96="",$C96&gt;S$6,$D96&lt;S$9),"",IF($J96="里程碑","◆",""))</f>
        <v/>
      </c>
      <c r="T96" s="8" t="str">
        <f>IF(OR($A96="",$C96="",$D96="",$C96&gt;T$6,$D96&lt;T$9),"",IF($J96="里程碑","◆",""))</f>
        <v/>
      </c>
      <c r="U96" s="8" t="str">
        <f>IF(OR($A96="",$C96="",$D96="",$C96&gt;U$6,$D96&lt;U$9),"",IF($J96="里程碑","◆",""))</f>
        <v/>
      </c>
      <c r="V96" s="8" t="str">
        <f>IF(OR($A96="",$C96="",$D96="",$C96&gt;V$6,$D96&lt;V$9),"",IF($J96="里程碑","◆",""))</f>
        <v/>
      </c>
      <c r="W96" s="8" t="str">
        <f>IF(OR($A96="",$C96="",$D96="",$C96&gt;W$6,$D96&lt;W$9),"",IF($J96="里程碑","◆",""))</f>
        <v/>
      </c>
      <c r="X96" s="8" t="str">
        <f>IF(OR($A96="",$C96="",$D96="",$C96&gt;X$6,$D96&lt;X$9),"",IF($J96="里程碑","◆",""))</f>
        <v/>
      </c>
      <c r="Y96" s="8" t="str">
        <f>IF(OR($A96="",$C96="",$D96="",$C96&gt;Y$6,$D96&lt;Y$9),"",IF($J96="里程碑","◆",""))</f>
        <v/>
      </c>
      <c r="Z96" s="8" t="str">
        <f>IF(OR($A96="",$C96="",$D96="",$C96&gt;Z$6,$D96&lt;Z$9),"",IF($J96="里程碑","◆",""))</f>
        <v/>
      </c>
      <c r="AA96" s="8" t="str">
        <f>IF(OR($A96="",$C96="",$D96="",$C96&gt;AA$6,$D96&lt;AA$9),"",IF($J96="里程碑","◆",""))</f>
        <v/>
      </c>
      <c r="AB96" s="8" t="str">
        <f>IF(OR($A96="",$C96="",$D96="",$C96&gt;AB$6,$D96&lt;AB$9),"",IF($J96="里程碑","◆",""))</f>
        <v/>
      </c>
      <c r="AC96" s="8" t="str">
        <f>IF(OR($A96="",$C96="",$D96="",$C96&gt;AC$6,$D96&lt;AC$9),"",IF($J96="里程碑","◆",""))</f>
        <v/>
      </c>
      <c r="AD96" s="8" t="str">
        <f>IF(OR($A96="",$C96="",$D96="",$C96&gt;AD$6,$D96&lt;AD$9),"",IF($J96="里程碑","◆",""))</f>
        <v/>
      </c>
      <c r="AE96" s="8" t="str">
        <f>IF(OR($A96="",$C96="",$D96="",$C96&gt;AE$6,$D96&lt;AE$9),"",IF($J96="里程碑","◆",""))</f>
        <v/>
      </c>
      <c r="AF96" s="8" t="str">
        <f>IF(OR($A96="",$C96="",$D96="",$C96&gt;AF$6,$D96&lt;AF$9),"",IF($J96="里程碑","◆",""))</f>
        <v/>
      </c>
      <c r="AG96" s="8" t="str">
        <f>IF(OR($A96="",$C96="",$D96="",$C96&gt;AG$6,$D96&lt;AG$9),"",IF($J96="里程碑","◆",""))</f>
        <v/>
      </c>
      <c r="AH96" s="8" t="str">
        <f>IF(OR($A96="",$C96="",$D96="",$C96&gt;AH$6,$D96&lt;AH$9),"",IF($J96="里程碑","◆",""))</f>
        <v/>
      </c>
      <c r="AI96" s="8" t="str">
        <f>IF(OR($A96="",$C96="",$D96="",$C96&gt;AI$6,$D96&lt;AI$9),"",IF($J96="里程碑","◆",""))</f>
        <v/>
      </c>
      <c r="AJ96" s="8" t="str">
        <f>IF(OR($A96="",$C96="",$D96="",$C96&gt;AJ$6,$D96&lt;AJ$9),"",IF($J96="里程碑","◆",""))</f>
        <v/>
      </c>
      <c r="AK96" s="8" t="str">
        <f>IF(OR($A96="",$C96="",$D96="",$C96&gt;AK$6,$D96&lt;AK$9),"",IF($J96="里程碑","◆",""))</f>
        <v/>
      </c>
      <c r="AL96" s="8" t="str">
        <f>IF(OR($A96="",$C96="",$D96="",$C96&gt;AL$6,$D96&lt;AL$9),"",IF($J96="里程碑","◆",""))</f>
        <v/>
      </c>
      <c r="AM96" s="8" t="str">
        <f>IF(OR($A96="",$C96="",$D96="",$C96&gt;AM$6,$D96&lt;AM$9),"",IF($J96="里程碑","◆",""))</f>
        <v/>
      </c>
      <c r="AN96" s="8" t="str">
        <f>IF(OR($A96="",$C96="",$D96="",$C96&gt;AN$6,$D96&lt;AN$9),"",IF($J96="里程碑","◆",""))</f>
        <v/>
      </c>
      <c r="AO96" s="8" t="str">
        <f>IF(OR($A96="",$C96="",$D96="",$C96&gt;AO$6,$D96&lt;AO$9),"",IF($J96="里程碑","◆",""))</f>
        <v/>
      </c>
      <c r="AP96" s="8" t="str">
        <f>IF(OR($A96="",$C96="",$D96="",$C96&gt;AP$6,$D96&lt;AP$9),"",IF($J96="里程碑","◆",""))</f>
        <v/>
      </c>
      <c r="AQ96" s="8" t="str">
        <f>IF(OR($A96="",$C96="",$D96="",$C96&gt;AQ$6,$D96&lt;AQ$9),"",IF($J96="里程碑","◆",""))</f>
        <v/>
      </c>
      <c r="AR96" s="8" t="str">
        <f>IF(OR($A96="",$C96="",$D96="",$C96&gt;AR$6,$D96&lt;AR$9),"",IF($J96="里程碑","◆",""))</f>
        <v/>
      </c>
      <c r="AS96" s="8" t="str">
        <f>IF(OR($A96="",$C96="",$D96="",$C96&gt;AS$6,$D96&lt;AS$9),"",IF($J96="里程碑","◆",""))</f>
        <v/>
      </c>
      <c r="AT96" s="8" t="str">
        <f>IF(OR($A96="",$C96="",$D96="",$C96&gt;AT$6,$D96&lt;AT$9),"",IF($J96="里程碑","◆",""))</f>
        <v/>
      </c>
      <c r="AU96" s="8" t="str">
        <f>IF(OR($A96="",$C96="",$D96="",$C96&gt;AU$6,$D96&lt;AU$9),"",IF($J96="里程碑","◆",""))</f>
        <v/>
      </c>
      <c r="AV96" s="8" t="str">
        <f>IF(OR($A96="",$C96="",$D96="",$C96&gt;AV$6,$D96&lt;AV$9),"",IF($J96="里程碑","◆",""))</f>
        <v/>
      </c>
      <c r="AW96" s="8" t="str">
        <f>IF(OR($A96="",$C96="",$D96="",$C96&gt;AW$6,$D96&lt;AW$9),"",IF($J96="里程碑","◆",""))</f>
        <v/>
      </c>
      <c r="AX96" s="8" t="str">
        <f>IF(OR($A96="",$C96="",$D96="",$C96&gt;AX$6,$D96&lt;AX$9),"",IF($J96="里程碑","◆",""))</f>
        <v/>
      </c>
      <c r="AY96" s="8" t="str">
        <f>IF(OR($A96="",$C96="",$D96="",$C96&gt;AY$6,$D96&lt;AY$9),"",IF($J96="里程碑","◆",""))</f>
        <v/>
      </c>
      <c r="AZ96" s="8" t="str">
        <f>IF(OR($A96="",$C96="",$D96="",$C96&gt;AZ$6,$D96&lt;AZ$9),"",IF($J96="里程碑","◆",""))</f>
        <v/>
      </c>
      <c r="BA96" s="8" t="str">
        <f>IF(OR($A96="",$C96="",$D96="",$C96&gt;BA$6,$D96&lt;BA$9),"",IF($J96="里程碑","◆",""))</f>
        <v/>
      </c>
      <c r="BB96" s="8" t="str">
        <f>IF(OR($A96="",$C96="",$D96="",$C96&gt;BB$6,$D96&lt;BB$9),"",IF($J96="里程碑","◆",""))</f>
        <v/>
      </c>
      <c r="BC96" s="8" t="str">
        <f>IF(OR($A96="",$C96="",$D96="",$C96&gt;BC$6,$D96&lt;BC$9),"",IF($J96="里程碑","◆",""))</f>
        <v/>
      </c>
      <c r="BD96" s="8" t="str">
        <f>IF(OR($A96="",$C96="",$D96="",$C96&gt;BD$6,$D96&lt;BD$9),"",IF($J96="里程碑","◆",""))</f>
        <v/>
      </c>
      <c r="BE96" s="8" t="str">
        <f>IF(OR($A96="",$C96="",$D96="",$C96&gt;BE$6,$D96&lt;BE$9),"",IF($J96="里程碑","◆",""))</f>
        <v/>
      </c>
      <c r="BF96" s="8" t="str">
        <f>IF(OR($A96="",$C96="",$D96="",$C96&gt;BF$6,$D96&lt;BF$9),"",IF($J96="里程碑","◆",""))</f>
        <v/>
      </c>
      <c r="BG96" s="8" t="str">
        <f>IF(OR($A96="",$C96="",$D96="",$C96&gt;BG$6,$D96&lt;BG$9),"",IF($J96="里程碑","◆",""))</f>
        <v/>
      </c>
      <c r="BH96" s="8" t="str">
        <f>IF(OR($A96="",$C96="",$D96="",$C96&gt;BH$6,$D96&lt;BH$9),"",IF($J96="里程碑","◆",""))</f>
        <v/>
      </c>
      <c r="BI96" s="8" t="str">
        <f>IF(OR($A96="",$C96="",$D96="",$C96&gt;BI$6,$D96&lt;BI$9),"",IF($J96="里程碑","◆",""))</f>
        <v/>
      </c>
      <c r="BJ96" s="8" t="str">
        <f>IF(OR($A96="",$C96="",$D96="",$C96&gt;BJ$6,$D96&lt;BJ$9),"",IF($J96="里程碑","◆",""))</f>
        <v/>
      </c>
      <c r="BK96" s="8" t="str">
        <f>IF(OR($A96="",$C96="",$D96="",$C96&gt;BK$6,$D96&lt;BK$9),"",IF($J96="里程碑","◆",""))</f>
        <v/>
      </c>
      <c r="BL96" s="8" t="str">
        <f>IF(OR($A96="",$C96="",$D96="",$C96&gt;BL$6,$D96&lt;BL$9),"",IF($J96="里程碑","◆",""))</f>
        <v/>
      </c>
      <c r="BM96" s="8" t="str">
        <f>IF(OR($A96="",$C96="",$D96="",$C96&gt;BM$6,$D96&lt;BM$9),"",IF($J96="里程碑","◆",""))</f>
        <v/>
      </c>
      <c r="BN96" s="8" t="str">
        <f>IF(OR($A96="",$C96="",$D96="",$C96&gt;BN$6,$D96&lt;BN$9),"",IF($J96="里程碑","◆",""))</f>
        <v/>
      </c>
      <c r="BO96" s="8" t="str">
        <f>IF(OR($A96="",$C96="",$D96="",$C96&gt;BO$6,$D96&lt;BO$9),"",IF($J96="里程碑","◆",""))</f>
        <v/>
      </c>
      <c r="BP96" s="8" t="str">
        <f>IF(OR($A96="",$C96="",$D96="",$C96&gt;BP$6,$D96&lt;BP$9),"",IF($J96="里程碑","◆",""))</f>
        <v/>
      </c>
      <c r="BQ96" s="8" t="str">
        <f>IF(OR($A96="",$C96="",$D96="",$C96&gt;BQ$6,$D96&lt;BQ$9),"",IF($J96="里程碑","◆",""))</f>
        <v/>
      </c>
      <c r="BR96" s="8" t="str">
        <f>IF(OR($A96="",$C96="",$D96="",$C96&gt;BR$6,$D96&lt;BR$9),"",IF($J96="里程碑","◆",""))</f>
        <v/>
      </c>
      <c r="BS96" s="8" t="str">
        <f>IF(OR($A96="",$C96="",$D96="",$C96&gt;BS$6,$D96&lt;BS$9),"",IF($J96="里程碑","◆",""))</f>
        <v/>
      </c>
      <c r="BT96" s="8" t="str">
        <f>IF(OR($A96="",$C96="",$D96="",$C96&gt;BT$6,$D96&lt;BT$9),"",IF($J96="里程碑","◆",""))</f>
        <v/>
      </c>
      <c r="BU96" s="8" t="str">
        <f>IF(OR($A96="",$C96="",$D96="",$C96&gt;BU$6,$D96&lt;BU$9),"",IF($J96="里程碑","◆",""))</f>
        <v/>
      </c>
      <c r="BV96" s="8" t="str">
        <f>IF(OR($A96="",$C96="",$D96="",$C96&gt;BV$6,$D96&lt;BV$9),"",IF($J96="里程碑","◆",""))</f>
        <v/>
      </c>
      <c r="BW96" s="8" t="str">
        <f>IF(OR($A96="",$C96="",$D96="",$C96&gt;BW$6,$D96&lt;BW$9),"",IF($J96="里程碑","◆",""))</f>
        <v/>
      </c>
      <c r="BX96" s="8" t="str">
        <f>IF(OR($A96="",$C96="",$D96="",$C96&gt;BX$6,$D96&lt;BX$9),"",IF($J96="里程碑","◆",""))</f>
        <v/>
      </c>
      <c r="BY96" s="8" t="str">
        <f>IF(OR($A96="",$C96="",$D96="",$C96&gt;BY$6,$D96&lt;BY$9),"",IF($J96="里程碑","◆",""))</f>
        <v/>
      </c>
      <c r="BZ96" s="8" t="str">
        <f>IF(OR($A96="",$C96="",$D96="",$C96&gt;BZ$6,$D96&lt;BZ$9),"",IF($J96="里程碑","◆",""))</f>
        <v/>
      </c>
      <c r="CA96" s="8" t="str">
        <f>IF(OR($A96="",$C96="",$D96="",$C96&gt;CA$6,$D96&lt;CA$9),"",IF($J96="里程碑","◆",""))</f>
        <v/>
      </c>
      <c r="CB96" s="8" t="str">
        <f>IF(OR($A96="",$C96="",$D96="",$C96&gt;CB$6,$D96&lt;CB$9),"",IF($J96="里程碑","◆",""))</f>
        <v/>
      </c>
      <c r="CC96" s="8" t="str">
        <f>IF(OR($A96="",$C96="",$D96="",$C96&gt;CC$6,$D96&lt;CC$9),"",IF($J96="里程碑","◆",""))</f>
        <v/>
      </c>
      <c r="CD96" s="8" t="str">
        <f>IF(OR($A96="",$C96="",$D96="",$C96&gt;CD$6,$D96&lt;CD$9),"",IF($J96="里程碑","◆",""))</f>
        <v/>
      </c>
      <c r="CE96" s="8" t="str">
        <f>IF(OR($A96="",$C96="",$D96="",$C96&gt;CE$6,$D96&lt;CE$9),"",IF($J96="里程碑","◆",""))</f>
        <v/>
      </c>
      <c r="CF96" s="8" t="str">
        <f>IF(OR($A96="",$C96="",$D96="",$C96&gt;CF$6,$D96&lt;CF$9),"",IF($J96="里程碑","◆",""))</f>
        <v/>
      </c>
      <c r="CG96" s="8" t="str">
        <f>IF(OR($A96="",$C96="",$D96="",$C96&gt;CG$6,$D96&lt;CG$9),"",IF($J96="里程碑","◆",""))</f>
        <v/>
      </c>
      <c r="CH96" s="8" t="str">
        <f>IF(OR($A96="",$C96="",$D96="",$C96&gt;CH$6,$D96&lt;CH$9),"",IF($J96="里程碑","◆",""))</f>
        <v/>
      </c>
      <c r="CI96" s="8" t="str">
        <f>IF(OR($A96="",$C96="",$D96="",$C96&gt;CI$6,$D96&lt;CI$9),"",IF($J96="里程碑","◆",""))</f>
        <v/>
      </c>
      <c r="CJ96" s="8" t="str">
        <f>IF(OR($A96="",$C96="",$D96="",$C96&gt;CJ$6,$D96&lt;CJ$9),"",IF($J96="里程碑","◆",""))</f>
        <v/>
      </c>
      <c r="CK96" s="8" t="str">
        <f>IF(OR($A96="",$C96="",$D96="",$C96&gt;CK$6,$D96&lt;CK$9),"",IF($J96="里程碑","◆",""))</f>
        <v/>
      </c>
      <c r="CL96" s="8" t="str">
        <f>IF(OR($A96="",$C96="",$D96="",$C96&gt;CL$6,$D96&lt;CL$9),"",IF($J96="里程碑","◆",""))</f>
        <v/>
      </c>
      <c r="CM96" s="8" t="str">
        <f>IF(OR($A96="",$C96="",$D96="",$C96&gt;CM$6,$D96&lt;CM$9),"",IF($J96="里程碑","◆",""))</f>
        <v/>
      </c>
      <c r="CN96" s="8" t="str">
        <f>IF(OR($A96="",$C96="",$D96="",$C96&gt;CN$6,$D96&lt;CN$9),"",IF($J96="里程碑","◆",""))</f>
        <v/>
      </c>
      <c r="CO96" s="8" t="str">
        <f>IF(OR($A96="",$C96="",$D96="",$C96&gt;CO$6,$D96&lt;CO$9),"",IF($J96="里程碑","◆",""))</f>
        <v/>
      </c>
      <c r="CP96" s="8" t="str">
        <f>IF(OR($A96="",$C96="",$D96="",$C96&gt;CP$6,$D96&lt;CP$9),"",IF($J96="里程碑","◆",""))</f>
        <v/>
      </c>
      <c r="CQ96" s="8" t="str">
        <f>IF(OR($A96="",$C96="",$D96="",$C96&gt;CQ$6,$D96&lt;CQ$9),"",IF($J96="里程碑","◆",""))</f>
        <v/>
      </c>
      <c r="CR96" s="8" t="str">
        <f>IF(OR($A96="",$C96="",$D96="",$C96&gt;CR$6,$D96&lt;CR$9),"",IF($J96="里程碑","◆",""))</f>
        <v/>
      </c>
      <c r="CS96" s="8" t="str">
        <f>IF(OR($A96="",$C96="",$D96="",$C96&gt;CS$6,$D96&lt;CS$9),"",IF($J96="里程碑","◆",""))</f>
        <v/>
      </c>
      <c r="CT96" s="8" t="str">
        <f>IF(OR($A96="",$C96="",$D96="",$C96&gt;CT$6,$D96&lt;CT$9),"",IF($J96="里程碑","◆",""))</f>
        <v/>
      </c>
      <c r="CU96" s="8" t="str">
        <f>IF(OR($A96="",$C96="",$D96="",$C96&gt;CU$6,$D96&lt;CU$9),"",IF($J96="里程碑","◆",""))</f>
        <v/>
      </c>
      <c r="CV96" s="8" t="str">
        <f>IF(OR($A96="",$C96="",$D96="",$C96&gt;CV$6,$D96&lt;CV$9),"",IF($J96="里程碑","◆",""))</f>
        <v/>
      </c>
      <c r="CW96" s="8" t="str">
        <f>IF(OR($A96="",$C96="",$D96="",$C96&gt;CW$6,$D96&lt;CW$9),"",IF($J96="里程碑","◆",""))</f>
        <v/>
      </c>
      <c r="CX96" s="8" t="str">
        <f>IF(OR($A96="",$C96="",$D96="",$C96&gt;CX$6,$D96&lt;CX$9),"",IF($J96="里程碑","◆",""))</f>
        <v/>
      </c>
      <c r="CY96" s="8" t="str">
        <f>IF(OR($A96="",$C96="",$D96="",$C96&gt;CY$6,$D96&lt;CY$9),"",IF($J96="里程碑","◆",""))</f>
        <v/>
      </c>
      <c r="CZ96" s="8" t="str">
        <f>IF(OR($A96="",$C96="",$D96="",$C96&gt;CZ$6,$D96&lt;CZ$9),"",IF($J96="里程碑","◆",""))</f>
        <v/>
      </c>
      <c r="DA96" s="8" t="str">
        <f>IF(OR($A96="",$C96="",$D96="",$C96&gt;DA$6,$D96&lt;DA$9),"",IF($J96="里程碑","◆",""))</f>
        <v/>
      </c>
      <c r="DB96" s="8" t="str">
        <f>IF(OR($A96="",$C96="",$D96="",$C96&gt;DB$6,$D96&lt;DB$9),"",IF($J96="里程碑","◆",""))</f>
        <v/>
      </c>
      <c r="DC96" s="1" t="str">
        <f>IF(ROW()-9&gt;$DH$3,"",MATCH(ROW()-9,排期计算!$U$10:$U$109,0))</f>
        <v/>
      </c>
      <c r="DD96" s="1" t="str">
        <f>IF($DC96="","",INDEX(排期计算!$L$10:$L$109,$DC96))</f>
        <v/>
      </c>
      <c r="DE96" s="1"/>
      <c r="DF96" s="1"/>
      <c r="DG96" s="1"/>
      <c r="DH96" s="1"/>
      <c r="DI96" s="1"/>
      <c r="DJ96" s="1"/>
      <c r="DK96" s="1"/>
    </row>
    <row r="97" spans="1:115" ht="24.95" customHeight="1">
      <c r="A97" s="9" t="str">
        <f>IF($DC97="","",IF(AND(INDEX(排期计算!$A$10:$A$109,$DC97)="",NOT(ISNUMBER(INDEX(排期计算!$A$10:$A$109,$DC97)))),"",INDEX(排期计算!$A$10:$A$109,$DC97)))</f>
        <v/>
      </c>
      <c r="B97" s="1" t="str">
        <f>IF($DC97="","",REPT("　",$DD97-1)&amp;INDEX(排期计算!$B$10:$B$109,$DC97))</f>
        <v/>
      </c>
      <c r="C97" s="3" t="str">
        <f>IF($DC97="","",IF(AND(INDEX(排期计算!$M$10:$M$109,$DC97)="",NOT(ISNUMBER(INDEX(排期计算!$M$10:$M$109,$DC97)))),"",INDEX(排期计算!$M$10:$M$109,$DC97)))</f>
        <v/>
      </c>
      <c r="D97" s="3" t="str">
        <f>IF($DC97="","",IF(AND(INDEX(排期计算!$N$10:$N$109,$DC97)="",NOT(ISNUMBER(INDEX(排期计算!$N$10:$N$109,$DC97)))),"",INDEX(排期计算!$N$10:$N$109,$DC97)))</f>
        <v/>
      </c>
      <c r="E97" s="1" t="str">
        <f>IF(OR($C97="",$D97=""),"",IF($J97="里程碑",0,NETWORKDAYS($C97,$D97)))</f>
        <v/>
      </c>
      <c r="F97" s="7" t="str">
        <f>IF($DC97="","",IF(AND(INDEX(排期计算!$O$10:$O$109,$DC97)="",NOT(ISNUMBER(INDEX(排期计算!$O$10:$O$109,$DC97)))),"",INDEX(排期计算!$O$10:$O$109,$DC97)))</f>
        <v/>
      </c>
      <c r="G97" s="8" t="str">
        <f>IF($A97="","",IF(OR($C97="",$D97=""),"未排期",IF($F97&gt;=1,"已完成",IF($D97&lt;$B$4,"逾期",IF($C97&gt;$B$4,"未开始","进行中")))))</f>
        <v/>
      </c>
      <c r="H97" s="1" t="str">
        <f>IF($DC97="","",IF(AND(INDEX(排期计算!$C$10:$C$109,$DC97)="",NOT(ISNUMBER(INDEX(排期计算!$C$10:$C$109,$DC97)))),"",INDEX(排期计算!$C$10:$C$109,$DC97)))</f>
        <v/>
      </c>
      <c r="I97" s="1" t="str">
        <f>IF($DC97="","",IF(AND(INDEX(排期计算!$H$10:$H$109,$DC97)="",NOT(ISNUMBER(INDEX(排期计算!$H$10:$H$109,$DC97)))),"",INDEX(排期计算!$H$10:$H$109,$DC97)))</f>
        <v/>
      </c>
      <c r="J97" s="1" t="str">
        <f>IF($DC97="","",IF(AND(INDEX(排期计算!$K$10:$K$109,$DC97)="",NOT(ISNUMBER(INDEX(排期计算!$K$10:$K$109,$DC97)))),"",INDEX(排期计算!$K$10:$K$109,$DC97)))</f>
        <v/>
      </c>
      <c r="K97" s="8" t="str">
        <f>IF(OR($A97="",$C97="",$D97="",$C97&gt;K$6,$D97&lt;K$9),"",IF($J97="里程碑","◆",""))</f>
        <v/>
      </c>
      <c r="L97" s="8" t="str">
        <f>IF(OR($A97="",$C97="",$D97="",$C97&gt;L$6,$D97&lt;L$9),"",IF($J97="里程碑","◆",""))</f>
        <v/>
      </c>
      <c r="M97" s="8" t="str">
        <f>IF(OR($A97="",$C97="",$D97="",$C97&gt;M$6,$D97&lt;M$9),"",IF($J97="里程碑","◆",""))</f>
        <v/>
      </c>
      <c r="N97" s="8" t="str">
        <f>IF(OR($A97="",$C97="",$D97="",$C97&gt;N$6,$D97&lt;N$9),"",IF($J97="里程碑","◆",""))</f>
        <v/>
      </c>
      <c r="O97" s="8" t="str">
        <f>IF(OR($A97="",$C97="",$D97="",$C97&gt;O$6,$D97&lt;O$9),"",IF($J97="里程碑","◆",""))</f>
        <v/>
      </c>
      <c r="P97" s="8" t="str">
        <f>IF(OR($A97="",$C97="",$D97="",$C97&gt;P$6,$D97&lt;P$9),"",IF($J97="里程碑","◆",""))</f>
        <v/>
      </c>
      <c r="Q97" s="8" t="str">
        <f>IF(OR($A97="",$C97="",$D97="",$C97&gt;Q$6,$D97&lt;Q$9),"",IF($J97="里程碑","◆",""))</f>
        <v/>
      </c>
      <c r="R97" s="8" t="str">
        <f>IF(OR($A97="",$C97="",$D97="",$C97&gt;R$6,$D97&lt;R$9),"",IF($J97="里程碑","◆",""))</f>
        <v/>
      </c>
      <c r="S97" s="8" t="str">
        <f>IF(OR($A97="",$C97="",$D97="",$C97&gt;S$6,$D97&lt;S$9),"",IF($J97="里程碑","◆",""))</f>
        <v/>
      </c>
      <c r="T97" s="8" t="str">
        <f>IF(OR($A97="",$C97="",$D97="",$C97&gt;T$6,$D97&lt;T$9),"",IF($J97="里程碑","◆",""))</f>
        <v/>
      </c>
      <c r="U97" s="8" t="str">
        <f>IF(OR($A97="",$C97="",$D97="",$C97&gt;U$6,$D97&lt;U$9),"",IF($J97="里程碑","◆",""))</f>
        <v/>
      </c>
      <c r="V97" s="8" t="str">
        <f>IF(OR($A97="",$C97="",$D97="",$C97&gt;V$6,$D97&lt;V$9),"",IF($J97="里程碑","◆",""))</f>
        <v/>
      </c>
      <c r="W97" s="8" t="str">
        <f>IF(OR($A97="",$C97="",$D97="",$C97&gt;W$6,$D97&lt;W$9),"",IF($J97="里程碑","◆",""))</f>
        <v/>
      </c>
      <c r="X97" s="8" t="str">
        <f>IF(OR($A97="",$C97="",$D97="",$C97&gt;X$6,$D97&lt;X$9),"",IF($J97="里程碑","◆",""))</f>
        <v/>
      </c>
      <c r="Y97" s="8" t="str">
        <f>IF(OR($A97="",$C97="",$D97="",$C97&gt;Y$6,$D97&lt;Y$9),"",IF($J97="里程碑","◆",""))</f>
        <v/>
      </c>
      <c r="Z97" s="8" t="str">
        <f>IF(OR($A97="",$C97="",$D97="",$C97&gt;Z$6,$D97&lt;Z$9),"",IF($J97="里程碑","◆",""))</f>
        <v/>
      </c>
      <c r="AA97" s="8" t="str">
        <f>IF(OR($A97="",$C97="",$D97="",$C97&gt;AA$6,$D97&lt;AA$9),"",IF($J97="里程碑","◆",""))</f>
        <v/>
      </c>
      <c r="AB97" s="8" t="str">
        <f>IF(OR($A97="",$C97="",$D97="",$C97&gt;AB$6,$D97&lt;AB$9),"",IF($J97="里程碑","◆",""))</f>
        <v/>
      </c>
      <c r="AC97" s="8" t="str">
        <f>IF(OR($A97="",$C97="",$D97="",$C97&gt;AC$6,$D97&lt;AC$9),"",IF($J97="里程碑","◆",""))</f>
        <v/>
      </c>
      <c r="AD97" s="8" t="str">
        <f>IF(OR($A97="",$C97="",$D97="",$C97&gt;AD$6,$D97&lt;AD$9),"",IF($J97="里程碑","◆",""))</f>
        <v/>
      </c>
      <c r="AE97" s="8" t="str">
        <f>IF(OR($A97="",$C97="",$D97="",$C97&gt;AE$6,$D97&lt;AE$9),"",IF($J97="里程碑","◆",""))</f>
        <v/>
      </c>
      <c r="AF97" s="8" t="str">
        <f>IF(OR($A97="",$C97="",$D97="",$C97&gt;AF$6,$D97&lt;AF$9),"",IF($J97="里程碑","◆",""))</f>
        <v/>
      </c>
      <c r="AG97" s="8" t="str">
        <f>IF(OR($A97="",$C97="",$D97="",$C97&gt;AG$6,$D97&lt;AG$9),"",IF($J97="里程碑","◆",""))</f>
        <v/>
      </c>
      <c r="AH97" s="8" t="str">
        <f>IF(OR($A97="",$C97="",$D97="",$C97&gt;AH$6,$D97&lt;AH$9),"",IF($J97="里程碑","◆",""))</f>
        <v/>
      </c>
      <c r="AI97" s="8" t="str">
        <f>IF(OR($A97="",$C97="",$D97="",$C97&gt;AI$6,$D97&lt;AI$9),"",IF($J97="里程碑","◆",""))</f>
        <v/>
      </c>
      <c r="AJ97" s="8" t="str">
        <f>IF(OR($A97="",$C97="",$D97="",$C97&gt;AJ$6,$D97&lt;AJ$9),"",IF($J97="里程碑","◆",""))</f>
        <v/>
      </c>
      <c r="AK97" s="8" t="str">
        <f>IF(OR($A97="",$C97="",$D97="",$C97&gt;AK$6,$D97&lt;AK$9),"",IF($J97="里程碑","◆",""))</f>
        <v/>
      </c>
      <c r="AL97" s="8" t="str">
        <f>IF(OR($A97="",$C97="",$D97="",$C97&gt;AL$6,$D97&lt;AL$9),"",IF($J97="里程碑","◆",""))</f>
        <v/>
      </c>
      <c r="AM97" s="8" t="str">
        <f>IF(OR($A97="",$C97="",$D97="",$C97&gt;AM$6,$D97&lt;AM$9),"",IF($J97="里程碑","◆",""))</f>
        <v/>
      </c>
      <c r="AN97" s="8" t="str">
        <f>IF(OR($A97="",$C97="",$D97="",$C97&gt;AN$6,$D97&lt;AN$9),"",IF($J97="里程碑","◆",""))</f>
        <v/>
      </c>
      <c r="AO97" s="8" t="str">
        <f>IF(OR($A97="",$C97="",$D97="",$C97&gt;AO$6,$D97&lt;AO$9),"",IF($J97="里程碑","◆",""))</f>
        <v/>
      </c>
      <c r="AP97" s="8" t="str">
        <f>IF(OR($A97="",$C97="",$D97="",$C97&gt;AP$6,$D97&lt;AP$9),"",IF($J97="里程碑","◆",""))</f>
        <v/>
      </c>
      <c r="AQ97" s="8" t="str">
        <f>IF(OR($A97="",$C97="",$D97="",$C97&gt;AQ$6,$D97&lt;AQ$9),"",IF($J97="里程碑","◆",""))</f>
        <v/>
      </c>
      <c r="AR97" s="8" t="str">
        <f>IF(OR($A97="",$C97="",$D97="",$C97&gt;AR$6,$D97&lt;AR$9),"",IF($J97="里程碑","◆",""))</f>
        <v/>
      </c>
      <c r="AS97" s="8" t="str">
        <f>IF(OR($A97="",$C97="",$D97="",$C97&gt;AS$6,$D97&lt;AS$9),"",IF($J97="里程碑","◆",""))</f>
        <v/>
      </c>
      <c r="AT97" s="8" t="str">
        <f>IF(OR($A97="",$C97="",$D97="",$C97&gt;AT$6,$D97&lt;AT$9),"",IF($J97="里程碑","◆",""))</f>
        <v/>
      </c>
      <c r="AU97" s="8" t="str">
        <f>IF(OR($A97="",$C97="",$D97="",$C97&gt;AU$6,$D97&lt;AU$9),"",IF($J97="里程碑","◆",""))</f>
        <v/>
      </c>
      <c r="AV97" s="8" t="str">
        <f>IF(OR($A97="",$C97="",$D97="",$C97&gt;AV$6,$D97&lt;AV$9),"",IF($J97="里程碑","◆",""))</f>
        <v/>
      </c>
      <c r="AW97" s="8" t="str">
        <f>IF(OR($A97="",$C97="",$D97="",$C97&gt;AW$6,$D97&lt;AW$9),"",IF($J97="里程碑","◆",""))</f>
        <v/>
      </c>
      <c r="AX97" s="8" t="str">
        <f>IF(OR($A97="",$C97="",$D97="",$C97&gt;AX$6,$D97&lt;AX$9),"",IF($J97="里程碑","◆",""))</f>
        <v/>
      </c>
      <c r="AY97" s="8" t="str">
        <f>IF(OR($A97="",$C97="",$D97="",$C97&gt;AY$6,$D97&lt;AY$9),"",IF($J97="里程碑","◆",""))</f>
        <v/>
      </c>
      <c r="AZ97" s="8" t="str">
        <f>IF(OR($A97="",$C97="",$D97="",$C97&gt;AZ$6,$D97&lt;AZ$9),"",IF($J97="里程碑","◆",""))</f>
        <v/>
      </c>
      <c r="BA97" s="8" t="str">
        <f>IF(OR($A97="",$C97="",$D97="",$C97&gt;BA$6,$D97&lt;BA$9),"",IF($J97="里程碑","◆",""))</f>
        <v/>
      </c>
      <c r="BB97" s="8" t="str">
        <f>IF(OR($A97="",$C97="",$D97="",$C97&gt;BB$6,$D97&lt;BB$9),"",IF($J97="里程碑","◆",""))</f>
        <v/>
      </c>
      <c r="BC97" s="8" t="str">
        <f>IF(OR($A97="",$C97="",$D97="",$C97&gt;BC$6,$D97&lt;BC$9),"",IF($J97="里程碑","◆",""))</f>
        <v/>
      </c>
      <c r="BD97" s="8" t="str">
        <f>IF(OR($A97="",$C97="",$D97="",$C97&gt;BD$6,$D97&lt;BD$9),"",IF($J97="里程碑","◆",""))</f>
        <v/>
      </c>
      <c r="BE97" s="8" t="str">
        <f>IF(OR($A97="",$C97="",$D97="",$C97&gt;BE$6,$D97&lt;BE$9),"",IF($J97="里程碑","◆",""))</f>
        <v/>
      </c>
      <c r="BF97" s="8" t="str">
        <f>IF(OR($A97="",$C97="",$D97="",$C97&gt;BF$6,$D97&lt;BF$9),"",IF($J97="里程碑","◆",""))</f>
        <v/>
      </c>
      <c r="BG97" s="8" t="str">
        <f>IF(OR($A97="",$C97="",$D97="",$C97&gt;BG$6,$D97&lt;BG$9),"",IF($J97="里程碑","◆",""))</f>
        <v/>
      </c>
      <c r="BH97" s="8" t="str">
        <f>IF(OR($A97="",$C97="",$D97="",$C97&gt;BH$6,$D97&lt;BH$9),"",IF($J97="里程碑","◆",""))</f>
        <v/>
      </c>
      <c r="BI97" s="8" t="str">
        <f>IF(OR($A97="",$C97="",$D97="",$C97&gt;BI$6,$D97&lt;BI$9),"",IF($J97="里程碑","◆",""))</f>
        <v/>
      </c>
      <c r="BJ97" s="8" t="str">
        <f>IF(OR($A97="",$C97="",$D97="",$C97&gt;BJ$6,$D97&lt;BJ$9),"",IF($J97="里程碑","◆",""))</f>
        <v/>
      </c>
      <c r="BK97" s="8" t="str">
        <f>IF(OR($A97="",$C97="",$D97="",$C97&gt;BK$6,$D97&lt;BK$9),"",IF($J97="里程碑","◆",""))</f>
        <v/>
      </c>
      <c r="BL97" s="8" t="str">
        <f>IF(OR($A97="",$C97="",$D97="",$C97&gt;BL$6,$D97&lt;BL$9),"",IF($J97="里程碑","◆",""))</f>
        <v/>
      </c>
      <c r="BM97" s="8" t="str">
        <f>IF(OR($A97="",$C97="",$D97="",$C97&gt;BM$6,$D97&lt;BM$9),"",IF($J97="里程碑","◆",""))</f>
        <v/>
      </c>
      <c r="BN97" s="8" t="str">
        <f>IF(OR($A97="",$C97="",$D97="",$C97&gt;BN$6,$D97&lt;BN$9),"",IF($J97="里程碑","◆",""))</f>
        <v/>
      </c>
      <c r="BO97" s="8" t="str">
        <f>IF(OR($A97="",$C97="",$D97="",$C97&gt;BO$6,$D97&lt;BO$9),"",IF($J97="里程碑","◆",""))</f>
        <v/>
      </c>
      <c r="BP97" s="8" t="str">
        <f>IF(OR($A97="",$C97="",$D97="",$C97&gt;BP$6,$D97&lt;BP$9),"",IF($J97="里程碑","◆",""))</f>
        <v/>
      </c>
      <c r="BQ97" s="8" t="str">
        <f>IF(OR($A97="",$C97="",$D97="",$C97&gt;BQ$6,$D97&lt;BQ$9),"",IF($J97="里程碑","◆",""))</f>
        <v/>
      </c>
      <c r="BR97" s="8" t="str">
        <f>IF(OR($A97="",$C97="",$D97="",$C97&gt;BR$6,$D97&lt;BR$9),"",IF($J97="里程碑","◆",""))</f>
        <v/>
      </c>
      <c r="BS97" s="8" t="str">
        <f>IF(OR($A97="",$C97="",$D97="",$C97&gt;BS$6,$D97&lt;BS$9),"",IF($J97="里程碑","◆",""))</f>
        <v/>
      </c>
      <c r="BT97" s="8" t="str">
        <f>IF(OR($A97="",$C97="",$D97="",$C97&gt;BT$6,$D97&lt;BT$9),"",IF($J97="里程碑","◆",""))</f>
        <v/>
      </c>
      <c r="BU97" s="8" t="str">
        <f>IF(OR($A97="",$C97="",$D97="",$C97&gt;BU$6,$D97&lt;BU$9),"",IF($J97="里程碑","◆",""))</f>
        <v/>
      </c>
      <c r="BV97" s="8" t="str">
        <f>IF(OR($A97="",$C97="",$D97="",$C97&gt;BV$6,$D97&lt;BV$9),"",IF($J97="里程碑","◆",""))</f>
        <v/>
      </c>
      <c r="BW97" s="8" t="str">
        <f>IF(OR($A97="",$C97="",$D97="",$C97&gt;BW$6,$D97&lt;BW$9),"",IF($J97="里程碑","◆",""))</f>
        <v/>
      </c>
      <c r="BX97" s="8" t="str">
        <f>IF(OR($A97="",$C97="",$D97="",$C97&gt;BX$6,$D97&lt;BX$9),"",IF($J97="里程碑","◆",""))</f>
        <v/>
      </c>
      <c r="BY97" s="8" t="str">
        <f>IF(OR($A97="",$C97="",$D97="",$C97&gt;BY$6,$D97&lt;BY$9),"",IF($J97="里程碑","◆",""))</f>
        <v/>
      </c>
      <c r="BZ97" s="8" t="str">
        <f>IF(OR($A97="",$C97="",$D97="",$C97&gt;BZ$6,$D97&lt;BZ$9),"",IF($J97="里程碑","◆",""))</f>
        <v/>
      </c>
      <c r="CA97" s="8" t="str">
        <f>IF(OR($A97="",$C97="",$D97="",$C97&gt;CA$6,$D97&lt;CA$9),"",IF($J97="里程碑","◆",""))</f>
        <v/>
      </c>
      <c r="CB97" s="8" t="str">
        <f>IF(OR($A97="",$C97="",$D97="",$C97&gt;CB$6,$D97&lt;CB$9),"",IF($J97="里程碑","◆",""))</f>
        <v/>
      </c>
      <c r="CC97" s="8" t="str">
        <f>IF(OR($A97="",$C97="",$D97="",$C97&gt;CC$6,$D97&lt;CC$9),"",IF($J97="里程碑","◆",""))</f>
        <v/>
      </c>
      <c r="CD97" s="8" t="str">
        <f>IF(OR($A97="",$C97="",$D97="",$C97&gt;CD$6,$D97&lt;CD$9),"",IF($J97="里程碑","◆",""))</f>
        <v/>
      </c>
      <c r="CE97" s="8" t="str">
        <f>IF(OR($A97="",$C97="",$D97="",$C97&gt;CE$6,$D97&lt;CE$9),"",IF($J97="里程碑","◆",""))</f>
        <v/>
      </c>
      <c r="CF97" s="8" t="str">
        <f>IF(OR($A97="",$C97="",$D97="",$C97&gt;CF$6,$D97&lt;CF$9),"",IF($J97="里程碑","◆",""))</f>
        <v/>
      </c>
      <c r="CG97" s="8" t="str">
        <f>IF(OR($A97="",$C97="",$D97="",$C97&gt;CG$6,$D97&lt;CG$9),"",IF($J97="里程碑","◆",""))</f>
        <v/>
      </c>
      <c r="CH97" s="8" t="str">
        <f>IF(OR($A97="",$C97="",$D97="",$C97&gt;CH$6,$D97&lt;CH$9),"",IF($J97="里程碑","◆",""))</f>
        <v/>
      </c>
      <c r="CI97" s="8" t="str">
        <f>IF(OR($A97="",$C97="",$D97="",$C97&gt;CI$6,$D97&lt;CI$9),"",IF($J97="里程碑","◆",""))</f>
        <v/>
      </c>
      <c r="CJ97" s="8" t="str">
        <f>IF(OR($A97="",$C97="",$D97="",$C97&gt;CJ$6,$D97&lt;CJ$9),"",IF($J97="里程碑","◆",""))</f>
        <v/>
      </c>
      <c r="CK97" s="8" t="str">
        <f>IF(OR($A97="",$C97="",$D97="",$C97&gt;CK$6,$D97&lt;CK$9),"",IF($J97="里程碑","◆",""))</f>
        <v/>
      </c>
      <c r="CL97" s="8" t="str">
        <f>IF(OR($A97="",$C97="",$D97="",$C97&gt;CL$6,$D97&lt;CL$9),"",IF($J97="里程碑","◆",""))</f>
        <v/>
      </c>
      <c r="CM97" s="8" t="str">
        <f>IF(OR($A97="",$C97="",$D97="",$C97&gt;CM$6,$D97&lt;CM$9),"",IF($J97="里程碑","◆",""))</f>
        <v/>
      </c>
      <c r="CN97" s="8" t="str">
        <f>IF(OR($A97="",$C97="",$D97="",$C97&gt;CN$6,$D97&lt;CN$9),"",IF($J97="里程碑","◆",""))</f>
        <v/>
      </c>
      <c r="CO97" s="8" t="str">
        <f>IF(OR($A97="",$C97="",$D97="",$C97&gt;CO$6,$D97&lt;CO$9),"",IF($J97="里程碑","◆",""))</f>
        <v/>
      </c>
      <c r="CP97" s="8" t="str">
        <f>IF(OR($A97="",$C97="",$D97="",$C97&gt;CP$6,$D97&lt;CP$9),"",IF($J97="里程碑","◆",""))</f>
        <v/>
      </c>
      <c r="CQ97" s="8" t="str">
        <f>IF(OR($A97="",$C97="",$D97="",$C97&gt;CQ$6,$D97&lt;CQ$9),"",IF($J97="里程碑","◆",""))</f>
        <v/>
      </c>
      <c r="CR97" s="8" t="str">
        <f>IF(OR($A97="",$C97="",$D97="",$C97&gt;CR$6,$D97&lt;CR$9),"",IF($J97="里程碑","◆",""))</f>
        <v/>
      </c>
      <c r="CS97" s="8" t="str">
        <f>IF(OR($A97="",$C97="",$D97="",$C97&gt;CS$6,$D97&lt;CS$9),"",IF($J97="里程碑","◆",""))</f>
        <v/>
      </c>
      <c r="CT97" s="8" t="str">
        <f>IF(OR($A97="",$C97="",$D97="",$C97&gt;CT$6,$D97&lt;CT$9),"",IF($J97="里程碑","◆",""))</f>
        <v/>
      </c>
      <c r="CU97" s="8" t="str">
        <f>IF(OR($A97="",$C97="",$D97="",$C97&gt;CU$6,$D97&lt;CU$9),"",IF($J97="里程碑","◆",""))</f>
        <v/>
      </c>
      <c r="CV97" s="8" t="str">
        <f>IF(OR($A97="",$C97="",$D97="",$C97&gt;CV$6,$D97&lt;CV$9),"",IF($J97="里程碑","◆",""))</f>
        <v/>
      </c>
      <c r="CW97" s="8" t="str">
        <f>IF(OR($A97="",$C97="",$D97="",$C97&gt;CW$6,$D97&lt;CW$9),"",IF($J97="里程碑","◆",""))</f>
        <v/>
      </c>
      <c r="CX97" s="8" t="str">
        <f>IF(OR($A97="",$C97="",$D97="",$C97&gt;CX$6,$D97&lt;CX$9),"",IF($J97="里程碑","◆",""))</f>
        <v/>
      </c>
      <c r="CY97" s="8" t="str">
        <f>IF(OR($A97="",$C97="",$D97="",$C97&gt;CY$6,$D97&lt;CY$9),"",IF($J97="里程碑","◆",""))</f>
        <v/>
      </c>
      <c r="CZ97" s="8" t="str">
        <f>IF(OR($A97="",$C97="",$D97="",$C97&gt;CZ$6,$D97&lt;CZ$9),"",IF($J97="里程碑","◆",""))</f>
        <v/>
      </c>
      <c r="DA97" s="8" t="str">
        <f>IF(OR($A97="",$C97="",$D97="",$C97&gt;DA$6,$D97&lt;DA$9),"",IF($J97="里程碑","◆",""))</f>
        <v/>
      </c>
      <c r="DB97" s="8" t="str">
        <f>IF(OR($A97="",$C97="",$D97="",$C97&gt;DB$6,$D97&lt;DB$9),"",IF($J97="里程碑","◆",""))</f>
        <v/>
      </c>
      <c r="DC97" s="1" t="str">
        <f>IF(ROW()-9&gt;$DH$3,"",MATCH(ROW()-9,排期计算!$U$10:$U$109,0))</f>
        <v/>
      </c>
      <c r="DD97" s="1" t="str">
        <f>IF($DC97="","",INDEX(排期计算!$L$10:$L$109,$DC97))</f>
        <v/>
      </c>
      <c r="DE97" s="1"/>
      <c r="DF97" s="1"/>
      <c r="DG97" s="1"/>
      <c r="DH97" s="1"/>
      <c r="DI97" s="1"/>
      <c r="DJ97" s="1"/>
      <c r="DK97" s="1"/>
    </row>
    <row r="98" spans="1:115" ht="24.95" customHeight="1">
      <c r="A98" s="9" t="str">
        <f>IF($DC98="","",IF(AND(INDEX(排期计算!$A$10:$A$109,$DC98)="",NOT(ISNUMBER(INDEX(排期计算!$A$10:$A$109,$DC98)))),"",INDEX(排期计算!$A$10:$A$109,$DC98)))</f>
        <v/>
      </c>
      <c r="B98" s="1" t="str">
        <f>IF($DC98="","",REPT("　",$DD98-1)&amp;INDEX(排期计算!$B$10:$B$109,$DC98))</f>
        <v/>
      </c>
      <c r="C98" s="3" t="str">
        <f>IF($DC98="","",IF(AND(INDEX(排期计算!$M$10:$M$109,$DC98)="",NOT(ISNUMBER(INDEX(排期计算!$M$10:$M$109,$DC98)))),"",INDEX(排期计算!$M$10:$M$109,$DC98)))</f>
        <v/>
      </c>
      <c r="D98" s="3" t="str">
        <f>IF($DC98="","",IF(AND(INDEX(排期计算!$N$10:$N$109,$DC98)="",NOT(ISNUMBER(INDEX(排期计算!$N$10:$N$109,$DC98)))),"",INDEX(排期计算!$N$10:$N$109,$DC98)))</f>
        <v/>
      </c>
      <c r="E98" s="1" t="str">
        <f>IF(OR($C98="",$D98=""),"",IF($J98="里程碑",0,NETWORKDAYS($C98,$D98)))</f>
        <v/>
      </c>
      <c r="F98" s="7" t="str">
        <f>IF($DC98="","",IF(AND(INDEX(排期计算!$O$10:$O$109,$DC98)="",NOT(ISNUMBER(INDEX(排期计算!$O$10:$O$109,$DC98)))),"",INDEX(排期计算!$O$10:$O$109,$DC98)))</f>
        <v/>
      </c>
      <c r="G98" s="8" t="str">
        <f>IF($A98="","",IF(OR($C98="",$D98=""),"未排期",IF($F98&gt;=1,"已完成",IF($D98&lt;$B$4,"逾期",IF($C98&gt;$B$4,"未开始","进行中")))))</f>
        <v/>
      </c>
      <c r="H98" s="1" t="str">
        <f>IF($DC98="","",IF(AND(INDEX(排期计算!$C$10:$C$109,$DC98)="",NOT(ISNUMBER(INDEX(排期计算!$C$10:$C$109,$DC98)))),"",INDEX(排期计算!$C$10:$C$109,$DC98)))</f>
        <v/>
      </c>
      <c r="I98" s="1" t="str">
        <f>IF($DC98="","",IF(AND(INDEX(排期计算!$H$10:$H$109,$DC98)="",NOT(ISNUMBER(INDEX(排期计算!$H$10:$H$109,$DC98)))),"",INDEX(排期计算!$H$10:$H$109,$DC98)))</f>
        <v/>
      </c>
      <c r="J98" s="1" t="str">
        <f>IF($DC98="","",IF(AND(INDEX(排期计算!$K$10:$K$109,$DC98)="",NOT(ISNUMBER(INDEX(排期计算!$K$10:$K$109,$DC98)))),"",INDEX(排期计算!$K$10:$K$109,$DC98)))</f>
        <v/>
      </c>
      <c r="K98" s="8" t="str">
        <f>IF(OR($A98="",$C98="",$D98="",$C98&gt;K$6,$D98&lt;K$9),"",IF($J98="里程碑","◆",""))</f>
        <v/>
      </c>
      <c r="L98" s="8" t="str">
        <f>IF(OR($A98="",$C98="",$D98="",$C98&gt;L$6,$D98&lt;L$9),"",IF($J98="里程碑","◆",""))</f>
        <v/>
      </c>
      <c r="M98" s="8" t="str">
        <f>IF(OR($A98="",$C98="",$D98="",$C98&gt;M$6,$D98&lt;M$9),"",IF($J98="里程碑","◆",""))</f>
        <v/>
      </c>
      <c r="N98" s="8" t="str">
        <f>IF(OR($A98="",$C98="",$D98="",$C98&gt;N$6,$D98&lt;N$9),"",IF($J98="里程碑","◆",""))</f>
        <v/>
      </c>
      <c r="O98" s="8" t="str">
        <f>IF(OR($A98="",$C98="",$D98="",$C98&gt;O$6,$D98&lt;O$9),"",IF($J98="里程碑","◆",""))</f>
        <v/>
      </c>
      <c r="P98" s="8" t="str">
        <f>IF(OR($A98="",$C98="",$D98="",$C98&gt;P$6,$D98&lt;P$9),"",IF($J98="里程碑","◆",""))</f>
        <v/>
      </c>
      <c r="Q98" s="8" t="str">
        <f>IF(OR($A98="",$C98="",$D98="",$C98&gt;Q$6,$D98&lt;Q$9),"",IF($J98="里程碑","◆",""))</f>
        <v/>
      </c>
      <c r="R98" s="8" t="str">
        <f>IF(OR($A98="",$C98="",$D98="",$C98&gt;R$6,$D98&lt;R$9),"",IF($J98="里程碑","◆",""))</f>
        <v/>
      </c>
      <c r="S98" s="8" t="str">
        <f>IF(OR($A98="",$C98="",$D98="",$C98&gt;S$6,$D98&lt;S$9),"",IF($J98="里程碑","◆",""))</f>
        <v/>
      </c>
      <c r="T98" s="8" t="str">
        <f>IF(OR($A98="",$C98="",$D98="",$C98&gt;T$6,$D98&lt;T$9),"",IF($J98="里程碑","◆",""))</f>
        <v/>
      </c>
      <c r="U98" s="8" t="str">
        <f>IF(OR($A98="",$C98="",$D98="",$C98&gt;U$6,$D98&lt;U$9),"",IF($J98="里程碑","◆",""))</f>
        <v/>
      </c>
      <c r="V98" s="8" t="str">
        <f>IF(OR($A98="",$C98="",$D98="",$C98&gt;V$6,$D98&lt;V$9),"",IF($J98="里程碑","◆",""))</f>
        <v/>
      </c>
      <c r="W98" s="8" t="str">
        <f>IF(OR($A98="",$C98="",$D98="",$C98&gt;W$6,$D98&lt;W$9),"",IF($J98="里程碑","◆",""))</f>
        <v/>
      </c>
      <c r="X98" s="8" t="str">
        <f>IF(OR($A98="",$C98="",$D98="",$C98&gt;X$6,$D98&lt;X$9),"",IF($J98="里程碑","◆",""))</f>
        <v/>
      </c>
      <c r="Y98" s="8" t="str">
        <f>IF(OR($A98="",$C98="",$D98="",$C98&gt;Y$6,$D98&lt;Y$9),"",IF($J98="里程碑","◆",""))</f>
        <v/>
      </c>
      <c r="Z98" s="8" t="str">
        <f>IF(OR($A98="",$C98="",$D98="",$C98&gt;Z$6,$D98&lt;Z$9),"",IF($J98="里程碑","◆",""))</f>
        <v/>
      </c>
      <c r="AA98" s="8" t="str">
        <f>IF(OR($A98="",$C98="",$D98="",$C98&gt;AA$6,$D98&lt;AA$9),"",IF($J98="里程碑","◆",""))</f>
        <v/>
      </c>
      <c r="AB98" s="8" t="str">
        <f>IF(OR($A98="",$C98="",$D98="",$C98&gt;AB$6,$D98&lt;AB$9),"",IF($J98="里程碑","◆",""))</f>
        <v/>
      </c>
      <c r="AC98" s="8" t="str">
        <f>IF(OR($A98="",$C98="",$D98="",$C98&gt;AC$6,$D98&lt;AC$9),"",IF($J98="里程碑","◆",""))</f>
        <v/>
      </c>
      <c r="AD98" s="8" t="str">
        <f>IF(OR($A98="",$C98="",$D98="",$C98&gt;AD$6,$D98&lt;AD$9),"",IF($J98="里程碑","◆",""))</f>
        <v/>
      </c>
      <c r="AE98" s="8" t="str">
        <f>IF(OR($A98="",$C98="",$D98="",$C98&gt;AE$6,$D98&lt;AE$9),"",IF($J98="里程碑","◆",""))</f>
        <v/>
      </c>
      <c r="AF98" s="8" t="str">
        <f>IF(OR($A98="",$C98="",$D98="",$C98&gt;AF$6,$D98&lt;AF$9),"",IF($J98="里程碑","◆",""))</f>
        <v/>
      </c>
      <c r="AG98" s="8" t="str">
        <f>IF(OR($A98="",$C98="",$D98="",$C98&gt;AG$6,$D98&lt;AG$9),"",IF($J98="里程碑","◆",""))</f>
        <v/>
      </c>
      <c r="AH98" s="8" t="str">
        <f>IF(OR($A98="",$C98="",$D98="",$C98&gt;AH$6,$D98&lt;AH$9),"",IF($J98="里程碑","◆",""))</f>
        <v/>
      </c>
      <c r="AI98" s="8" t="str">
        <f>IF(OR($A98="",$C98="",$D98="",$C98&gt;AI$6,$D98&lt;AI$9),"",IF($J98="里程碑","◆",""))</f>
        <v/>
      </c>
      <c r="AJ98" s="8" t="str">
        <f>IF(OR($A98="",$C98="",$D98="",$C98&gt;AJ$6,$D98&lt;AJ$9),"",IF($J98="里程碑","◆",""))</f>
        <v/>
      </c>
      <c r="AK98" s="8" t="str">
        <f>IF(OR($A98="",$C98="",$D98="",$C98&gt;AK$6,$D98&lt;AK$9),"",IF($J98="里程碑","◆",""))</f>
        <v/>
      </c>
      <c r="AL98" s="8" t="str">
        <f>IF(OR($A98="",$C98="",$D98="",$C98&gt;AL$6,$D98&lt;AL$9),"",IF($J98="里程碑","◆",""))</f>
        <v/>
      </c>
      <c r="AM98" s="8" t="str">
        <f>IF(OR($A98="",$C98="",$D98="",$C98&gt;AM$6,$D98&lt;AM$9),"",IF($J98="里程碑","◆",""))</f>
        <v/>
      </c>
      <c r="AN98" s="8" t="str">
        <f>IF(OR($A98="",$C98="",$D98="",$C98&gt;AN$6,$D98&lt;AN$9),"",IF($J98="里程碑","◆",""))</f>
        <v/>
      </c>
      <c r="AO98" s="8" t="str">
        <f>IF(OR($A98="",$C98="",$D98="",$C98&gt;AO$6,$D98&lt;AO$9),"",IF($J98="里程碑","◆",""))</f>
        <v/>
      </c>
      <c r="AP98" s="8" t="str">
        <f>IF(OR($A98="",$C98="",$D98="",$C98&gt;AP$6,$D98&lt;AP$9),"",IF($J98="里程碑","◆",""))</f>
        <v/>
      </c>
      <c r="AQ98" s="8" t="str">
        <f>IF(OR($A98="",$C98="",$D98="",$C98&gt;AQ$6,$D98&lt;AQ$9),"",IF($J98="里程碑","◆",""))</f>
        <v/>
      </c>
      <c r="AR98" s="8" t="str">
        <f>IF(OR($A98="",$C98="",$D98="",$C98&gt;AR$6,$D98&lt;AR$9),"",IF($J98="里程碑","◆",""))</f>
        <v/>
      </c>
      <c r="AS98" s="8" t="str">
        <f>IF(OR($A98="",$C98="",$D98="",$C98&gt;AS$6,$D98&lt;AS$9),"",IF($J98="里程碑","◆",""))</f>
        <v/>
      </c>
      <c r="AT98" s="8" t="str">
        <f>IF(OR($A98="",$C98="",$D98="",$C98&gt;AT$6,$D98&lt;AT$9),"",IF($J98="里程碑","◆",""))</f>
        <v/>
      </c>
      <c r="AU98" s="8" t="str">
        <f>IF(OR($A98="",$C98="",$D98="",$C98&gt;AU$6,$D98&lt;AU$9),"",IF($J98="里程碑","◆",""))</f>
        <v/>
      </c>
      <c r="AV98" s="8" t="str">
        <f>IF(OR($A98="",$C98="",$D98="",$C98&gt;AV$6,$D98&lt;AV$9),"",IF($J98="里程碑","◆",""))</f>
        <v/>
      </c>
      <c r="AW98" s="8" t="str">
        <f>IF(OR($A98="",$C98="",$D98="",$C98&gt;AW$6,$D98&lt;AW$9),"",IF($J98="里程碑","◆",""))</f>
        <v/>
      </c>
      <c r="AX98" s="8" t="str">
        <f>IF(OR($A98="",$C98="",$D98="",$C98&gt;AX$6,$D98&lt;AX$9),"",IF($J98="里程碑","◆",""))</f>
        <v/>
      </c>
      <c r="AY98" s="8" t="str">
        <f>IF(OR($A98="",$C98="",$D98="",$C98&gt;AY$6,$D98&lt;AY$9),"",IF($J98="里程碑","◆",""))</f>
        <v/>
      </c>
      <c r="AZ98" s="8" t="str">
        <f>IF(OR($A98="",$C98="",$D98="",$C98&gt;AZ$6,$D98&lt;AZ$9),"",IF($J98="里程碑","◆",""))</f>
        <v/>
      </c>
      <c r="BA98" s="8" t="str">
        <f>IF(OR($A98="",$C98="",$D98="",$C98&gt;BA$6,$D98&lt;BA$9),"",IF($J98="里程碑","◆",""))</f>
        <v/>
      </c>
      <c r="BB98" s="8" t="str">
        <f>IF(OR($A98="",$C98="",$D98="",$C98&gt;BB$6,$D98&lt;BB$9),"",IF($J98="里程碑","◆",""))</f>
        <v/>
      </c>
      <c r="BC98" s="8" t="str">
        <f>IF(OR($A98="",$C98="",$D98="",$C98&gt;BC$6,$D98&lt;BC$9),"",IF($J98="里程碑","◆",""))</f>
        <v/>
      </c>
      <c r="BD98" s="8" t="str">
        <f>IF(OR($A98="",$C98="",$D98="",$C98&gt;BD$6,$D98&lt;BD$9),"",IF($J98="里程碑","◆",""))</f>
        <v/>
      </c>
      <c r="BE98" s="8" t="str">
        <f>IF(OR($A98="",$C98="",$D98="",$C98&gt;BE$6,$D98&lt;BE$9),"",IF($J98="里程碑","◆",""))</f>
        <v/>
      </c>
      <c r="BF98" s="8" t="str">
        <f>IF(OR($A98="",$C98="",$D98="",$C98&gt;BF$6,$D98&lt;BF$9),"",IF($J98="里程碑","◆",""))</f>
        <v/>
      </c>
      <c r="BG98" s="8" t="str">
        <f>IF(OR($A98="",$C98="",$D98="",$C98&gt;BG$6,$D98&lt;BG$9),"",IF($J98="里程碑","◆",""))</f>
        <v/>
      </c>
      <c r="BH98" s="8" t="str">
        <f>IF(OR($A98="",$C98="",$D98="",$C98&gt;BH$6,$D98&lt;BH$9),"",IF($J98="里程碑","◆",""))</f>
        <v/>
      </c>
      <c r="BI98" s="8" t="str">
        <f>IF(OR($A98="",$C98="",$D98="",$C98&gt;BI$6,$D98&lt;BI$9),"",IF($J98="里程碑","◆",""))</f>
        <v/>
      </c>
      <c r="BJ98" s="8" t="str">
        <f>IF(OR($A98="",$C98="",$D98="",$C98&gt;BJ$6,$D98&lt;BJ$9),"",IF($J98="里程碑","◆",""))</f>
        <v/>
      </c>
      <c r="BK98" s="8" t="str">
        <f>IF(OR($A98="",$C98="",$D98="",$C98&gt;BK$6,$D98&lt;BK$9),"",IF($J98="里程碑","◆",""))</f>
        <v/>
      </c>
      <c r="BL98" s="8" t="str">
        <f>IF(OR($A98="",$C98="",$D98="",$C98&gt;BL$6,$D98&lt;BL$9),"",IF($J98="里程碑","◆",""))</f>
        <v/>
      </c>
      <c r="BM98" s="8" t="str">
        <f>IF(OR($A98="",$C98="",$D98="",$C98&gt;BM$6,$D98&lt;BM$9),"",IF($J98="里程碑","◆",""))</f>
        <v/>
      </c>
      <c r="BN98" s="8" t="str">
        <f>IF(OR($A98="",$C98="",$D98="",$C98&gt;BN$6,$D98&lt;BN$9),"",IF($J98="里程碑","◆",""))</f>
        <v/>
      </c>
      <c r="BO98" s="8" t="str">
        <f>IF(OR($A98="",$C98="",$D98="",$C98&gt;BO$6,$D98&lt;BO$9),"",IF($J98="里程碑","◆",""))</f>
        <v/>
      </c>
      <c r="BP98" s="8" t="str">
        <f>IF(OR($A98="",$C98="",$D98="",$C98&gt;BP$6,$D98&lt;BP$9),"",IF($J98="里程碑","◆",""))</f>
        <v/>
      </c>
      <c r="BQ98" s="8" t="str">
        <f>IF(OR($A98="",$C98="",$D98="",$C98&gt;BQ$6,$D98&lt;BQ$9),"",IF($J98="里程碑","◆",""))</f>
        <v/>
      </c>
      <c r="BR98" s="8" t="str">
        <f>IF(OR($A98="",$C98="",$D98="",$C98&gt;BR$6,$D98&lt;BR$9),"",IF($J98="里程碑","◆",""))</f>
        <v/>
      </c>
      <c r="BS98" s="8" t="str">
        <f>IF(OR($A98="",$C98="",$D98="",$C98&gt;BS$6,$D98&lt;BS$9),"",IF($J98="里程碑","◆",""))</f>
        <v/>
      </c>
      <c r="BT98" s="8" t="str">
        <f>IF(OR($A98="",$C98="",$D98="",$C98&gt;BT$6,$D98&lt;BT$9),"",IF($J98="里程碑","◆",""))</f>
        <v/>
      </c>
      <c r="BU98" s="8" t="str">
        <f>IF(OR($A98="",$C98="",$D98="",$C98&gt;BU$6,$D98&lt;BU$9),"",IF($J98="里程碑","◆",""))</f>
        <v/>
      </c>
      <c r="BV98" s="8" t="str">
        <f>IF(OR($A98="",$C98="",$D98="",$C98&gt;BV$6,$D98&lt;BV$9),"",IF($J98="里程碑","◆",""))</f>
        <v/>
      </c>
      <c r="BW98" s="8" t="str">
        <f>IF(OR($A98="",$C98="",$D98="",$C98&gt;BW$6,$D98&lt;BW$9),"",IF($J98="里程碑","◆",""))</f>
        <v/>
      </c>
      <c r="BX98" s="8" t="str">
        <f>IF(OR($A98="",$C98="",$D98="",$C98&gt;BX$6,$D98&lt;BX$9),"",IF($J98="里程碑","◆",""))</f>
        <v/>
      </c>
      <c r="BY98" s="8" t="str">
        <f>IF(OR($A98="",$C98="",$D98="",$C98&gt;BY$6,$D98&lt;BY$9),"",IF($J98="里程碑","◆",""))</f>
        <v/>
      </c>
      <c r="BZ98" s="8" t="str">
        <f>IF(OR($A98="",$C98="",$D98="",$C98&gt;BZ$6,$D98&lt;BZ$9),"",IF($J98="里程碑","◆",""))</f>
        <v/>
      </c>
      <c r="CA98" s="8" t="str">
        <f>IF(OR($A98="",$C98="",$D98="",$C98&gt;CA$6,$D98&lt;CA$9),"",IF($J98="里程碑","◆",""))</f>
        <v/>
      </c>
      <c r="CB98" s="8" t="str">
        <f>IF(OR($A98="",$C98="",$D98="",$C98&gt;CB$6,$D98&lt;CB$9),"",IF($J98="里程碑","◆",""))</f>
        <v/>
      </c>
      <c r="CC98" s="8" t="str">
        <f>IF(OR($A98="",$C98="",$D98="",$C98&gt;CC$6,$D98&lt;CC$9),"",IF($J98="里程碑","◆",""))</f>
        <v/>
      </c>
      <c r="CD98" s="8" t="str">
        <f>IF(OR($A98="",$C98="",$D98="",$C98&gt;CD$6,$D98&lt;CD$9),"",IF($J98="里程碑","◆",""))</f>
        <v/>
      </c>
      <c r="CE98" s="8" t="str">
        <f>IF(OR($A98="",$C98="",$D98="",$C98&gt;CE$6,$D98&lt;CE$9),"",IF($J98="里程碑","◆",""))</f>
        <v/>
      </c>
      <c r="CF98" s="8" t="str">
        <f>IF(OR($A98="",$C98="",$D98="",$C98&gt;CF$6,$D98&lt;CF$9),"",IF($J98="里程碑","◆",""))</f>
        <v/>
      </c>
      <c r="CG98" s="8" t="str">
        <f>IF(OR($A98="",$C98="",$D98="",$C98&gt;CG$6,$D98&lt;CG$9),"",IF($J98="里程碑","◆",""))</f>
        <v/>
      </c>
      <c r="CH98" s="8" t="str">
        <f>IF(OR($A98="",$C98="",$D98="",$C98&gt;CH$6,$D98&lt;CH$9),"",IF($J98="里程碑","◆",""))</f>
        <v/>
      </c>
      <c r="CI98" s="8" t="str">
        <f>IF(OR($A98="",$C98="",$D98="",$C98&gt;CI$6,$D98&lt;CI$9),"",IF($J98="里程碑","◆",""))</f>
        <v/>
      </c>
      <c r="CJ98" s="8" t="str">
        <f>IF(OR($A98="",$C98="",$D98="",$C98&gt;CJ$6,$D98&lt;CJ$9),"",IF($J98="里程碑","◆",""))</f>
        <v/>
      </c>
      <c r="CK98" s="8" t="str">
        <f>IF(OR($A98="",$C98="",$D98="",$C98&gt;CK$6,$D98&lt;CK$9),"",IF($J98="里程碑","◆",""))</f>
        <v/>
      </c>
      <c r="CL98" s="8" t="str">
        <f>IF(OR($A98="",$C98="",$D98="",$C98&gt;CL$6,$D98&lt;CL$9),"",IF($J98="里程碑","◆",""))</f>
        <v/>
      </c>
      <c r="CM98" s="8" t="str">
        <f>IF(OR($A98="",$C98="",$D98="",$C98&gt;CM$6,$D98&lt;CM$9),"",IF($J98="里程碑","◆",""))</f>
        <v/>
      </c>
      <c r="CN98" s="8" t="str">
        <f>IF(OR($A98="",$C98="",$D98="",$C98&gt;CN$6,$D98&lt;CN$9),"",IF($J98="里程碑","◆",""))</f>
        <v/>
      </c>
      <c r="CO98" s="8" t="str">
        <f>IF(OR($A98="",$C98="",$D98="",$C98&gt;CO$6,$D98&lt;CO$9),"",IF($J98="里程碑","◆",""))</f>
        <v/>
      </c>
      <c r="CP98" s="8" t="str">
        <f>IF(OR($A98="",$C98="",$D98="",$C98&gt;CP$6,$D98&lt;CP$9),"",IF($J98="里程碑","◆",""))</f>
        <v/>
      </c>
      <c r="CQ98" s="8" t="str">
        <f>IF(OR($A98="",$C98="",$D98="",$C98&gt;CQ$6,$D98&lt;CQ$9),"",IF($J98="里程碑","◆",""))</f>
        <v/>
      </c>
      <c r="CR98" s="8" t="str">
        <f>IF(OR($A98="",$C98="",$D98="",$C98&gt;CR$6,$D98&lt;CR$9),"",IF($J98="里程碑","◆",""))</f>
        <v/>
      </c>
      <c r="CS98" s="8" t="str">
        <f>IF(OR($A98="",$C98="",$D98="",$C98&gt;CS$6,$D98&lt;CS$9),"",IF($J98="里程碑","◆",""))</f>
        <v/>
      </c>
      <c r="CT98" s="8" t="str">
        <f>IF(OR($A98="",$C98="",$D98="",$C98&gt;CT$6,$D98&lt;CT$9),"",IF($J98="里程碑","◆",""))</f>
        <v/>
      </c>
      <c r="CU98" s="8" t="str">
        <f>IF(OR($A98="",$C98="",$D98="",$C98&gt;CU$6,$D98&lt;CU$9),"",IF($J98="里程碑","◆",""))</f>
        <v/>
      </c>
      <c r="CV98" s="8" t="str">
        <f>IF(OR($A98="",$C98="",$D98="",$C98&gt;CV$6,$D98&lt;CV$9),"",IF($J98="里程碑","◆",""))</f>
        <v/>
      </c>
      <c r="CW98" s="8" t="str">
        <f>IF(OR($A98="",$C98="",$D98="",$C98&gt;CW$6,$D98&lt;CW$9),"",IF($J98="里程碑","◆",""))</f>
        <v/>
      </c>
      <c r="CX98" s="8" t="str">
        <f>IF(OR($A98="",$C98="",$D98="",$C98&gt;CX$6,$D98&lt;CX$9),"",IF($J98="里程碑","◆",""))</f>
        <v/>
      </c>
      <c r="CY98" s="8" t="str">
        <f>IF(OR($A98="",$C98="",$D98="",$C98&gt;CY$6,$D98&lt;CY$9),"",IF($J98="里程碑","◆",""))</f>
        <v/>
      </c>
      <c r="CZ98" s="8" t="str">
        <f>IF(OR($A98="",$C98="",$D98="",$C98&gt;CZ$6,$D98&lt;CZ$9),"",IF($J98="里程碑","◆",""))</f>
        <v/>
      </c>
      <c r="DA98" s="8" t="str">
        <f>IF(OR($A98="",$C98="",$D98="",$C98&gt;DA$6,$D98&lt;DA$9),"",IF($J98="里程碑","◆",""))</f>
        <v/>
      </c>
      <c r="DB98" s="8" t="str">
        <f>IF(OR($A98="",$C98="",$D98="",$C98&gt;DB$6,$D98&lt;DB$9),"",IF($J98="里程碑","◆",""))</f>
        <v/>
      </c>
      <c r="DC98" s="1" t="str">
        <f>IF(ROW()-9&gt;$DH$3,"",MATCH(ROW()-9,排期计算!$U$10:$U$109,0))</f>
        <v/>
      </c>
      <c r="DD98" s="1" t="str">
        <f>IF($DC98="","",INDEX(排期计算!$L$10:$L$109,$DC98))</f>
        <v/>
      </c>
      <c r="DE98" s="1"/>
      <c r="DF98" s="1"/>
      <c r="DG98" s="1"/>
      <c r="DH98" s="1"/>
      <c r="DI98" s="1"/>
      <c r="DJ98" s="1"/>
      <c r="DK98" s="1"/>
    </row>
    <row r="99" spans="1:115" ht="24.95" customHeight="1">
      <c r="A99" s="9" t="str">
        <f>IF($DC99="","",IF(AND(INDEX(排期计算!$A$10:$A$109,$DC99)="",NOT(ISNUMBER(INDEX(排期计算!$A$10:$A$109,$DC99)))),"",INDEX(排期计算!$A$10:$A$109,$DC99)))</f>
        <v/>
      </c>
      <c r="B99" s="1" t="str">
        <f>IF($DC99="","",REPT("　",$DD99-1)&amp;INDEX(排期计算!$B$10:$B$109,$DC99))</f>
        <v/>
      </c>
      <c r="C99" s="3" t="str">
        <f>IF($DC99="","",IF(AND(INDEX(排期计算!$M$10:$M$109,$DC99)="",NOT(ISNUMBER(INDEX(排期计算!$M$10:$M$109,$DC99)))),"",INDEX(排期计算!$M$10:$M$109,$DC99)))</f>
        <v/>
      </c>
      <c r="D99" s="3" t="str">
        <f>IF($DC99="","",IF(AND(INDEX(排期计算!$N$10:$N$109,$DC99)="",NOT(ISNUMBER(INDEX(排期计算!$N$10:$N$109,$DC99)))),"",INDEX(排期计算!$N$10:$N$109,$DC99)))</f>
        <v/>
      </c>
      <c r="E99" s="1" t="str">
        <f>IF(OR($C99="",$D99=""),"",IF($J99="里程碑",0,NETWORKDAYS($C99,$D99)))</f>
        <v/>
      </c>
      <c r="F99" s="7" t="str">
        <f>IF($DC99="","",IF(AND(INDEX(排期计算!$O$10:$O$109,$DC99)="",NOT(ISNUMBER(INDEX(排期计算!$O$10:$O$109,$DC99)))),"",INDEX(排期计算!$O$10:$O$109,$DC99)))</f>
        <v/>
      </c>
      <c r="G99" s="8" t="str">
        <f>IF($A99="","",IF(OR($C99="",$D99=""),"未排期",IF($F99&gt;=1,"已完成",IF($D99&lt;$B$4,"逾期",IF($C99&gt;$B$4,"未开始","进行中")))))</f>
        <v/>
      </c>
      <c r="H99" s="1" t="str">
        <f>IF($DC99="","",IF(AND(INDEX(排期计算!$C$10:$C$109,$DC99)="",NOT(ISNUMBER(INDEX(排期计算!$C$10:$C$109,$DC99)))),"",INDEX(排期计算!$C$10:$C$109,$DC99)))</f>
        <v/>
      </c>
      <c r="I99" s="1" t="str">
        <f>IF($DC99="","",IF(AND(INDEX(排期计算!$H$10:$H$109,$DC99)="",NOT(ISNUMBER(INDEX(排期计算!$H$10:$H$109,$DC99)))),"",INDEX(排期计算!$H$10:$H$109,$DC99)))</f>
        <v/>
      </c>
      <c r="J99" s="1" t="str">
        <f>IF($DC99="","",IF(AND(INDEX(排期计算!$K$10:$K$109,$DC99)="",NOT(ISNUMBER(INDEX(排期计算!$K$10:$K$109,$DC99)))),"",INDEX(排期计算!$K$10:$K$109,$DC99)))</f>
        <v/>
      </c>
      <c r="K99" s="8" t="str">
        <f>IF(OR($A99="",$C99="",$D99="",$C99&gt;K$6,$D99&lt;K$9),"",IF($J99="里程碑","◆",""))</f>
        <v/>
      </c>
      <c r="L99" s="8" t="str">
        <f>IF(OR($A99="",$C99="",$D99="",$C99&gt;L$6,$D99&lt;L$9),"",IF($J99="里程碑","◆",""))</f>
        <v/>
      </c>
      <c r="M99" s="8" t="str">
        <f>IF(OR($A99="",$C99="",$D99="",$C99&gt;M$6,$D99&lt;M$9),"",IF($J99="里程碑","◆",""))</f>
        <v/>
      </c>
      <c r="N99" s="8" t="str">
        <f>IF(OR($A99="",$C99="",$D99="",$C99&gt;N$6,$D99&lt;N$9),"",IF($J99="里程碑","◆",""))</f>
        <v/>
      </c>
      <c r="O99" s="8" t="str">
        <f>IF(OR($A99="",$C99="",$D99="",$C99&gt;O$6,$D99&lt;O$9),"",IF($J99="里程碑","◆",""))</f>
        <v/>
      </c>
      <c r="P99" s="8" t="str">
        <f>IF(OR($A99="",$C99="",$D99="",$C99&gt;P$6,$D99&lt;P$9),"",IF($J99="里程碑","◆",""))</f>
        <v/>
      </c>
      <c r="Q99" s="8" t="str">
        <f>IF(OR($A99="",$C99="",$D99="",$C99&gt;Q$6,$D99&lt;Q$9),"",IF($J99="里程碑","◆",""))</f>
        <v/>
      </c>
      <c r="R99" s="8" t="str">
        <f>IF(OR($A99="",$C99="",$D99="",$C99&gt;R$6,$D99&lt;R$9),"",IF($J99="里程碑","◆",""))</f>
        <v/>
      </c>
      <c r="S99" s="8" t="str">
        <f>IF(OR($A99="",$C99="",$D99="",$C99&gt;S$6,$D99&lt;S$9),"",IF($J99="里程碑","◆",""))</f>
        <v/>
      </c>
      <c r="T99" s="8" t="str">
        <f>IF(OR($A99="",$C99="",$D99="",$C99&gt;T$6,$D99&lt;T$9),"",IF($J99="里程碑","◆",""))</f>
        <v/>
      </c>
      <c r="U99" s="8" t="str">
        <f>IF(OR($A99="",$C99="",$D99="",$C99&gt;U$6,$D99&lt;U$9),"",IF($J99="里程碑","◆",""))</f>
        <v/>
      </c>
      <c r="V99" s="8" t="str">
        <f>IF(OR($A99="",$C99="",$D99="",$C99&gt;V$6,$D99&lt;V$9),"",IF($J99="里程碑","◆",""))</f>
        <v/>
      </c>
      <c r="W99" s="8" t="str">
        <f>IF(OR($A99="",$C99="",$D99="",$C99&gt;W$6,$D99&lt;W$9),"",IF($J99="里程碑","◆",""))</f>
        <v/>
      </c>
      <c r="X99" s="8" t="str">
        <f>IF(OR($A99="",$C99="",$D99="",$C99&gt;X$6,$D99&lt;X$9),"",IF($J99="里程碑","◆",""))</f>
        <v/>
      </c>
      <c r="Y99" s="8" t="str">
        <f>IF(OR($A99="",$C99="",$D99="",$C99&gt;Y$6,$D99&lt;Y$9),"",IF($J99="里程碑","◆",""))</f>
        <v/>
      </c>
      <c r="Z99" s="8" t="str">
        <f>IF(OR($A99="",$C99="",$D99="",$C99&gt;Z$6,$D99&lt;Z$9),"",IF($J99="里程碑","◆",""))</f>
        <v/>
      </c>
      <c r="AA99" s="8" t="str">
        <f>IF(OR($A99="",$C99="",$D99="",$C99&gt;AA$6,$D99&lt;AA$9),"",IF($J99="里程碑","◆",""))</f>
        <v/>
      </c>
      <c r="AB99" s="8" t="str">
        <f>IF(OR($A99="",$C99="",$D99="",$C99&gt;AB$6,$D99&lt;AB$9),"",IF($J99="里程碑","◆",""))</f>
        <v/>
      </c>
      <c r="AC99" s="8" t="str">
        <f>IF(OR($A99="",$C99="",$D99="",$C99&gt;AC$6,$D99&lt;AC$9),"",IF($J99="里程碑","◆",""))</f>
        <v/>
      </c>
      <c r="AD99" s="8" t="str">
        <f>IF(OR($A99="",$C99="",$D99="",$C99&gt;AD$6,$D99&lt;AD$9),"",IF($J99="里程碑","◆",""))</f>
        <v/>
      </c>
      <c r="AE99" s="8" t="str">
        <f>IF(OR($A99="",$C99="",$D99="",$C99&gt;AE$6,$D99&lt;AE$9),"",IF($J99="里程碑","◆",""))</f>
        <v/>
      </c>
      <c r="AF99" s="8" t="str">
        <f>IF(OR($A99="",$C99="",$D99="",$C99&gt;AF$6,$D99&lt;AF$9),"",IF($J99="里程碑","◆",""))</f>
        <v/>
      </c>
      <c r="AG99" s="8" t="str">
        <f>IF(OR($A99="",$C99="",$D99="",$C99&gt;AG$6,$D99&lt;AG$9),"",IF($J99="里程碑","◆",""))</f>
        <v/>
      </c>
      <c r="AH99" s="8" t="str">
        <f>IF(OR($A99="",$C99="",$D99="",$C99&gt;AH$6,$D99&lt;AH$9),"",IF($J99="里程碑","◆",""))</f>
        <v/>
      </c>
      <c r="AI99" s="8" t="str">
        <f>IF(OR($A99="",$C99="",$D99="",$C99&gt;AI$6,$D99&lt;AI$9),"",IF($J99="里程碑","◆",""))</f>
        <v/>
      </c>
      <c r="AJ99" s="8" t="str">
        <f>IF(OR($A99="",$C99="",$D99="",$C99&gt;AJ$6,$D99&lt;AJ$9),"",IF($J99="里程碑","◆",""))</f>
        <v/>
      </c>
      <c r="AK99" s="8" t="str">
        <f>IF(OR($A99="",$C99="",$D99="",$C99&gt;AK$6,$D99&lt;AK$9),"",IF($J99="里程碑","◆",""))</f>
        <v/>
      </c>
      <c r="AL99" s="8" t="str">
        <f>IF(OR($A99="",$C99="",$D99="",$C99&gt;AL$6,$D99&lt;AL$9),"",IF($J99="里程碑","◆",""))</f>
        <v/>
      </c>
      <c r="AM99" s="8" t="str">
        <f>IF(OR($A99="",$C99="",$D99="",$C99&gt;AM$6,$D99&lt;AM$9),"",IF($J99="里程碑","◆",""))</f>
        <v/>
      </c>
      <c r="AN99" s="8" t="str">
        <f>IF(OR($A99="",$C99="",$D99="",$C99&gt;AN$6,$D99&lt;AN$9),"",IF($J99="里程碑","◆",""))</f>
        <v/>
      </c>
      <c r="AO99" s="8" t="str">
        <f>IF(OR($A99="",$C99="",$D99="",$C99&gt;AO$6,$D99&lt;AO$9),"",IF($J99="里程碑","◆",""))</f>
        <v/>
      </c>
      <c r="AP99" s="8" t="str">
        <f>IF(OR($A99="",$C99="",$D99="",$C99&gt;AP$6,$D99&lt;AP$9),"",IF($J99="里程碑","◆",""))</f>
        <v/>
      </c>
      <c r="AQ99" s="8" t="str">
        <f>IF(OR($A99="",$C99="",$D99="",$C99&gt;AQ$6,$D99&lt;AQ$9),"",IF($J99="里程碑","◆",""))</f>
        <v/>
      </c>
      <c r="AR99" s="8" t="str">
        <f>IF(OR($A99="",$C99="",$D99="",$C99&gt;AR$6,$D99&lt;AR$9),"",IF($J99="里程碑","◆",""))</f>
        <v/>
      </c>
      <c r="AS99" s="8" t="str">
        <f>IF(OR($A99="",$C99="",$D99="",$C99&gt;AS$6,$D99&lt;AS$9),"",IF($J99="里程碑","◆",""))</f>
        <v/>
      </c>
      <c r="AT99" s="8" t="str">
        <f>IF(OR($A99="",$C99="",$D99="",$C99&gt;AT$6,$D99&lt;AT$9),"",IF($J99="里程碑","◆",""))</f>
        <v/>
      </c>
      <c r="AU99" s="8" t="str">
        <f>IF(OR($A99="",$C99="",$D99="",$C99&gt;AU$6,$D99&lt;AU$9),"",IF($J99="里程碑","◆",""))</f>
        <v/>
      </c>
      <c r="AV99" s="8" t="str">
        <f>IF(OR($A99="",$C99="",$D99="",$C99&gt;AV$6,$D99&lt;AV$9),"",IF($J99="里程碑","◆",""))</f>
        <v/>
      </c>
      <c r="AW99" s="8" t="str">
        <f>IF(OR($A99="",$C99="",$D99="",$C99&gt;AW$6,$D99&lt;AW$9),"",IF($J99="里程碑","◆",""))</f>
        <v/>
      </c>
      <c r="AX99" s="8" t="str">
        <f>IF(OR($A99="",$C99="",$D99="",$C99&gt;AX$6,$D99&lt;AX$9),"",IF($J99="里程碑","◆",""))</f>
        <v/>
      </c>
      <c r="AY99" s="8" t="str">
        <f>IF(OR($A99="",$C99="",$D99="",$C99&gt;AY$6,$D99&lt;AY$9),"",IF($J99="里程碑","◆",""))</f>
        <v/>
      </c>
      <c r="AZ99" s="8" t="str">
        <f>IF(OR($A99="",$C99="",$D99="",$C99&gt;AZ$6,$D99&lt;AZ$9),"",IF($J99="里程碑","◆",""))</f>
        <v/>
      </c>
      <c r="BA99" s="8" t="str">
        <f>IF(OR($A99="",$C99="",$D99="",$C99&gt;BA$6,$D99&lt;BA$9),"",IF($J99="里程碑","◆",""))</f>
        <v/>
      </c>
      <c r="BB99" s="8" t="str">
        <f>IF(OR($A99="",$C99="",$D99="",$C99&gt;BB$6,$D99&lt;BB$9),"",IF($J99="里程碑","◆",""))</f>
        <v/>
      </c>
      <c r="BC99" s="8" t="str">
        <f>IF(OR($A99="",$C99="",$D99="",$C99&gt;BC$6,$D99&lt;BC$9),"",IF($J99="里程碑","◆",""))</f>
        <v/>
      </c>
      <c r="BD99" s="8" t="str">
        <f>IF(OR($A99="",$C99="",$D99="",$C99&gt;BD$6,$D99&lt;BD$9),"",IF($J99="里程碑","◆",""))</f>
        <v/>
      </c>
      <c r="BE99" s="8" t="str">
        <f>IF(OR($A99="",$C99="",$D99="",$C99&gt;BE$6,$D99&lt;BE$9),"",IF($J99="里程碑","◆",""))</f>
        <v/>
      </c>
      <c r="BF99" s="8" t="str">
        <f>IF(OR($A99="",$C99="",$D99="",$C99&gt;BF$6,$D99&lt;BF$9),"",IF($J99="里程碑","◆",""))</f>
        <v/>
      </c>
      <c r="BG99" s="8" t="str">
        <f>IF(OR($A99="",$C99="",$D99="",$C99&gt;BG$6,$D99&lt;BG$9),"",IF($J99="里程碑","◆",""))</f>
        <v/>
      </c>
      <c r="BH99" s="8" t="str">
        <f>IF(OR($A99="",$C99="",$D99="",$C99&gt;BH$6,$D99&lt;BH$9),"",IF($J99="里程碑","◆",""))</f>
        <v/>
      </c>
      <c r="BI99" s="8" t="str">
        <f>IF(OR($A99="",$C99="",$D99="",$C99&gt;BI$6,$D99&lt;BI$9),"",IF($J99="里程碑","◆",""))</f>
        <v/>
      </c>
      <c r="BJ99" s="8" t="str">
        <f>IF(OR($A99="",$C99="",$D99="",$C99&gt;BJ$6,$D99&lt;BJ$9),"",IF($J99="里程碑","◆",""))</f>
        <v/>
      </c>
      <c r="BK99" s="8" t="str">
        <f>IF(OR($A99="",$C99="",$D99="",$C99&gt;BK$6,$D99&lt;BK$9),"",IF($J99="里程碑","◆",""))</f>
        <v/>
      </c>
      <c r="BL99" s="8" t="str">
        <f>IF(OR($A99="",$C99="",$D99="",$C99&gt;BL$6,$D99&lt;BL$9),"",IF($J99="里程碑","◆",""))</f>
        <v/>
      </c>
      <c r="BM99" s="8" t="str">
        <f>IF(OR($A99="",$C99="",$D99="",$C99&gt;BM$6,$D99&lt;BM$9),"",IF($J99="里程碑","◆",""))</f>
        <v/>
      </c>
      <c r="BN99" s="8" t="str">
        <f>IF(OR($A99="",$C99="",$D99="",$C99&gt;BN$6,$D99&lt;BN$9),"",IF($J99="里程碑","◆",""))</f>
        <v/>
      </c>
      <c r="BO99" s="8" t="str">
        <f>IF(OR($A99="",$C99="",$D99="",$C99&gt;BO$6,$D99&lt;BO$9),"",IF($J99="里程碑","◆",""))</f>
        <v/>
      </c>
      <c r="BP99" s="8" t="str">
        <f>IF(OR($A99="",$C99="",$D99="",$C99&gt;BP$6,$D99&lt;BP$9),"",IF($J99="里程碑","◆",""))</f>
        <v/>
      </c>
      <c r="BQ99" s="8" t="str">
        <f>IF(OR($A99="",$C99="",$D99="",$C99&gt;BQ$6,$D99&lt;BQ$9),"",IF($J99="里程碑","◆",""))</f>
        <v/>
      </c>
      <c r="BR99" s="8" t="str">
        <f>IF(OR($A99="",$C99="",$D99="",$C99&gt;BR$6,$D99&lt;BR$9),"",IF($J99="里程碑","◆",""))</f>
        <v/>
      </c>
      <c r="BS99" s="8" t="str">
        <f>IF(OR($A99="",$C99="",$D99="",$C99&gt;BS$6,$D99&lt;BS$9),"",IF($J99="里程碑","◆",""))</f>
        <v/>
      </c>
      <c r="BT99" s="8" t="str">
        <f>IF(OR($A99="",$C99="",$D99="",$C99&gt;BT$6,$D99&lt;BT$9),"",IF($J99="里程碑","◆",""))</f>
        <v/>
      </c>
      <c r="BU99" s="8" t="str">
        <f>IF(OR($A99="",$C99="",$D99="",$C99&gt;BU$6,$D99&lt;BU$9),"",IF($J99="里程碑","◆",""))</f>
        <v/>
      </c>
      <c r="BV99" s="8" t="str">
        <f>IF(OR($A99="",$C99="",$D99="",$C99&gt;BV$6,$D99&lt;BV$9),"",IF($J99="里程碑","◆",""))</f>
        <v/>
      </c>
      <c r="BW99" s="8" t="str">
        <f>IF(OR($A99="",$C99="",$D99="",$C99&gt;BW$6,$D99&lt;BW$9),"",IF($J99="里程碑","◆",""))</f>
        <v/>
      </c>
      <c r="BX99" s="8" t="str">
        <f>IF(OR($A99="",$C99="",$D99="",$C99&gt;BX$6,$D99&lt;BX$9),"",IF($J99="里程碑","◆",""))</f>
        <v/>
      </c>
      <c r="BY99" s="8" t="str">
        <f>IF(OR($A99="",$C99="",$D99="",$C99&gt;BY$6,$D99&lt;BY$9),"",IF($J99="里程碑","◆",""))</f>
        <v/>
      </c>
      <c r="BZ99" s="8" t="str">
        <f>IF(OR($A99="",$C99="",$D99="",$C99&gt;BZ$6,$D99&lt;BZ$9),"",IF($J99="里程碑","◆",""))</f>
        <v/>
      </c>
      <c r="CA99" s="8" t="str">
        <f>IF(OR($A99="",$C99="",$D99="",$C99&gt;CA$6,$D99&lt;CA$9),"",IF($J99="里程碑","◆",""))</f>
        <v/>
      </c>
      <c r="CB99" s="8" t="str">
        <f>IF(OR($A99="",$C99="",$D99="",$C99&gt;CB$6,$D99&lt;CB$9),"",IF($J99="里程碑","◆",""))</f>
        <v/>
      </c>
      <c r="CC99" s="8" t="str">
        <f>IF(OR($A99="",$C99="",$D99="",$C99&gt;CC$6,$D99&lt;CC$9),"",IF($J99="里程碑","◆",""))</f>
        <v/>
      </c>
      <c r="CD99" s="8" t="str">
        <f>IF(OR($A99="",$C99="",$D99="",$C99&gt;CD$6,$D99&lt;CD$9),"",IF($J99="里程碑","◆",""))</f>
        <v/>
      </c>
      <c r="CE99" s="8" t="str">
        <f>IF(OR($A99="",$C99="",$D99="",$C99&gt;CE$6,$D99&lt;CE$9),"",IF($J99="里程碑","◆",""))</f>
        <v/>
      </c>
      <c r="CF99" s="8" t="str">
        <f>IF(OR($A99="",$C99="",$D99="",$C99&gt;CF$6,$D99&lt;CF$9),"",IF($J99="里程碑","◆",""))</f>
        <v/>
      </c>
      <c r="CG99" s="8" t="str">
        <f>IF(OR($A99="",$C99="",$D99="",$C99&gt;CG$6,$D99&lt;CG$9),"",IF($J99="里程碑","◆",""))</f>
        <v/>
      </c>
      <c r="CH99" s="8" t="str">
        <f>IF(OR($A99="",$C99="",$D99="",$C99&gt;CH$6,$D99&lt;CH$9),"",IF($J99="里程碑","◆",""))</f>
        <v/>
      </c>
      <c r="CI99" s="8" t="str">
        <f>IF(OR($A99="",$C99="",$D99="",$C99&gt;CI$6,$D99&lt;CI$9),"",IF($J99="里程碑","◆",""))</f>
        <v/>
      </c>
      <c r="CJ99" s="8" t="str">
        <f>IF(OR($A99="",$C99="",$D99="",$C99&gt;CJ$6,$D99&lt;CJ$9),"",IF($J99="里程碑","◆",""))</f>
        <v/>
      </c>
      <c r="CK99" s="8" t="str">
        <f>IF(OR($A99="",$C99="",$D99="",$C99&gt;CK$6,$D99&lt;CK$9),"",IF($J99="里程碑","◆",""))</f>
        <v/>
      </c>
      <c r="CL99" s="8" t="str">
        <f>IF(OR($A99="",$C99="",$D99="",$C99&gt;CL$6,$D99&lt;CL$9),"",IF($J99="里程碑","◆",""))</f>
        <v/>
      </c>
      <c r="CM99" s="8" t="str">
        <f>IF(OR($A99="",$C99="",$D99="",$C99&gt;CM$6,$D99&lt;CM$9),"",IF($J99="里程碑","◆",""))</f>
        <v/>
      </c>
      <c r="CN99" s="8" t="str">
        <f>IF(OR($A99="",$C99="",$D99="",$C99&gt;CN$6,$D99&lt;CN$9),"",IF($J99="里程碑","◆",""))</f>
        <v/>
      </c>
      <c r="CO99" s="8" t="str">
        <f>IF(OR($A99="",$C99="",$D99="",$C99&gt;CO$6,$D99&lt;CO$9),"",IF($J99="里程碑","◆",""))</f>
        <v/>
      </c>
      <c r="CP99" s="8" t="str">
        <f>IF(OR($A99="",$C99="",$D99="",$C99&gt;CP$6,$D99&lt;CP$9),"",IF($J99="里程碑","◆",""))</f>
        <v/>
      </c>
      <c r="CQ99" s="8" t="str">
        <f>IF(OR($A99="",$C99="",$D99="",$C99&gt;CQ$6,$D99&lt;CQ$9),"",IF($J99="里程碑","◆",""))</f>
        <v/>
      </c>
      <c r="CR99" s="8" t="str">
        <f>IF(OR($A99="",$C99="",$D99="",$C99&gt;CR$6,$D99&lt;CR$9),"",IF($J99="里程碑","◆",""))</f>
        <v/>
      </c>
      <c r="CS99" s="8" t="str">
        <f>IF(OR($A99="",$C99="",$D99="",$C99&gt;CS$6,$D99&lt;CS$9),"",IF($J99="里程碑","◆",""))</f>
        <v/>
      </c>
      <c r="CT99" s="8" t="str">
        <f>IF(OR($A99="",$C99="",$D99="",$C99&gt;CT$6,$D99&lt;CT$9),"",IF($J99="里程碑","◆",""))</f>
        <v/>
      </c>
      <c r="CU99" s="8" t="str">
        <f>IF(OR($A99="",$C99="",$D99="",$C99&gt;CU$6,$D99&lt;CU$9),"",IF($J99="里程碑","◆",""))</f>
        <v/>
      </c>
      <c r="CV99" s="8" t="str">
        <f>IF(OR($A99="",$C99="",$D99="",$C99&gt;CV$6,$D99&lt;CV$9),"",IF($J99="里程碑","◆",""))</f>
        <v/>
      </c>
      <c r="CW99" s="8" t="str">
        <f>IF(OR($A99="",$C99="",$D99="",$C99&gt;CW$6,$D99&lt;CW$9),"",IF($J99="里程碑","◆",""))</f>
        <v/>
      </c>
      <c r="CX99" s="8" t="str">
        <f>IF(OR($A99="",$C99="",$D99="",$C99&gt;CX$6,$D99&lt;CX$9),"",IF($J99="里程碑","◆",""))</f>
        <v/>
      </c>
      <c r="CY99" s="8" t="str">
        <f>IF(OR($A99="",$C99="",$D99="",$C99&gt;CY$6,$D99&lt;CY$9),"",IF($J99="里程碑","◆",""))</f>
        <v/>
      </c>
      <c r="CZ99" s="8" t="str">
        <f>IF(OR($A99="",$C99="",$D99="",$C99&gt;CZ$6,$D99&lt;CZ$9),"",IF($J99="里程碑","◆",""))</f>
        <v/>
      </c>
      <c r="DA99" s="8" t="str">
        <f>IF(OR($A99="",$C99="",$D99="",$C99&gt;DA$6,$D99&lt;DA$9),"",IF($J99="里程碑","◆",""))</f>
        <v/>
      </c>
      <c r="DB99" s="8" t="str">
        <f>IF(OR($A99="",$C99="",$D99="",$C99&gt;DB$6,$D99&lt;DB$9),"",IF($J99="里程碑","◆",""))</f>
        <v/>
      </c>
      <c r="DC99" s="1" t="str">
        <f>IF(ROW()-9&gt;$DH$3,"",MATCH(ROW()-9,排期计算!$U$10:$U$109,0))</f>
        <v/>
      </c>
      <c r="DD99" s="1" t="str">
        <f>IF($DC99="","",INDEX(排期计算!$L$10:$L$109,$DC99))</f>
        <v/>
      </c>
      <c r="DE99" s="1"/>
      <c r="DF99" s="1"/>
      <c r="DG99" s="1"/>
      <c r="DH99" s="1"/>
      <c r="DI99" s="1"/>
      <c r="DJ99" s="1"/>
      <c r="DK99" s="1"/>
    </row>
    <row r="100" spans="1:115" ht="24.95" customHeight="1">
      <c r="A100" s="9" t="str">
        <f>IF($DC100="","",IF(AND(INDEX(排期计算!$A$10:$A$109,$DC100)="",NOT(ISNUMBER(INDEX(排期计算!$A$10:$A$109,$DC100)))),"",INDEX(排期计算!$A$10:$A$109,$DC100)))</f>
        <v/>
      </c>
      <c r="B100" s="1" t="str">
        <f>IF($DC100="","",REPT("　",$DD100-1)&amp;INDEX(排期计算!$B$10:$B$109,$DC100))</f>
        <v/>
      </c>
      <c r="C100" s="3" t="str">
        <f>IF($DC100="","",IF(AND(INDEX(排期计算!$M$10:$M$109,$DC100)="",NOT(ISNUMBER(INDEX(排期计算!$M$10:$M$109,$DC100)))),"",INDEX(排期计算!$M$10:$M$109,$DC100)))</f>
        <v/>
      </c>
      <c r="D100" s="3" t="str">
        <f>IF($DC100="","",IF(AND(INDEX(排期计算!$N$10:$N$109,$DC100)="",NOT(ISNUMBER(INDEX(排期计算!$N$10:$N$109,$DC100)))),"",INDEX(排期计算!$N$10:$N$109,$DC100)))</f>
        <v/>
      </c>
      <c r="E100" s="1" t="str">
        <f>IF(OR($C100="",$D100=""),"",IF($J100="里程碑",0,NETWORKDAYS($C100,$D100)))</f>
        <v/>
      </c>
      <c r="F100" s="7" t="str">
        <f>IF($DC100="","",IF(AND(INDEX(排期计算!$O$10:$O$109,$DC100)="",NOT(ISNUMBER(INDEX(排期计算!$O$10:$O$109,$DC100)))),"",INDEX(排期计算!$O$10:$O$109,$DC100)))</f>
        <v/>
      </c>
      <c r="G100" s="8" t="str">
        <f>IF($A100="","",IF(OR($C100="",$D100=""),"未排期",IF($F100&gt;=1,"已完成",IF($D100&lt;$B$4,"逾期",IF($C100&gt;$B$4,"未开始","进行中")))))</f>
        <v/>
      </c>
      <c r="H100" s="1" t="str">
        <f>IF($DC100="","",IF(AND(INDEX(排期计算!$C$10:$C$109,$DC100)="",NOT(ISNUMBER(INDEX(排期计算!$C$10:$C$109,$DC100)))),"",INDEX(排期计算!$C$10:$C$109,$DC100)))</f>
        <v/>
      </c>
      <c r="I100" s="1" t="str">
        <f>IF($DC100="","",IF(AND(INDEX(排期计算!$H$10:$H$109,$DC100)="",NOT(ISNUMBER(INDEX(排期计算!$H$10:$H$109,$DC100)))),"",INDEX(排期计算!$H$10:$H$109,$DC100)))</f>
        <v/>
      </c>
      <c r="J100" s="1" t="str">
        <f>IF($DC100="","",IF(AND(INDEX(排期计算!$K$10:$K$109,$DC100)="",NOT(ISNUMBER(INDEX(排期计算!$K$10:$K$109,$DC100)))),"",INDEX(排期计算!$K$10:$K$109,$DC100)))</f>
        <v/>
      </c>
      <c r="K100" s="8" t="str">
        <f>IF(OR($A100="",$C100="",$D100="",$C100&gt;K$6,$D100&lt;K$9),"",IF($J100="里程碑","◆",""))</f>
        <v/>
      </c>
      <c r="L100" s="8" t="str">
        <f>IF(OR($A100="",$C100="",$D100="",$C100&gt;L$6,$D100&lt;L$9),"",IF($J100="里程碑","◆",""))</f>
        <v/>
      </c>
      <c r="M100" s="8" t="str">
        <f>IF(OR($A100="",$C100="",$D100="",$C100&gt;M$6,$D100&lt;M$9),"",IF($J100="里程碑","◆",""))</f>
        <v/>
      </c>
      <c r="N100" s="8" t="str">
        <f>IF(OR($A100="",$C100="",$D100="",$C100&gt;N$6,$D100&lt;N$9),"",IF($J100="里程碑","◆",""))</f>
        <v/>
      </c>
      <c r="O100" s="8" t="str">
        <f>IF(OR($A100="",$C100="",$D100="",$C100&gt;O$6,$D100&lt;O$9),"",IF($J100="里程碑","◆",""))</f>
        <v/>
      </c>
      <c r="P100" s="8" t="str">
        <f>IF(OR($A100="",$C100="",$D100="",$C100&gt;P$6,$D100&lt;P$9),"",IF($J100="里程碑","◆",""))</f>
        <v/>
      </c>
      <c r="Q100" s="8" t="str">
        <f>IF(OR($A100="",$C100="",$D100="",$C100&gt;Q$6,$D100&lt;Q$9),"",IF($J100="里程碑","◆",""))</f>
        <v/>
      </c>
      <c r="R100" s="8" t="str">
        <f>IF(OR($A100="",$C100="",$D100="",$C100&gt;R$6,$D100&lt;R$9),"",IF($J100="里程碑","◆",""))</f>
        <v/>
      </c>
      <c r="S100" s="8" t="str">
        <f>IF(OR($A100="",$C100="",$D100="",$C100&gt;S$6,$D100&lt;S$9),"",IF($J100="里程碑","◆",""))</f>
        <v/>
      </c>
      <c r="T100" s="8" t="str">
        <f>IF(OR($A100="",$C100="",$D100="",$C100&gt;T$6,$D100&lt;T$9),"",IF($J100="里程碑","◆",""))</f>
        <v/>
      </c>
      <c r="U100" s="8" t="str">
        <f>IF(OR($A100="",$C100="",$D100="",$C100&gt;U$6,$D100&lt;U$9),"",IF($J100="里程碑","◆",""))</f>
        <v/>
      </c>
      <c r="V100" s="8" t="str">
        <f>IF(OR($A100="",$C100="",$D100="",$C100&gt;V$6,$D100&lt;V$9),"",IF($J100="里程碑","◆",""))</f>
        <v/>
      </c>
      <c r="W100" s="8" t="str">
        <f>IF(OR($A100="",$C100="",$D100="",$C100&gt;W$6,$D100&lt;W$9),"",IF($J100="里程碑","◆",""))</f>
        <v/>
      </c>
      <c r="X100" s="8" t="str">
        <f>IF(OR($A100="",$C100="",$D100="",$C100&gt;X$6,$D100&lt;X$9),"",IF($J100="里程碑","◆",""))</f>
        <v/>
      </c>
      <c r="Y100" s="8" t="str">
        <f>IF(OR($A100="",$C100="",$D100="",$C100&gt;Y$6,$D100&lt;Y$9),"",IF($J100="里程碑","◆",""))</f>
        <v/>
      </c>
      <c r="Z100" s="8" t="str">
        <f>IF(OR($A100="",$C100="",$D100="",$C100&gt;Z$6,$D100&lt;Z$9),"",IF($J100="里程碑","◆",""))</f>
        <v/>
      </c>
      <c r="AA100" s="8" t="str">
        <f>IF(OR($A100="",$C100="",$D100="",$C100&gt;AA$6,$D100&lt;AA$9),"",IF($J100="里程碑","◆",""))</f>
        <v/>
      </c>
      <c r="AB100" s="8" t="str">
        <f>IF(OR($A100="",$C100="",$D100="",$C100&gt;AB$6,$D100&lt;AB$9),"",IF($J100="里程碑","◆",""))</f>
        <v/>
      </c>
      <c r="AC100" s="8" t="str">
        <f>IF(OR($A100="",$C100="",$D100="",$C100&gt;AC$6,$D100&lt;AC$9),"",IF($J100="里程碑","◆",""))</f>
        <v/>
      </c>
      <c r="AD100" s="8" t="str">
        <f>IF(OR($A100="",$C100="",$D100="",$C100&gt;AD$6,$D100&lt;AD$9),"",IF($J100="里程碑","◆",""))</f>
        <v/>
      </c>
      <c r="AE100" s="8" t="str">
        <f>IF(OR($A100="",$C100="",$D100="",$C100&gt;AE$6,$D100&lt;AE$9),"",IF($J100="里程碑","◆",""))</f>
        <v/>
      </c>
      <c r="AF100" s="8" t="str">
        <f>IF(OR($A100="",$C100="",$D100="",$C100&gt;AF$6,$D100&lt;AF$9),"",IF($J100="里程碑","◆",""))</f>
        <v/>
      </c>
      <c r="AG100" s="8" t="str">
        <f>IF(OR($A100="",$C100="",$D100="",$C100&gt;AG$6,$D100&lt;AG$9),"",IF($J100="里程碑","◆",""))</f>
        <v/>
      </c>
      <c r="AH100" s="8" t="str">
        <f>IF(OR($A100="",$C100="",$D100="",$C100&gt;AH$6,$D100&lt;AH$9),"",IF($J100="里程碑","◆",""))</f>
        <v/>
      </c>
      <c r="AI100" s="8" t="str">
        <f>IF(OR($A100="",$C100="",$D100="",$C100&gt;AI$6,$D100&lt;AI$9),"",IF($J100="里程碑","◆",""))</f>
        <v/>
      </c>
      <c r="AJ100" s="8" t="str">
        <f>IF(OR($A100="",$C100="",$D100="",$C100&gt;AJ$6,$D100&lt;AJ$9),"",IF($J100="里程碑","◆",""))</f>
        <v/>
      </c>
      <c r="AK100" s="8" t="str">
        <f>IF(OR($A100="",$C100="",$D100="",$C100&gt;AK$6,$D100&lt;AK$9),"",IF($J100="里程碑","◆",""))</f>
        <v/>
      </c>
      <c r="AL100" s="8" t="str">
        <f>IF(OR($A100="",$C100="",$D100="",$C100&gt;AL$6,$D100&lt;AL$9),"",IF($J100="里程碑","◆",""))</f>
        <v/>
      </c>
      <c r="AM100" s="8" t="str">
        <f>IF(OR($A100="",$C100="",$D100="",$C100&gt;AM$6,$D100&lt;AM$9),"",IF($J100="里程碑","◆",""))</f>
        <v/>
      </c>
      <c r="AN100" s="8" t="str">
        <f>IF(OR($A100="",$C100="",$D100="",$C100&gt;AN$6,$D100&lt;AN$9),"",IF($J100="里程碑","◆",""))</f>
        <v/>
      </c>
      <c r="AO100" s="8" t="str">
        <f>IF(OR($A100="",$C100="",$D100="",$C100&gt;AO$6,$D100&lt;AO$9),"",IF($J100="里程碑","◆",""))</f>
        <v/>
      </c>
      <c r="AP100" s="8" t="str">
        <f>IF(OR($A100="",$C100="",$D100="",$C100&gt;AP$6,$D100&lt;AP$9),"",IF($J100="里程碑","◆",""))</f>
        <v/>
      </c>
      <c r="AQ100" s="8" t="str">
        <f>IF(OR($A100="",$C100="",$D100="",$C100&gt;AQ$6,$D100&lt;AQ$9),"",IF($J100="里程碑","◆",""))</f>
        <v/>
      </c>
      <c r="AR100" s="8" t="str">
        <f>IF(OR($A100="",$C100="",$D100="",$C100&gt;AR$6,$D100&lt;AR$9),"",IF($J100="里程碑","◆",""))</f>
        <v/>
      </c>
      <c r="AS100" s="8" t="str">
        <f>IF(OR($A100="",$C100="",$D100="",$C100&gt;AS$6,$D100&lt;AS$9),"",IF($J100="里程碑","◆",""))</f>
        <v/>
      </c>
      <c r="AT100" s="8" t="str">
        <f>IF(OR($A100="",$C100="",$D100="",$C100&gt;AT$6,$D100&lt;AT$9),"",IF($J100="里程碑","◆",""))</f>
        <v/>
      </c>
      <c r="AU100" s="8" t="str">
        <f>IF(OR($A100="",$C100="",$D100="",$C100&gt;AU$6,$D100&lt;AU$9),"",IF($J100="里程碑","◆",""))</f>
        <v/>
      </c>
      <c r="AV100" s="8" t="str">
        <f>IF(OR($A100="",$C100="",$D100="",$C100&gt;AV$6,$D100&lt;AV$9),"",IF($J100="里程碑","◆",""))</f>
        <v/>
      </c>
      <c r="AW100" s="8" t="str">
        <f>IF(OR($A100="",$C100="",$D100="",$C100&gt;AW$6,$D100&lt;AW$9),"",IF($J100="里程碑","◆",""))</f>
        <v/>
      </c>
      <c r="AX100" s="8" t="str">
        <f>IF(OR($A100="",$C100="",$D100="",$C100&gt;AX$6,$D100&lt;AX$9),"",IF($J100="里程碑","◆",""))</f>
        <v/>
      </c>
      <c r="AY100" s="8" t="str">
        <f>IF(OR($A100="",$C100="",$D100="",$C100&gt;AY$6,$D100&lt;AY$9),"",IF($J100="里程碑","◆",""))</f>
        <v/>
      </c>
      <c r="AZ100" s="8" t="str">
        <f>IF(OR($A100="",$C100="",$D100="",$C100&gt;AZ$6,$D100&lt;AZ$9),"",IF($J100="里程碑","◆",""))</f>
        <v/>
      </c>
      <c r="BA100" s="8" t="str">
        <f>IF(OR($A100="",$C100="",$D100="",$C100&gt;BA$6,$D100&lt;BA$9),"",IF($J100="里程碑","◆",""))</f>
        <v/>
      </c>
      <c r="BB100" s="8" t="str">
        <f>IF(OR($A100="",$C100="",$D100="",$C100&gt;BB$6,$D100&lt;BB$9),"",IF($J100="里程碑","◆",""))</f>
        <v/>
      </c>
      <c r="BC100" s="8" t="str">
        <f>IF(OR($A100="",$C100="",$D100="",$C100&gt;BC$6,$D100&lt;BC$9),"",IF($J100="里程碑","◆",""))</f>
        <v/>
      </c>
      <c r="BD100" s="8" t="str">
        <f>IF(OR($A100="",$C100="",$D100="",$C100&gt;BD$6,$D100&lt;BD$9),"",IF($J100="里程碑","◆",""))</f>
        <v/>
      </c>
      <c r="BE100" s="8" t="str">
        <f>IF(OR($A100="",$C100="",$D100="",$C100&gt;BE$6,$D100&lt;BE$9),"",IF($J100="里程碑","◆",""))</f>
        <v/>
      </c>
      <c r="BF100" s="8" t="str">
        <f>IF(OR($A100="",$C100="",$D100="",$C100&gt;BF$6,$D100&lt;BF$9),"",IF($J100="里程碑","◆",""))</f>
        <v/>
      </c>
      <c r="BG100" s="8" t="str">
        <f>IF(OR($A100="",$C100="",$D100="",$C100&gt;BG$6,$D100&lt;BG$9),"",IF($J100="里程碑","◆",""))</f>
        <v/>
      </c>
      <c r="BH100" s="8" t="str">
        <f>IF(OR($A100="",$C100="",$D100="",$C100&gt;BH$6,$D100&lt;BH$9),"",IF($J100="里程碑","◆",""))</f>
        <v/>
      </c>
      <c r="BI100" s="8" t="str">
        <f>IF(OR($A100="",$C100="",$D100="",$C100&gt;BI$6,$D100&lt;BI$9),"",IF($J100="里程碑","◆",""))</f>
        <v/>
      </c>
      <c r="BJ100" s="8" t="str">
        <f>IF(OR($A100="",$C100="",$D100="",$C100&gt;BJ$6,$D100&lt;BJ$9),"",IF($J100="里程碑","◆",""))</f>
        <v/>
      </c>
      <c r="BK100" s="8" t="str">
        <f>IF(OR($A100="",$C100="",$D100="",$C100&gt;BK$6,$D100&lt;BK$9),"",IF($J100="里程碑","◆",""))</f>
        <v/>
      </c>
      <c r="BL100" s="8" t="str">
        <f>IF(OR($A100="",$C100="",$D100="",$C100&gt;BL$6,$D100&lt;BL$9),"",IF($J100="里程碑","◆",""))</f>
        <v/>
      </c>
      <c r="BM100" s="8" t="str">
        <f>IF(OR($A100="",$C100="",$D100="",$C100&gt;BM$6,$D100&lt;BM$9),"",IF($J100="里程碑","◆",""))</f>
        <v/>
      </c>
      <c r="BN100" s="8" t="str">
        <f>IF(OR($A100="",$C100="",$D100="",$C100&gt;BN$6,$D100&lt;BN$9),"",IF($J100="里程碑","◆",""))</f>
        <v/>
      </c>
      <c r="BO100" s="8" t="str">
        <f>IF(OR($A100="",$C100="",$D100="",$C100&gt;BO$6,$D100&lt;BO$9),"",IF($J100="里程碑","◆",""))</f>
        <v/>
      </c>
      <c r="BP100" s="8" t="str">
        <f>IF(OR($A100="",$C100="",$D100="",$C100&gt;BP$6,$D100&lt;BP$9),"",IF($J100="里程碑","◆",""))</f>
        <v/>
      </c>
      <c r="BQ100" s="8" t="str">
        <f>IF(OR($A100="",$C100="",$D100="",$C100&gt;BQ$6,$D100&lt;BQ$9),"",IF($J100="里程碑","◆",""))</f>
        <v/>
      </c>
      <c r="BR100" s="8" t="str">
        <f>IF(OR($A100="",$C100="",$D100="",$C100&gt;BR$6,$D100&lt;BR$9),"",IF($J100="里程碑","◆",""))</f>
        <v/>
      </c>
      <c r="BS100" s="8" t="str">
        <f>IF(OR($A100="",$C100="",$D100="",$C100&gt;BS$6,$D100&lt;BS$9),"",IF($J100="里程碑","◆",""))</f>
        <v/>
      </c>
      <c r="BT100" s="8" t="str">
        <f>IF(OR($A100="",$C100="",$D100="",$C100&gt;BT$6,$D100&lt;BT$9),"",IF($J100="里程碑","◆",""))</f>
        <v/>
      </c>
      <c r="BU100" s="8" t="str">
        <f>IF(OR($A100="",$C100="",$D100="",$C100&gt;BU$6,$D100&lt;BU$9),"",IF($J100="里程碑","◆",""))</f>
        <v/>
      </c>
      <c r="BV100" s="8" t="str">
        <f>IF(OR($A100="",$C100="",$D100="",$C100&gt;BV$6,$D100&lt;BV$9),"",IF($J100="里程碑","◆",""))</f>
        <v/>
      </c>
      <c r="BW100" s="8" t="str">
        <f>IF(OR($A100="",$C100="",$D100="",$C100&gt;BW$6,$D100&lt;BW$9),"",IF($J100="里程碑","◆",""))</f>
        <v/>
      </c>
      <c r="BX100" s="8" t="str">
        <f>IF(OR($A100="",$C100="",$D100="",$C100&gt;BX$6,$D100&lt;BX$9),"",IF($J100="里程碑","◆",""))</f>
        <v/>
      </c>
      <c r="BY100" s="8" t="str">
        <f>IF(OR($A100="",$C100="",$D100="",$C100&gt;BY$6,$D100&lt;BY$9),"",IF($J100="里程碑","◆",""))</f>
        <v/>
      </c>
      <c r="BZ100" s="8" t="str">
        <f>IF(OR($A100="",$C100="",$D100="",$C100&gt;BZ$6,$D100&lt;BZ$9),"",IF($J100="里程碑","◆",""))</f>
        <v/>
      </c>
      <c r="CA100" s="8" t="str">
        <f>IF(OR($A100="",$C100="",$D100="",$C100&gt;CA$6,$D100&lt;CA$9),"",IF($J100="里程碑","◆",""))</f>
        <v/>
      </c>
      <c r="CB100" s="8" t="str">
        <f>IF(OR($A100="",$C100="",$D100="",$C100&gt;CB$6,$D100&lt;CB$9),"",IF($J100="里程碑","◆",""))</f>
        <v/>
      </c>
      <c r="CC100" s="8" t="str">
        <f>IF(OR($A100="",$C100="",$D100="",$C100&gt;CC$6,$D100&lt;CC$9),"",IF($J100="里程碑","◆",""))</f>
        <v/>
      </c>
      <c r="CD100" s="8" t="str">
        <f>IF(OR($A100="",$C100="",$D100="",$C100&gt;CD$6,$D100&lt;CD$9),"",IF($J100="里程碑","◆",""))</f>
        <v/>
      </c>
      <c r="CE100" s="8" t="str">
        <f>IF(OR($A100="",$C100="",$D100="",$C100&gt;CE$6,$D100&lt;CE$9),"",IF($J100="里程碑","◆",""))</f>
        <v/>
      </c>
      <c r="CF100" s="8" t="str">
        <f>IF(OR($A100="",$C100="",$D100="",$C100&gt;CF$6,$D100&lt;CF$9),"",IF($J100="里程碑","◆",""))</f>
        <v/>
      </c>
      <c r="CG100" s="8" t="str">
        <f>IF(OR($A100="",$C100="",$D100="",$C100&gt;CG$6,$D100&lt;CG$9),"",IF($J100="里程碑","◆",""))</f>
        <v/>
      </c>
      <c r="CH100" s="8" t="str">
        <f>IF(OR($A100="",$C100="",$D100="",$C100&gt;CH$6,$D100&lt;CH$9),"",IF($J100="里程碑","◆",""))</f>
        <v/>
      </c>
      <c r="CI100" s="8" t="str">
        <f>IF(OR($A100="",$C100="",$D100="",$C100&gt;CI$6,$D100&lt;CI$9),"",IF($J100="里程碑","◆",""))</f>
        <v/>
      </c>
      <c r="CJ100" s="8" t="str">
        <f>IF(OR($A100="",$C100="",$D100="",$C100&gt;CJ$6,$D100&lt;CJ$9),"",IF($J100="里程碑","◆",""))</f>
        <v/>
      </c>
      <c r="CK100" s="8" t="str">
        <f>IF(OR($A100="",$C100="",$D100="",$C100&gt;CK$6,$D100&lt;CK$9),"",IF($J100="里程碑","◆",""))</f>
        <v/>
      </c>
      <c r="CL100" s="8" t="str">
        <f>IF(OR($A100="",$C100="",$D100="",$C100&gt;CL$6,$D100&lt;CL$9),"",IF($J100="里程碑","◆",""))</f>
        <v/>
      </c>
      <c r="CM100" s="8" t="str">
        <f>IF(OR($A100="",$C100="",$D100="",$C100&gt;CM$6,$D100&lt;CM$9),"",IF($J100="里程碑","◆",""))</f>
        <v/>
      </c>
      <c r="CN100" s="8" t="str">
        <f>IF(OR($A100="",$C100="",$D100="",$C100&gt;CN$6,$D100&lt;CN$9),"",IF($J100="里程碑","◆",""))</f>
        <v/>
      </c>
      <c r="CO100" s="8" t="str">
        <f>IF(OR($A100="",$C100="",$D100="",$C100&gt;CO$6,$D100&lt;CO$9),"",IF($J100="里程碑","◆",""))</f>
        <v/>
      </c>
      <c r="CP100" s="8" t="str">
        <f>IF(OR($A100="",$C100="",$D100="",$C100&gt;CP$6,$D100&lt;CP$9),"",IF($J100="里程碑","◆",""))</f>
        <v/>
      </c>
      <c r="CQ100" s="8" t="str">
        <f>IF(OR($A100="",$C100="",$D100="",$C100&gt;CQ$6,$D100&lt;CQ$9),"",IF($J100="里程碑","◆",""))</f>
        <v/>
      </c>
      <c r="CR100" s="8" t="str">
        <f>IF(OR($A100="",$C100="",$D100="",$C100&gt;CR$6,$D100&lt;CR$9),"",IF($J100="里程碑","◆",""))</f>
        <v/>
      </c>
      <c r="CS100" s="8" t="str">
        <f>IF(OR($A100="",$C100="",$D100="",$C100&gt;CS$6,$D100&lt;CS$9),"",IF($J100="里程碑","◆",""))</f>
        <v/>
      </c>
      <c r="CT100" s="8" t="str">
        <f>IF(OR($A100="",$C100="",$D100="",$C100&gt;CT$6,$D100&lt;CT$9),"",IF($J100="里程碑","◆",""))</f>
        <v/>
      </c>
      <c r="CU100" s="8" t="str">
        <f>IF(OR($A100="",$C100="",$D100="",$C100&gt;CU$6,$D100&lt;CU$9),"",IF($J100="里程碑","◆",""))</f>
        <v/>
      </c>
      <c r="CV100" s="8" t="str">
        <f>IF(OR($A100="",$C100="",$D100="",$C100&gt;CV$6,$D100&lt;CV$9),"",IF($J100="里程碑","◆",""))</f>
        <v/>
      </c>
      <c r="CW100" s="8" t="str">
        <f>IF(OR($A100="",$C100="",$D100="",$C100&gt;CW$6,$D100&lt;CW$9),"",IF($J100="里程碑","◆",""))</f>
        <v/>
      </c>
      <c r="CX100" s="8" t="str">
        <f>IF(OR($A100="",$C100="",$D100="",$C100&gt;CX$6,$D100&lt;CX$9),"",IF($J100="里程碑","◆",""))</f>
        <v/>
      </c>
      <c r="CY100" s="8" t="str">
        <f>IF(OR($A100="",$C100="",$D100="",$C100&gt;CY$6,$D100&lt;CY$9),"",IF($J100="里程碑","◆",""))</f>
        <v/>
      </c>
      <c r="CZ100" s="8" t="str">
        <f>IF(OR($A100="",$C100="",$D100="",$C100&gt;CZ$6,$D100&lt;CZ$9),"",IF($J100="里程碑","◆",""))</f>
        <v/>
      </c>
      <c r="DA100" s="8" t="str">
        <f>IF(OR($A100="",$C100="",$D100="",$C100&gt;DA$6,$D100&lt;DA$9),"",IF($J100="里程碑","◆",""))</f>
        <v/>
      </c>
      <c r="DB100" s="8" t="str">
        <f>IF(OR($A100="",$C100="",$D100="",$C100&gt;DB$6,$D100&lt;DB$9),"",IF($J100="里程碑","◆",""))</f>
        <v/>
      </c>
      <c r="DC100" s="1" t="str">
        <f>IF(ROW()-9&gt;$DH$3,"",MATCH(ROW()-9,排期计算!$U$10:$U$109,0))</f>
        <v/>
      </c>
      <c r="DD100" s="1" t="str">
        <f>IF($DC100="","",INDEX(排期计算!$L$10:$L$109,$DC100))</f>
        <v/>
      </c>
      <c r="DE100" s="1"/>
      <c r="DF100" s="1"/>
      <c r="DG100" s="1"/>
      <c r="DH100" s="1"/>
      <c r="DI100" s="1"/>
      <c r="DJ100" s="1"/>
      <c r="DK100" s="1"/>
    </row>
    <row r="101" spans="1:115" ht="24.95" customHeight="1">
      <c r="A101" s="9" t="str">
        <f>IF($DC101="","",IF(AND(INDEX(排期计算!$A$10:$A$109,$DC101)="",NOT(ISNUMBER(INDEX(排期计算!$A$10:$A$109,$DC101)))),"",INDEX(排期计算!$A$10:$A$109,$DC101)))</f>
        <v/>
      </c>
      <c r="B101" s="1" t="str">
        <f>IF($DC101="","",REPT("　",$DD101-1)&amp;INDEX(排期计算!$B$10:$B$109,$DC101))</f>
        <v/>
      </c>
      <c r="C101" s="3" t="str">
        <f>IF($DC101="","",IF(AND(INDEX(排期计算!$M$10:$M$109,$DC101)="",NOT(ISNUMBER(INDEX(排期计算!$M$10:$M$109,$DC101)))),"",INDEX(排期计算!$M$10:$M$109,$DC101)))</f>
        <v/>
      </c>
      <c r="D101" s="3" t="str">
        <f>IF($DC101="","",IF(AND(INDEX(排期计算!$N$10:$N$109,$DC101)="",NOT(ISNUMBER(INDEX(排期计算!$N$10:$N$109,$DC101)))),"",INDEX(排期计算!$N$10:$N$109,$DC101)))</f>
        <v/>
      </c>
      <c r="E101" s="1" t="str">
        <f>IF(OR($C101="",$D101=""),"",IF($J101="里程碑",0,NETWORKDAYS($C101,$D101)))</f>
        <v/>
      </c>
      <c r="F101" s="7" t="str">
        <f>IF($DC101="","",IF(AND(INDEX(排期计算!$O$10:$O$109,$DC101)="",NOT(ISNUMBER(INDEX(排期计算!$O$10:$O$109,$DC101)))),"",INDEX(排期计算!$O$10:$O$109,$DC101)))</f>
        <v/>
      </c>
      <c r="G101" s="8" t="str">
        <f>IF($A101="","",IF(OR($C101="",$D101=""),"未排期",IF($F101&gt;=1,"已完成",IF($D101&lt;$B$4,"逾期",IF($C101&gt;$B$4,"未开始","进行中")))))</f>
        <v/>
      </c>
      <c r="H101" s="1" t="str">
        <f>IF($DC101="","",IF(AND(INDEX(排期计算!$C$10:$C$109,$DC101)="",NOT(ISNUMBER(INDEX(排期计算!$C$10:$C$109,$DC101)))),"",INDEX(排期计算!$C$10:$C$109,$DC101)))</f>
        <v/>
      </c>
      <c r="I101" s="1" t="str">
        <f>IF($DC101="","",IF(AND(INDEX(排期计算!$H$10:$H$109,$DC101)="",NOT(ISNUMBER(INDEX(排期计算!$H$10:$H$109,$DC101)))),"",INDEX(排期计算!$H$10:$H$109,$DC101)))</f>
        <v/>
      </c>
      <c r="J101" s="1" t="str">
        <f>IF($DC101="","",IF(AND(INDEX(排期计算!$K$10:$K$109,$DC101)="",NOT(ISNUMBER(INDEX(排期计算!$K$10:$K$109,$DC101)))),"",INDEX(排期计算!$K$10:$K$109,$DC101)))</f>
        <v/>
      </c>
      <c r="K101" s="8" t="str">
        <f>IF(OR($A101="",$C101="",$D101="",$C101&gt;K$6,$D101&lt;K$9),"",IF($J101="里程碑","◆",""))</f>
        <v/>
      </c>
      <c r="L101" s="8" t="str">
        <f>IF(OR($A101="",$C101="",$D101="",$C101&gt;L$6,$D101&lt;L$9),"",IF($J101="里程碑","◆",""))</f>
        <v/>
      </c>
      <c r="M101" s="8" t="str">
        <f>IF(OR($A101="",$C101="",$D101="",$C101&gt;M$6,$D101&lt;M$9),"",IF($J101="里程碑","◆",""))</f>
        <v/>
      </c>
      <c r="N101" s="8" t="str">
        <f>IF(OR($A101="",$C101="",$D101="",$C101&gt;N$6,$D101&lt;N$9),"",IF($J101="里程碑","◆",""))</f>
        <v/>
      </c>
      <c r="O101" s="8" t="str">
        <f>IF(OR($A101="",$C101="",$D101="",$C101&gt;O$6,$D101&lt;O$9),"",IF($J101="里程碑","◆",""))</f>
        <v/>
      </c>
      <c r="P101" s="8" t="str">
        <f>IF(OR($A101="",$C101="",$D101="",$C101&gt;P$6,$D101&lt;P$9),"",IF($J101="里程碑","◆",""))</f>
        <v/>
      </c>
      <c r="Q101" s="8" t="str">
        <f>IF(OR($A101="",$C101="",$D101="",$C101&gt;Q$6,$D101&lt;Q$9),"",IF($J101="里程碑","◆",""))</f>
        <v/>
      </c>
      <c r="R101" s="8" t="str">
        <f>IF(OR($A101="",$C101="",$D101="",$C101&gt;R$6,$D101&lt;R$9),"",IF($J101="里程碑","◆",""))</f>
        <v/>
      </c>
      <c r="S101" s="8" t="str">
        <f>IF(OR($A101="",$C101="",$D101="",$C101&gt;S$6,$D101&lt;S$9),"",IF($J101="里程碑","◆",""))</f>
        <v/>
      </c>
      <c r="T101" s="8" t="str">
        <f>IF(OR($A101="",$C101="",$D101="",$C101&gt;T$6,$D101&lt;T$9),"",IF($J101="里程碑","◆",""))</f>
        <v/>
      </c>
      <c r="U101" s="8" t="str">
        <f>IF(OR($A101="",$C101="",$D101="",$C101&gt;U$6,$D101&lt;U$9),"",IF($J101="里程碑","◆",""))</f>
        <v/>
      </c>
      <c r="V101" s="8" t="str">
        <f>IF(OR($A101="",$C101="",$D101="",$C101&gt;V$6,$D101&lt;V$9),"",IF($J101="里程碑","◆",""))</f>
        <v/>
      </c>
      <c r="W101" s="8" t="str">
        <f>IF(OR($A101="",$C101="",$D101="",$C101&gt;W$6,$D101&lt;W$9),"",IF($J101="里程碑","◆",""))</f>
        <v/>
      </c>
      <c r="X101" s="8" t="str">
        <f>IF(OR($A101="",$C101="",$D101="",$C101&gt;X$6,$D101&lt;X$9),"",IF($J101="里程碑","◆",""))</f>
        <v/>
      </c>
      <c r="Y101" s="8" t="str">
        <f>IF(OR($A101="",$C101="",$D101="",$C101&gt;Y$6,$D101&lt;Y$9),"",IF($J101="里程碑","◆",""))</f>
        <v/>
      </c>
      <c r="Z101" s="8" t="str">
        <f>IF(OR($A101="",$C101="",$D101="",$C101&gt;Z$6,$D101&lt;Z$9),"",IF($J101="里程碑","◆",""))</f>
        <v/>
      </c>
      <c r="AA101" s="8" t="str">
        <f>IF(OR($A101="",$C101="",$D101="",$C101&gt;AA$6,$D101&lt;AA$9),"",IF($J101="里程碑","◆",""))</f>
        <v/>
      </c>
      <c r="AB101" s="8" t="str">
        <f>IF(OR($A101="",$C101="",$D101="",$C101&gt;AB$6,$D101&lt;AB$9),"",IF($J101="里程碑","◆",""))</f>
        <v/>
      </c>
      <c r="AC101" s="8" t="str">
        <f>IF(OR($A101="",$C101="",$D101="",$C101&gt;AC$6,$D101&lt;AC$9),"",IF($J101="里程碑","◆",""))</f>
        <v/>
      </c>
      <c r="AD101" s="8" t="str">
        <f>IF(OR($A101="",$C101="",$D101="",$C101&gt;AD$6,$D101&lt;AD$9),"",IF($J101="里程碑","◆",""))</f>
        <v/>
      </c>
      <c r="AE101" s="8" t="str">
        <f>IF(OR($A101="",$C101="",$D101="",$C101&gt;AE$6,$D101&lt;AE$9),"",IF($J101="里程碑","◆",""))</f>
        <v/>
      </c>
      <c r="AF101" s="8" t="str">
        <f>IF(OR($A101="",$C101="",$D101="",$C101&gt;AF$6,$D101&lt;AF$9),"",IF($J101="里程碑","◆",""))</f>
        <v/>
      </c>
      <c r="AG101" s="8" t="str">
        <f>IF(OR($A101="",$C101="",$D101="",$C101&gt;AG$6,$D101&lt;AG$9),"",IF($J101="里程碑","◆",""))</f>
        <v/>
      </c>
      <c r="AH101" s="8" t="str">
        <f>IF(OR($A101="",$C101="",$D101="",$C101&gt;AH$6,$D101&lt;AH$9),"",IF($J101="里程碑","◆",""))</f>
        <v/>
      </c>
      <c r="AI101" s="8" t="str">
        <f>IF(OR($A101="",$C101="",$D101="",$C101&gt;AI$6,$D101&lt;AI$9),"",IF($J101="里程碑","◆",""))</f>
        <v/>
      </c>
      <c r="AJ101" s="8" t="str">
        <f>IF(OR($A101="",$C101="",$D101="",$C101&gt;AJ$6,$D101&lt;AJ$9),"",IF($J101="里程碑","◆",""))</f>
        <v/>
      </c>
      <c r="AK101" s="8" t="str">
        <f>IF(OR($A101="",$C101="",$D101="",$C101&gt;AK$6,$D101&lt;AK$9),"",IF($J101="里程碑","◆",""))</f>
        <v/>
      </c>
      <c r="AL101" s="8" t="str">
        <f>IF(OR($A101="",$C101="",$D101="",$C101&gt;AL$6,$D101&lt;AL$9),"",IF($J101="里程碑","◆",""))</f>
        <v/>
      </c>
      <c r="AM101" s="8" t="str">
        <f>IF(OR($A101="",$C101="",$D101="",$C101&gt;AM$6,$D101&lt;AM$9),"",IF($J101="里程碑","◆",""))</f>
        <v/>
      </c>
      <c r="AN101" s="8" t="str">
        <f>IF(OR($A101="",$C101="",$D101="",$C101&gt;AN$6,$D101&lt;AN$9),"",IF($J101="里程碑","◆",""))</f>
        <v/>
      </c>
      <c r="AO101" s="8" t="str">
        <f>IF(OR($A101="",$C101="",$D101="",$C101&gt;AO$6,$D101&lt;AO$9),"",IF($J101="里程碑","◆",""))</f>
        <v/>
      </c>
      <c r="AP101" s="8" t="str">
        <f>IF(OR($A101="",$C101="",$D101="",$C101&gt;AP$6,$D101&lt;AP$9),"",IF($J101="里程碑","◆",""))</f>
        <v/>
      </c>
      <c r="AQ101" s="8" t="str">
        <f>IF(OR($A101="",$C101="",$D101="",$C101&gt;AQ$6,$D101&lt;AQ$9),"",IF($J101="里程碑","◆",""))</f>
        <v/>
      </c>
      <c r="AR101" s="8" t="str">
        <f>IF(OR($A101="",$C101="",$D101="",$C101&gt;AR$6,$D101&lt;AR$9),"",IF($J101="里程碑","◆",""))</f>
        <v/>
      </c>
      <c r="AS101" s="8" t="str">
        <f>IF(OR($A101="",$C101="",$D101="",$C101&gt;AS$6,$D101&lt;AS$9),"",IF($J101="里程碑","◆",""))</f>
        <v/>
      </c>
      <c r="AT101" s="8" t="str">
        <f>IF(OR($A101="",$C101="",$D101="",$C101&gt;AT$6,$D101&lt;AT$9),"",IF($J101="里程碑","◆",""))</f>
        <v/>
      </c>
      <c r="AU101" s="8" t="str">
        <f>IF(OR($A101="",$C101="",$D101="",$C101&gt;AU$6,$D101&lt;AU$9),"",IF($J101="里程碑","◆",""))</f>
        <v/>
      </c>
      <c r="AV101" s="8" t="str">
        <f>IF(OR($A101="",$C101="",$D101="",$C101&gt;AV$6,$D101&lt;AV$9),"",IF($J101="里程碑","◆",""))</f>
        <v/>
      </c>
      <c r="AW101" s="8" t="str">
        <f>IF(OR($A101="",$C101="",$D101="",$C101&gt;AW$6,$D101&lt;AW$9),"",IF($J101="里程碑","◆",""))</f>
        <v/>
      </c>
      <c r="AX101" s="8" t="str">
        <f>IF(OR($A101="",$C101="",$D101="",$C101&gt;AX$6,$D101&lt;AX$9),"",IF($J101="里程碑","◆",""))</f>
        <v/>
      </c>
      <c r="AY101" s="8" t="str">
        <f>IF(OR($A101="",$C101="",$D101="",$C101&gt;AY$6,$D101&lt;AY$9),"",IF($J101="里程碑","◆",""))</f>
        <v/>
      </c>
      <c r="AZ101" s="8" t="str">
        <f>IF(OR($A101="",$C101="",$D101="",$C101&gt;AZ$6,$D101&lt;AZ$9),"",IF($J101="里程碑","◆",""))</f>
        <v/>
      </c>
      <c r="BA101" s="8" t="str">
        <f>IF(OR($A101="",$C101="",$D101="",$C101&gt;BA$6,$D101&lt;BA$9),"",IF($J101="里程碑","◆",""))</f>
        <v/>
      </c>
      <c r="BB101" s="8" t="str">
        <f>IF(OR($A101="",$C101="",$D101="",$C101&gt;BB$6,$D101&lt;BB$9),"",IF($J101="里程碑","◆",""))</f>
        <v/>
      </c>
      <c r="BC101" s="8" t="str">
        <f>IF(OR($A101="",$C101="",$D101="",$C101&gt;BC$6,$D101&lt;BC$9),"",IF($J101="里程碑","◆",""))</f>
        <v/>
      </c>
      <c r="BD101" s="8" t="str">
        <f>IF(OR($A101="",$C101="",$D101="",$C101&gt;BD$6,$D101&lt;BD$9),"",IF($J101="里程碑","◆",""))</f>
        <v/>
      </c>
      <c r="BE101" s="8" t="str">
        <f>IF(OR($A101="",$C101="",$D101="",$C101&gt;BE$6,$D101&lt;BE$9),"",IF($J101="里程碑","◆",""))</f>
        <v/>
      </c>
      <c r="BF101" s="8" t="str">
        <f>IF(OR($A101="",$C101="",$D101="",$C101&gt;BF$6,$D101&lt;BF$9),"",IF($J101="里程碑","◆",""))</f>
        <v/>
      </c>
      <c r="BG101" s="8" t="str">
        <f>IF(OR($A101="",$C101="",$D101="",$C101&gt;BG$6,$D101&lt;BG$9),"",IF($J101="里程碑","◆",""))</f>
        <v/>
      </c>
      <c r="BH101" s="8" t="str">
        <f>IF(OR($A101="",$C101="",$D101="",$C101&gt;BH$6,$D101&lt;BH$9),"",IF($J101="里程碑","◆",""))</f>
        <v/>
      </c>
      <c r="BI101" s="8" t="str">
        <f>IF(OR($A101="",$C101="",$D101="",$C101&gt;BI$6,$D101&lt;BI$9),"",IF($J101="里程碑","◆",""))</f>
        <v/>
      </c>
      <c r="BJ101" s="8" t="str">
        <f>IF(OR($A101="",$C101="",$D101="",$C101&gt;BJ$6,$D101&lt;BJ$9),"",IF($J101="里程碑","◆",""))</f>
        <v/>
      </c>
      <c r="BK101" s="8" t="str">
        <f>IF(OR($A101="",$C101="",$D101="",$C101&gt;BK$6,$D101&lt;BK$9),"",IF($J101="里程碑","◆",""))</f>
        <v/>
      </c>
      <c r="BL101" s="8" t="str">
        <f>IF(OR($A101="",$C101="",$D101="",$C101&gt;BL$6,$D101&lt;BL$9),"",IF($J101="里程碑","◆",""))</f>
        <v/>
      </c>
      <c r="BM101" s="8" t="str">
        <f>IF(OR($A101="",$C101="",$D101="",$C101&gt;BM$6,$D101&lt;BM$9),"",IF($J101="里程碑","◆",""))</f>
        <v/>
      </c>
      <c r="BN101" s="8" t="str">
        <f>IF(OR($A101="",$C101="",$D101="",$C101&gt;BN$6,$D101&lt;BN$9),"",IF($J101="里程碑","◆",""))</f>
        <v/>
      </c>
      <c r="BO101" s="8" t="str">
        <f>IF(OR($A101="",$C101="",$D101="",$C101&gt;BO$6,$D101&lt;BO$9),"",IF($J101="里程碑","◆",""))</f>
        <v/>
      </c>
      <c r="BP101" s="8" t="str">
        <f>IF(OR($A101="",$C101="",$D101="",$C101&gt;BP$6,$D101&lt;BP$9),"",IF($J101="里程碑","◆",""))</f>
        <v/>
      </c>
      <c r="BQ101" s="8" t="str">
        <f>IF(OR($A101="",$C101="",$D101="",$C101&gt;BQ$6,$D101&lt;BQ$9),"",IF($J101="里程碑","◆",""))</f>
        <v/>
      </c>
      <c r="BR101" s="8" t="str">
        <f>IF(OR($A101="",$C101="",$D101="",$C101&gt;BR$6,$D101&lt;BR$9),"",IF($J101="里程碑","◆",""))</f>
        <v/>
      </c>
      <c r="BS101" s="8" t="str">
        <f>IF(OR($A101="",$C101="",$D101="",$C101&gt;BS$6,$D101&lt;BS$9),"",IF($J101="里程碑","◆",""))</f>
        <v/>
      </c>
      <c r="BT101" s="8" t="str">
        <f>IF(OR($A101="",$C101="",$D101="",$C101&gt;BT$6,$D101&lt;BT$9),"",IF($J101="里程碑","◆",""))</f>
        <v/>
      </c>
      <c r="BU101" s="8" t="str">
        <f>IF(OR($A101="",$C101="",$D101="",$C101&gt;BU$6,$D101&lt;BU$9),"",IF($J101="里程碑","◆",""))</f>
        <v/>
      </c>
      <c r="BV101" s="8" t="str">
        <f>IF(OR($A101="",$C101="",$D101="",$C101&gt;BV$6,$D101&lt;BV$9),"",IF($J101="里程碑","◆",""))</f>
        <v/>
      </c>
      <c r="BW101" s="8" t="str">
        <f>IF(OR($A101="",$C101="",$D101="",$C101&gt;BW$6,$D101&lt;BW$9),"",IF($J101="里程碑","◆",""))</f>
        <v/>
      </c>
      <c r="BX101" s="8" t="str">
        <f>IF(OR($A101="",$C101="",$D101="",$C101&gt;BX$6,$D101&lt;BX$9),"",IF($J101="里程碑","◆",""))</f>
        <v/>
      </c>
      <c r="BY101" s="8" t="str">
        <f>IF(OR($A101="",$C101="",$D101="",$C101&gt;BY$6,$D101&lt;BY$9),"",IF($J101="里程碑","◆",""))</f>
        <v/>
      </c>
      <c r="BZ101" s="8" t="str">
        <f>IF(OR($A101="",$C101="",$D101="",$C101&gt;BZ$6,$D101&lt;BZ$9),"",IF($J101="里程碑","◆",""))</f>
        <v/>
      </c>
      <c r="CA101" s="8" t="str">
        <f>IF(OR($A101="",$C101="",$D101="",$C101&gt;CA$6,$D101&lt;CA$9),"",IF($J101="里程碑","◆",""))</f>
        <v/>
      </c>
      <c r="CB101" s="8" t="str">
        <f>IF(OR($A101="",$C101="",$D101="",$C101&gt;CB$6,$D101&lt;CB$9),"",IF($J101="里程碑","◆",""))</f>
        <v/>
      </c>
      <c r="CC101" s="8" t="str">
        <f>IF(OR($A101="",$C101="",$D101="",$C101&gt;CC$6,$D101&lt;CC$9),"",IF($J101="里程碑","◆",""))</f>
        <v/>
      </c>
      <c r="CD101" s="8" t="str">
        <f>IF(OR($A101="",$C101="",$D101="",$C101&gt;CD$6,$D101&lt;CD$9),"",IF($J101="里程碑","◆",""))</f>
        <v/>
      </c>
      <c r="CE101" s="8" t="str">
        <f>IF(OR($A101="",$C101="",$D101="",$C101&gt;CE$6,$D101&lt;CE$9),"",IF($J101="里程碑","◆",""))</f>
        <v/>
      </c>
      <c r="CF101" s="8" t="str">
        <f>IF(OR($A101="",$C101="",$D101="",$C101&gt;CF$6,$D101&lt;CF$9),"",IF($J101="里程碑","◆",""))</f>
        <v/>
      </c>
      <c r="CG101" s="8" t="str">
        <f>IF(OR($A101="",$C101="",$D101="",$C101&gt;CG$6,$D101&lt;CG$9),"",IF($J101="里程碑","◆",""))</f>
        <v/>
      </c>
      <c r="CH101" s="8" t="str">
        <f>IF(OR($A101="",$C101="",$D101="",$C101&gt;CH$6,$D101&lt;CH$9),"",IF($J101="里程碑","◆",""))</f>
        <v/>
      </c>
      <c r="CI101" s="8" t="str">
        <f>IF(OR($A101="",$C101="",$D101="",$C101&gt;CI$6,$D101&lt;CI$9),"",IF($J101="里程碑","◆",""))</f>
        <v/>
      </c>
      <c r="CJ101" s="8" t="str">
        <f>IF(OR($A101="",$C101="",$D101="",$C101&gt;CJ$6,$D101&lt;CJ$9),"",IF($J101="里程碑","◆",""))</f>
        <v/>
      </c>
      <c r="CK101" s="8" t="str">
        <f>IF(OR($A101="",$C101="",$D101="",$C101&gt;CK$6,$D101&lt;CK$9),"",IF($J101="里程碑","◆",""))</f>
        <v/>
      </c>
      <c r="CL101" s="8" t="str">
        <f>IF(OR($A101="",$C101="",$D101="",$C101&gt;CL$6,$D101&lt;CL$9),"",IF($J101="里程碑","◆",""))</f>
        <v/>
      </c>
      <c r="CM101" s="8" t="str">
        <f>IF(OR($A101="",$C101="",$D101="",$C101&gt;CM$6,$D101&lt;CM$9),"",IF($J101="里程碑","◆",""))</f>
        <v/>
      </c>
      <c r="CN101" s="8" t="str">
        <f>IF(OR($A101="",$C101="",$D101="",$C101&gt;CN$6,$D101&lt;CN$9),"",IF($J101="里程碑","◆",""))</f>
        <v/>
      </c>
      <c r="CO101" s="8" t="str">
        <f>IF(OR($A101="",$C101="",$D101="",$C101&gt;CO$6,$D101&lt;CO$9),"",IF($J101="里程碑","◆",""))</f>
        <v/>
      </c>
      <c r="CP101" s="8" t="str">
        <f>IF(OR($A101="",$C101="",$D101="",$C101&gt;CP$6,$D101&lt;CP$9),"",IF($J101="里程碑","◆",""))</f>
        <v/>
      </c>
      <c r="CQ101" s="8" t="str">
        <f>IF(OR($A101="",$C101="",$D101="",$C101&gt;CQ$6,$D101&lt;CQ$9),"",IF($J101="里程碑","◆",""))</f>
        <v/>
      </c>
      <c r="CR101" s="8" t="str">
        <f>IF(OR($A101="",$C101="",$D101="",$C101&gt;CR$6,$D101&lt;CR$9),"",IF($J101="里程碑","◆",""))</f>
        <v/>
      </c>
      <c r="CS101" s="8" t="str">
        <f>IF(OR($A101="",$C101="",$D101="",$C101&gt;CS$6,$D101&lt;CS$9),"",IF($J101="里程碑","◆",""))</f>
        <v/>
      </c>
      <c r="CT101" s="8" t="str">
        <f>IF(OR($A101="",$C101="",$D101="",$C101&gt;CT$6,$D101&lt;CT$9),"",IF($J101="里程碑","◆",""))</f>
        <v/>
      </c>
      <c r="CU101" s="8" t="str">
        <f>IF(OR($A101="",$C101="",$D101="",$C101&gt;CU$6,$D101&lt;CU$9),"",IF($J101="里程碑","◆",""))</f>
        <v/>
      </c>
      <c r="CV101" s="8" t="str">
        <f>IF(OR($A101="",$C101="",$D101="",$C101&gt;CV$6,$D101&lt;CV$9),"",IF($J101="里程碑","◆",""))</f>
        <v/>
      </c>
      <c r="CW101" s="8" t="str">
        <f>IF(OR($A101="",$C101="",$D101="",$C101&gt;CW$6,$D101&lt;CW$9),"",IF($J101="里程碑","◆",""))</f>
        <v/>
      </c>
      <c r="CX101" s="8" t="str">
        <f>IF(OR($A101="",$C101="",$D101="",$C101&gt;CX$6,$D101&lt;CX$9),"",IF($J101="里程碑","◆",""))</f>
        <v/>
      </c>
      <c r="CY101" s="8" t="str">
        <f>IF(OR($A101="",$C101="",$D101="",$C101&gt;CY$6,$D101&lt;CY$9),"",IF($J101="里程碑","◆",""))</f>
        <v/>
      </c>
      <c r="CZ101" s="8" t="str">
        <f>IF(OR($A101="",$C101="",$D101="",$C101&gt;CZ$6,$D101&lt;CZ$9),"",IF($J101="里程碑","◆",""))</f>
        <v/>
      </c>
      <c r="DA101" s="8" t="str">
        <f>IF(OR($A101="",$C101="",$D101="",$C101&gt;DA$6,$D101&lt;DA$9),"",IF($J101="里程碑","◆",""))</f>
        <v/>
      </c>
      <c r="DB101" s="8" t="str">
        <f>IF(OR($A101="",$C101="",$D101="",$C101&gt;DB$6,$D101&lt;DB$9),"",IF($J101="里程碑","◆",""))</f>
        <v/>
      </c>
      <c r="DC101" s="1" t="str">
        <f>IF(ROW()-9&gt;$DH$3,"",MATCH(ROW()-9,排期计算!$U$10:$U$109,0))</f>
        <v/>
      </c>
      <c r="DD101" s="1" t="str">
        <f>IF($DC101="","",INDEX(排期计算!$L$10:$L$109,$DC101))</f>
        <v/>
      </c>
      <c r="DE101" s="1"/>
      <c r="DF101" s="1"/>
      <c r="DG101" s="1"/>
      <c r="DH101" s="1"/>
      <c r="DI101" s="1"/>
      <c r="DJ101" s="1"/>
      <c r="DK101" s="1"/>
    </row>
    <row r="102" spans="1:115" ht="24.95" customHeight="1">
      <c r="A102" s="9" t="str">
        <f>IF($DC102="","",IF(AND(INDEX(排期计算!$A$10:$A$109,$DC102)="",NOT(ISNUMBER(INDEX(排期计算!$A$10:$A$109,$DC102)))),"",INDEX(排期计算!$A$10:$A$109,$DC102)))</f>
        <v/>
      </c>
      <c r="B102" s="1" t="str">
        <f>IF($DC102="","",REPT("　",$DD102-1)&amp;INDEX(排期计算!$B$10:$B$109,$DC102))</f>
        <v/>
      </c>
      <c r="C102" s="3" t="str">
        <f>IF($DC102="","",IF(AND(INDEX(排期计算!$M$10:$M$109,$DC102)="",NOT(ISNUMBER(INDEX(排期计算!$M$10:$M$109,$DC102)))),"",INDEX(排期计算!$M$10:$M$109,$DC102)))</f>
        <v/>
      </c>
      <c r="D102" s="3" t="str">
        <f>IF($DC102="","",IF(AND(INDEX(排期计算!$N$10:$N$109,$DC102)="",NOT(ISNUMBER(INDEX(排期计算!$N$10:$N$109,$DC102)))),"",INDEX(排期计算!$N$10:$N$109,$DC102)))</f>
        <v/>
      </c>
      <c r="E102" s="1" t="str">
        <f>IF(OR($C102="",$D102=""),"",IF($J102="里程碑",0,NETWORKDAYS($C102,$D102)))</f>
        <v/>
      </c>
      <c r="F102" s="7" t="str">
        <f>IF($DC102="","",IF(AND(INDEX(排期计算!$O$10:$O$109,$DC102)="",NOT(ISNUMBER(INDEX(排期计算!$O$10:$O$109,$DC102)))),"",INDEX(排期计算!$O$10:$O$109,$DC102)))</f>
        <v/>
      </c>
      <c r="G102" s="8" t="str">
        <f>IF($A102="","",IF(OR($C102="",$D102=""),"未排期",IF($F102&gt;=1,"已完成",IF($D102&lt;$B$4,"逾期",IF($C102&gt;$B$4,"未开始","进行中")))))</f>
        <v/>
      </c>
      <c r="H102" s="1" t="str">
        <f>IF($DC102="","",IF(AND(INDEX(排期计算!$C$10:$C$109,$DC102)="",NOT(ISNUMBER(INDEX(排期计算!$C$10:$C$109,$DC102)))),"",INDEX(排期计算!$C$10:$C$109,$DC102)))</f>
        <v/>
      </c>
      <c r="I102" s="1" t="str">
        <f>IF($DC102="","",IF(AND(INDEX(排期计算!$H$10:$H$109,$DC102)="",NOT(ISNUMBER(INDEX(排期计算!$H$10:$H$109,$DC102)))),"",INDEX(排期计算!$H$10:$H$109,$DC102)))</f>
        <v/>
      </c>
      <c r="J102" s="1" t="str">
        <f>IF($DC102="","",IF(AND(INDEX(排期计算!$K$10:$K$109,$DC102)="",NOT(ISNUMBER(INDEX(排期计算!$K$10:$K$109,$DC102)))),"",INDEX(排期计算!$K$10:$K$109,$DC102)))</f>
        <v/>
      </c>
      <c r="K102" s="8" t="str">
        <f>IF(OR($A102="",$C102="",$D102="",$C102&gt;K$6,$D102&lt;K$9),"",IF($J102="里程碑","◆",""))</f>
        <v/>
      </c>
      <c r="L102" s="8" t="str">
        <f>IF(OR($A102="",$C102="",$D102="",$C102&gt;L$6,$D102&lt;L$9),"",IF($J102="里程碑","◆",""))</f>
        <v/>
      </c>
      <c r="M102" s="8" t="str">
        <f>IF(OR($A102="",$C102="",$D102="",$C102&gt;M$6,$D102&lt;M$9),"",IF($J102="里程碑","◆",""))</f>
        <v/>
      </c>
      <c r="N102" s="8" t="str">
        <f>IF(OR($A102="",$C102="",$D102="",$C102&gt;N$6,$D102&lt;N$9),"",IF($J102="里程碑","◆",""))</f>
        <v/>
      </c>
      <c r="O102" s="8" t="str">
        <f>IF(OR($A102="",$C102="",$D102="",$C102&gt;O$6,$D102&lt;O$9),"",IF($J102="里程碑","◆",""))</f>
        <v/>
      </c>
      <c r="P102" s="8" t="str">
        <f>IF(OR($A102="",$C102="",$D102="",$C102&gt;P$6,$D102&lt;P$9),"",IF($J102="里程碑","◆",""))</f>
        <v/>
      </c>
      <c r="Q102" s="8" t="str">
        <f>IF(OR($A102="",$C102="",$D102="",$C102&gt;Q$6,$D102&lt;Q$9),"",IF($J102="里程碑","◆",""))</f>
        <v/>
      </c>
      <c r="R102" s="8" t="str">
        <f>IF(OR($A102="",$C102="",$D102="",$C102&gt;R$6,$D102&lt;R$9),"",IF($J102="里程碑","◆",""))</f>
        <v/>
      </c>
      <c r="S102" s="8" t="str">
        <f>IF(OR($A102="",$C102="",$D102="",$C102&gt;S$6,$D102&lt;S$9),"",IF($J102="里程碑","◆",""))</f>
        <v/>
      </c>
      <c r="T102" s="8" t="str">
        <f>IF(OR($A102="",$C102="",$D102="",$C102&gt;T$6,$D102&lt;T$9),"",IF($J102="里程碑","◆",""))</f>
        <v/>
      </c>
      <c r="U102" s="8" t="str">
        <f>IF(OR($A102="",$C102="",$D102="",$C102&gt;U$6,$D102&lt;U$9),"",IF($J102="里程碑","◆",""))</f>
        <v/>
      </c>
      <c r="V102" s="8" t="str">
        <f>IF(OR($A102="",$C102="",$D102="",$C102&gt;V$6,$D102&lt;V$9),"",IF($J102="里程碑","◆",""))</f>
        <v/>
      </c>
      <c r="W102" s="8" t="str">
        <f>IF(OR($A102="",$C102="",$D102="",$C102&gt;W$6,$D102&lt;W$9),"",IF($J102="里程碑","◆",""))</f>
        <v/>
      </c>
      <c r="X102" s="8" t="str">
        <f>IF(OR($A102="",$C102="",$D102="",$C102&gt;X$6,$D102&lt;X$9),"",IF($J102="里程碑","◆",""))</f>
        <v/>
      </c>
      <c r="Y102" s="8" t="str">
        <f>IF(OR($A102="",$C102="",$D102="",$C102&gt;Y$6,$D102&lt;Y$9),"",IF($J102="里程碑","◆",""))</f>
        <v/>
      </c>
      <c r="Z102" s="8" t="str">
        <f>IF(OR($A102="",$C102="",$D102="",$C102&gt;Z$6,$D102&lt;Z$9),"",IF($J102="里程碑","◆",""))</f>
        <v/>
      </c>
      <c r="AA102" s="8" t="str">
        <f>IF(OR($A102="",$C102="",$D102="",$C102&gt;AA$6,$D102&lt;AA$9),"",IF($J102="里程碑","◆",""))</f>
        <v/>
      </c>
      <c r="AB102" s="8" t="str">
        <f>IF(OR($A102="",$C102="",$D102="",$C102&gt;AB$6,$D102&lt;AB$9),"",IF($J102="里程碑","◆",""))</f>
        <v/>
      </c>
      <c r="AC102" s="8" t="str">
        <f>IF(OR($A102="",$C102="",$D102="",$C102&gt;AC$6,$D102&lt;AC$9),"",IF($J102="里程碑","◆",""))</f>
        <v/>
      </c>
      <c r="AD102" s="8" t="str">
        <f>IF(OR($A102="",$C102="",$D102="",$C102&gt;AD$6,$D102&lt;AD$9),"",IF($J102="里程碑","◆",""))</f>
        <v/>
      </c>
      <c r="AE102" s="8" t="str">
        <f>IF(OR($A102="",$C102="",$D102="",$C102&gt;AE$6,$D102&lt;AE$9),"",IF($J102="里程碑","◆",""))</f>
        <v/>
      </c>
      <c r="AF102" s="8" t="str">
        <f>IF(OR($A102="",$C102="",$D102="",$C102&gt;AF$6,$D102&lt;AF$9),"",IF($J102="里程碑","◆",""))</f>
        <v/>
      </c>
      <c r="AG102" s="8" t="str">
        <f>IF(OR($A102="",$C102="",$D102="",$C102&gt;AG$6,$D102&lt;AG$9),"",IF($J102="里程碑","◆",""))</f>
        <v/>
      </c>
      <c r="AH102" s="8" t="str">
        <f>IF(OR($A102="",$C102="",$D102="",$C102&gt;AH$6,$D102&lt;AH$9),"",IF($J102="里程碑","◆",""))</f>
        <v/>
      </c>
      <c r="AI102" s="8" t="str">
        <f>IF(OR($A102="",$C102="",$D102="",$C102&gt;AI$6,$D102&lt;AI$9),"",IF($J102="里程碑","◆",""))</f>
        <v/>
      </c>
      <c r="AJ102" s="8" t="str">
        <f>IF(OR($A102="",$C102="",$D102="",$C102&gt;AJ$6,$D102&lt;AJ$9),"",IF($J102="里程碑","◆",""))</f>
        <v/>
      </c>
      <c r="AK102" s="8" t="str">
        <f>IF(OR($A102="",$C102="",$D102="",$C102&gt;AK$6,$D102&lt;AK$9),"",IF($J102="里程碑","◆",""))</f>
        <v/>
      </c>
      <c r="AL102" s="8" t="str">
        <f>IF(OR($A102="",$C102="",$D102="",$C102&gt;AL$6,$D102&lt;AL$9),"",IF($J102="里程碑","◆",""))</f>
        <v/>
      </c>
      <c r="AM102" s="8" t="str">
        <f>IF(OR($A102="",$C102="",$D102="",$C102&gt;AM$6,$D102&lt;AM$9),"",IF($J102="里程碑","◆",""))</f>
        <v/>
      </c>
      <c r="AN102" s="8" t="str">
        <f>IF(OR($A102="",$C102="",$D102="",$C102&gt;AN$6,$D102&lt;AN$9),"",IF($J102="里程碑","◆",""))</f>
        <v/>
      </c>
      <c r="AO102" s="8" t="str">
        <f>IF(OR($A102="",$C102="",$D102="",$C102&gt;AO$6,$D102&lt;AO$9),"",IF($J102="里程碑","◆",""))</f>
        <v/>
      </c>
      <c r="AP102" s="8" t="str">
        <f>IF(OR($A102="",$C102="",$D102="",$C102&gt;AP$6,$D102&lt;AP$9),"",IF($J102="里程碑","◆",""))</f>
        <v/>
      </c>
      <c r="AQ102" s="8" t="str">
        <f>IF(OR($A102="",$C102="",$D102="",$C102&gt;AQ$6,$D102&lt;AQ$9),"",IF($J102="里程碑","◆",""))</f>
        <v/>
      </c>
      <c r="AR102" s="8" t="str">
        <f>IF(OR($A102="",$C102="",$D102="",$C102&gt;AR$6,$D102&lt;AR$9),"",IF($J102="里程碑","◆",""))</f>
        <v/>
      </c>
      <c r="AS102" s="8" t="str">
        <f>IF(OR($A102="",$C102="",$D102="",$C102&gt;AS$6,$D102&lt;AS$9),"",IF($J102="里程碑","◆",""))</f>
        <v/>
      </c>
      <c r="AT102" s="8" t="str">
        <f>IF(OR($A102="",$C102="",$D102="",$C102&gt;AT$6,$D102&lt;AT$9),"",IF($J102="里程碑","◆",""))</f>
        <v/>
      </c>
      <c r="AU102" s="8" t="str">
        <f>IF(OR($A102="",$C102="",$D102="",$C102&gt;AU$6,$D102&lt;AU$9),"",IF($J102="里程碑","◆",""))</f>
        <v/>
      </c>
      <c r="AV102" s="8" t="str">
        <f>IF(OR($A102="",$C102="",$D102="",$C102&gt;AV$6,$D102&lt;AV$9),"",IF($J102="里程碑","◆",""))</f>
        <v/>
      </c>
      <c r="AW102" s="8" t="str">
        <f>IF(OR($A102="",$C102="",$D102="",$C102&gt;AW$6,$D102&lt;AW$9),"",IF($J102="里程碑","◆",""))</f>
        <v/>
      </c>
      <c r="AX102" s="8" t="str">
        <f>IF(OR($A102="",$C102="",$D102="",$C102&gt;AX$6,$D102&lt;AX$9),"",IF($J102="里程碑","◆",""))</f>
        <v/>
      </c>
      <c r="AY102" s="8" t="str">
        <f>IF(OR($A102="",$C102="",$D102="",$C102&gt;AY$6,$D102&lt;AY$9),"",IF($J102="里程碑","◆",""))</f>
        <v/>
      </c>
      <c r="AZ102" s="8" t="str">
        <f>IF(OR($A102="",$C102="",$D102="",$C102&gt;AZ$6,$D102&lt;AZ$9),"",IF($J102="里程碑","◆",""))</f>
        <v/>
      </c>
      <c r="BA102" s="8" t="str">
        <f>IF(OR($A102="",$C102="",$D102="",$C102&gt;BA$6,$D102&lt;BA$9),"",IF($J102="里程碑","◆",""))</f>
        <v/>
      </c>
      <c r="BB102" s="8" t="str">
        <f>IF(OR($A102="",$C102="",$D102="",$C102&gt;BB$6,$D102&lt;BB$9),"",IF($J102="里程碑","◆",""))</f>
        <v/>
      </c>
      <c r="BC102" s="8" t="str">
        <f>IF(OR($A102="",$C102="",$D102="",$C102&gt;BC$6,$D102&lt;BC$9),"",IF($J102="里程碑","◆",""))</f>
        <v/>
      </c>
      <c r="BD102" s="8" t="str">
        <f>IF(OR($A102="",$C102="",$D102="",$C102&gt;BD$6,$D102&lt;BD$9),"",IF($J102="里程碑","◆",""))</f>
        <v/>
      </c>
      <c r="BE102" s="8" t="str">
        <f>IF(OR($A102="",$C102="",$D102="",$C102&gt;BE$6,$D102&lt;BE$9),"",IF($J102="里程碑","◆",""))</f>
        <v/>
      </c>
      <c r="BF102" s="8" t="str">
        <f>IF(OR($A102="",$C102="",$D102="",$C102&gt;BF$6,$D102&lt;BF$9),"",IF($J102="里程碑","◆",""))</f>
        <v/>
      </c>
      <c r="BG102" s="8" t="str">
        <f>IF(OR($A102="",$C102="",$D102="",$C102&gt;BG$6,$D102&lt;BG$9),"",IF($J102="里程碑","◆",""))</f>
        <v/>
      </c>
      <c r="BH102" s="8" t="str">
        <f>IF(OR($A102="",$C102="",$D102="",$C102&gt;BH$6,$D102&lt;BH$9),"",IF($J102="里程碑","◆",""))</f>
        <v/>
      </c>
      <c r="BI102" s="8" t="str">
        <f>IF(OR($A102="",$C102="",$D102="",$C102&gt;BI$6,$D102&lt;BI$9),"",IF($J102="里程碑","◆",""))</f>
        <v/>
      </c>
      <c r="BJ102" s="8" t="str">
        <f>IF(OR($A102="",$C102="",$D102="",$C102&gt;BJ$6,$D102&lt;BJ$9),"",IF($J102="里程碑","◆",""))</f>
        <v/>
      </c>
      <c r="BK102" s="8" t="str">
        <f>IF(OR($A102="",$C102="",$D102="",$C102&gt;BK$6,$D102&lt;BK$9),"",IF($J102="里程碑","◆",""))</f>
        <v/>
      </c>
      <c r="BL102" s="8" t="str">
        <f>IF(OR($A102="",$C102="",$D102="",$C102&gt;BL$6,$D102&lt;BL$9),"",IF($J102="里程碑","◆",""))</f>
        <v/>
      </c>
      <c r="BM102" s="8" t="str">
        <f>IF(OR($A102="",$C102="",$D102="",$C102&gt;BM$6,$D102&lt;BM$9),"",IF($J102="里程碑","◆",""))</f>
        <v/>
      </c>
      <c r="BN102" s="8" t="str">
        <f>IF(OR($A102="",$C102="",$D102="",$C102&gt;BN$6,$D102&lt;BN$9),"",IF($J102="里程碑","◆",""))</f>
        <v/>
      </c>
      <c r="BO102" s="8" t="str">
        <f>IF(OR($A102="",$C102="",$D102="",$C102&gt;BO$6,$D102&lt;BO$9),"",IF($J102="里程碑","◆",""))</f>
        <v/>
      </c>
      <c r="BP102" s="8" t="str">
        <f>IF(OR($A102="",$C102="",$D102="",$C102&gt;BP$6,$D102&lt;BP$9),"",IF($J102="里程碑","◆",""))</f>
        <v/>
      </c>
      <c r="BQ102" s="8" t="str">
        <f>IF(OR($A102="",$C102="",$D102="",$C102&gt;BQ$6,$D102&lt;BQ$9),"",IF($J102="里程碑","◆",""))</f>
        <v/>
      </c>
      <c r="BR102" s="8" t="str">
        <f>IF(OR($A102="",$C102="",$D102="",$C102&gt;BR$6,$D102&lt;BR$9),"",IF($J102="里程碑","◆",""))</f>
        <v/>
      </c>
      <c r="BS102" s="8" t="str">
        <f>IF(OR($A102="",$C102="",$D102="",$C102&gt;BS$6,$D102&lt;BS$9),"",IF($J102="里程碑","◆",""))</f>
        <v/>
      </c>
      <c r="BT102" s="8" t="str">
        <f>IF(OR($A102="",$C102="",$D102="",$C102&gt;BT$6,$D102&lt;BT$9),"",IF($J102="里程碑","◆",""))</f>
        <v/>
      </c>
      <c r="BU102" s="8" t="str">
        <f>IF(OR($A102="",$C102="",$D102="",$C102&gt;BU$6,$D102&lt;BU$9),"",IF($J102="里程碑","◆",""))</f>
        <v/>
      </c>
      <c r="BV102" s="8" t="str">
        <f>IF(OR($A102="",$C102="",$D102="",$C102&gt;BV$6,$D102&lt;BV$9),"",IF($J102="里程碑","◆",""))</f>
        <v/>
      </c>
      <c r="BW102" s="8" t="str">
        <f>IF(OR($A102="",$C102="",$D102="",$C102&gt;BW$6,$D102&lt;BW$9),"",IF($J102="里程碑","◆",""))</f>
        <v/>
      </c>
      <c r="BX102" s="8" t="str">
        <f>IF(OR($A102="",$C102="",$D102="",$C102&gt;BX$6,$D102&lt;BX$9),"",IF($J102="里程碑","◆",""))</f>
        <v/>
      </c>
      <c r="BY102" s="8" t="str">
        <f>IF(OR($A102="",$C102="",$D102="",$C102&gt;BY$6,$D102&lt;BY$9),"",IF($J102="里程碑","◆",""))</f>
        <v/>
      </c>
      <c r="BZ102" s="8" t="str">
        <f>IF(OR($A102="",$C102="",$D102="",$C102&gt;BZ$6,$D102&lt;BZ$9),"",IF($J102="里程碑","◆",""))</f>
        <v/>
      </c>
      <c r="CA102" s="8" t="str">
        <f>IF(OR($A102="",$C102="",$D102="",$C102&gt;CA$6,$D102&lt;CA$9),"",IF($J102="里程碑","◆",""))</f>
        <v/>
      </c>
      <c r="CB102" s="8" t="str">
        <f>IF(OR($A102="",$C102="",$D102="",$C102&gt;CB$6,$D102&lt;CB$9),"",IF($J102="里程碑","◆",""))</f>
        <v/>
      </c>
      <c r="CC102" s="8" t="str">
        <f>IF(OR($A102="",$C102="",$D102="",$C102&gt;CC$6,$D102&lt;CC$9),"",IF($J102="里程碑","◆",""))</f>
        <v/>
      </c>
      <c r="CD102" s="8" t="str">
        <f>IF(OR($A102="",$C102="",$D102="",$C102&gt;CD$6,$D102&lt;CD$9),"",IF($J102="里程碑","◆",""))</f>
        <v/>
      </c>
      <c r="CE102" s="8" t="str">
        <f>IF(OR($A102="",$C102="",$D102="",$C102&gt;CE$6,$D102&lt;CE$9),"",IF($J102="里程碑","◆",""))</f>
        <v/>
      </c>
      <c r="CF102" s="8" t="str">
        <f>IF(OR($A102="",$C102="",$D102="",$C102&gt;CF$6,$D102&lt;CF$9),"",IF($J102="里程碑","◆",""))</f>
        <v/>
      </c>
      <c r="CG102" s="8" t="str">
        <f>IF(OR($A102="",$C102="",$D102="",$C102&gt;CG$6,$D102&lt;CG$9),"",IF($J102="里程碑","◆",""))</f>
        <v/>
      </c>
      <c r="CH102" s="8" t="str">
        <f>IF(OR($A102="",$C102="",$D102="",$C102&gt;CH$6,$D102&lt;CH$9),"",IF($J102="里程碑","◆",""))</f>
        <v/>
      </c>
      <c r="CI102" s="8" t="str">
        <f>IF(OR($A102="",$C102="",$D102="",$C102&gt;CI$6,$D102&lt;CI$9),"",IF($J102="里程碑","◆",""))</f>
        <v/>
      </c>
      <c r="CJ102" s="8" t="str">
        <f>IF(OR($A102="",$C102="",$D102="",$C102&gt;CJ$6,$D102&lt;CJ$9),"",IF($J102="里程碑","◆",""))</f>
        <v/>
      </c>
      <c r="CK102" s="8" t="str">
        <f>IF(OR($A102="",$C102="",$D102="",$C102&gt;CK$6,$D102&lt;CK$9),"",IF($J102="里程碑","◆",""))</f>
        <v/>
      </c>
      <c r="CL102" s="8" t="str">
        <f>IF(OR($A102="",$C102="",$D102="",$C102&gt;CL$6,$D102&lt;CL$9),"",IF($J102="里程碑","◆",""))</f>
        <v/>
      </c>
      <c r="CM102" s="8" t="str">
        <f>IF(OR($A102="",$C102="",$D102="",$C102&gt;CM$6,$D102&lt;CM$9),"",IF($J102="里程碑","◆",""))</f>
        <v/>
      </c>
      <c r="CN102" s="8" t="str">
        <f>IF(OR($A102="",$C102="",$D102="",$C102&gt;CN$6,$D102&lt;CN$9),"",IF($J102="里程碑","◆",""))</f>
        <v/>
      </c>
      <c r="CO102" s="8" t="str">
        <f>IF(OR($A102="",$C102="",$D102="",$C102&gt;CO$6,$D102&lt;CO$9),"",IF($J102="里程碑","◆",""))</f>
        <v/>
      </c>
      <c r="CP102" s="8" t="str">
        <f>IF(OR($A102="",$C102="",$D102="",$C102&gt;CP$6,$D102&lt;CP$9),"",IF($J102="里程碑","◆",""))</f>
        <v/>
      </c>
      <c r="CQ102" s="8" t="str">
        <f>IF(OR($A102="",$C102="",$D102="",$C102&gt;CQ$6,$D102&lt;CQ$9),"",IF($J102="里程碑","◆",""))</f>
        <v/>
      </c>
      <c r="CR102" s="8" t="str">
        <f>IF(OR($A102="",$C102="",$D102="",$C102&gt;CR$6,$D102&lt;CR$9),"",IF($J102="里程碑","◆",""))</f>
        <v/>
      </c>
      <c r="CS102" s="8" t="str">
        <f>IF(OR($A102="",$C102="",$D102="",$C102&gt;CS$6,$D102&lt;CS$9),"",IF($J102="里程碑","◆",""))</f>
        <v/>
      </c>
      <c r="CT102" s="8" t="str">
        <f>IF(OR($A102="",$C102="",$D102="",$C102&gt;CT$6,$D102&lt;CT$9),"",IF($J102="里程碑","◆",""))</f>
        <v/>
      </c>
      <c r="CU102" s="8" t="str">
        <f>IF(OR($A102="",$C102="",$D102="",$C102&gt;CU$6,$D102&lt;CU$9),"",IF($J102="里程碑","◆",""))</f>
        <v/>
      </c>
      <c r="CV102" s="8" t="str">
        <f>IF(OR($A102="",$C102="",$D102="",$C102&gt;CV$6,$D102&lt;CV$9),"",IF($J102="里程碑","◆",""))</f>
        <v/>
      </c>
      <c r="CW102" s="8" t="str">
        <f>IF(OR($A102="",$C102="",$D102="",$C102&gt;CW$6,$D102&lt;CW$9),"",IF($J102="里程碑","◆",""))</f>
        <v/>
      </c>
      <c r="CX102" s="8" t="str">
        <f>IF(OR($A102="",$C102="",$D102="",$C102&gt;CX$6,$D102&lt;CX$9),"",IF($J102="里程碑","◆",""))</f>
        <v/>
      </c>
      <c r="CY102" s="8" t="str">
        <f>IF(OR($A102="",$C102="",$D102="",$C102&gt;CY$6,$D102&lt;CY$9),"",IF($J102="里程碑","◆",""))</f>
        <v/>
      </c>
      <c r="CZ102" s="8" t="str">
        <f>IF(OR($A102="",$C102="",$D102="",$C102&gt;CZ$6,$D102&lt;CZ$9),"",IF($J102="里程碑","◆",""))</f>
        <v/>
      </c>
      <c r="DA102" s="8" t="str">
        <f>IF(OR($A102="",$C102="",$D102="",$C102&gt;DA$6,$D102&lt;DA$9),"",IF($J102="里程碑","◆",""))</f>
        <v/>
      </c>
      <c r="DB102" s="8" t="str">
        <f>IF(OR($A102="",$C102="",$D102="",$C102&gt;DB$6,$D102&lt;DB$9),"",IF($J102="里程碑","◆",""))</f>
        <v/>
      </c>
      <c r="DC102" s="1" t="str">
        <f>IF(ROW()-9&gt;$DH$3,"",MATCH(ROW()-9,排期计算!$U$10:$U$109,0))</f>
        <v/>
      </c>
      <c r="DD102" s="1" t="str">
        <f>IF($DC102="","",INDEX(排期计算!$L$10:$L$109,$DC102))</f>
        <v/>
      </c>
      <c r="DE102" s="1"/>
      <c r="DF102" s="1"/>
      <c r="DG102" s="1"/>
      <c r="DH102" s="1"/>
      <c r="DI102" s="1"/>
      <c r="DJ102" s="1"/>
      <c r="DK102" s="1"/>
    </row>
    <row r="103" spans="1:115" ht="24.95" customHeight="1">
      <c r="A103" s="9" t="str">
        <f>IF($DC103="","",IF(AND(INDEX(排期计算!$A$10:$A$109,$DC103)="",NOT(ISNUMBER(INDEX(排期计算!$A$10:$A$109,$DC103)))),"",INDEX(排期计算!$A$10:$A$109,$DC103)))</f>
        <v/>
      </c>
      <c r="B103" s="1" t="str">
        <f>IF($DC103="","",REPT("　",$DD103-1)&amp;INDEX(排期计算!$B$10:$B$109,$DC103))</f>
        <v/>
      </c>
      <c r="C103" s="3" t="str">
        <f>IF($DC103="","",IF(AND(INDEX(排期计算!$M$10:$M$109,$DC103)="",NOT(ISNUMBER(INDEX(排期计算!$M$10:$M$109,$DC103)))),"",INDEX(排期计算!$M$10:$M$109,$DC103)))</f>
        <v/>
      </c>
      <c r="D103" s="3" t="str">
        <f>IF($DC103="","",IF(AND(INDEX(排期计算!$N$10:$N$109,$DC103)="",NOT(ISNUMBER(INDEX(排期计算!$N$10:$N$109,$DC103)))),"",INDEX(排期计算!$N$10:$N$109,$DC103)))</f>
        <v/>
      </c>
      <c r="E103" s="1" t="str">
        <f>IF(OR($C103="",$D103=""),"",IF($J103="里程碑",0,NETWORKDAYS($C103,$D103)))</f>
        <v/>
      </c>
      <c r="F103" s="7" t="str">
        <f>IF($DC103="","",IF(AND(INDEX(排期计算!$O$10:$O$109,$DC103)="",NOT(ISNUMBER(INDEX(排期计算!$O$10:$O$109,$DC103)))),"",INDEX(排期计算!$O$10:$O$109,$DC103)))</f>
        <v/>
      </c>
      <c r="G103" s="8" t="str">
        <f>IF($A103="","",IF(OR($C103="",$D103=""),"未排期",IF($F103&gt;=1,"已完成",IF($D103&lt;$B$4,"逾期",IF($C103&gt;$B$4,"未开始","进行中")))))</f>
        <v/>
      </c>
      <c r="H103" s="1" t="str">
        <f>IF($DC103="","",IF(AND(INDEX(排期计算!$C$10:$C$109,$DC103)="",NOT(ISNUMBER(INDEX(排期计算!$C$10:$C$109,$DC103)))),"",INDEX(排期计算!$C$10:$C$109,$DC103)))</f>
        <v/>
      </c>
      <c r="I103" s="1" t="str">
        <f>IF($DC103="","",IF(AND(INDEX(排期计算!$H$10:$H$109,$DC103)="",NOT(ISNUMBER(INDEX(排期计算!$H$10:$H$109,$DC103)))),"",INDEX(排期计算!$H$10:$H$109,$DC103)))</f>
        <v/>
      </c>
      <c r="J103" s="1" t="str">
        <f>IF($DC103="","",IF(AND(INDEX(排期计算!$K$10:$K$109,$DC103)="",NOT(ISNUMBER(INDEX(排期计算!$K$10:$K$109,$DC103)))),"",INDEX(排期计算!$K$10:$K$109,$DC103)))</f>
        <v/>
      </c>
      <c r="K103" s="8" t="str">
        <f>IF(OR($A103="",$C103="",$D103="",$C103&gt;K$6,$D103&lt;K$9),"",IF($J103="里程碑","◆",""))</f>
        <v/>
      </c>
      <c r="L103" s="8" t="str">
        <f>IF(OR($A103="",$C103="",$D103="",$C103&gt;L$6,$D103&lt;L$9),"",IF($J103="里程碑","◆",""))</f>
        <v/>
      </c>
      <c r="M103" s="8" t="str">
        <f>IF(OR($A103="",$C103="",$D103="",$C103&gt;M$6,$D103&lt;M$9),"",IF($J103="里程碑","◆",""))</f>
        <v/>
      </c>
      <c r="N103" s="8" t="str">
        <f>IF(OR($A103="",$C103="",$D103="",$C103&gt;N$6,$D103&lt;N$9),"",IF($J103="里程碑","◆",""))</f>
        <v/>
      </c>
      <c r="O103" s="8" t="str">
        <f>IF(OR($A103="",$C103="",$D103="",$C103&gt;O$6,$D103&lt;O$9),"",IF($J103="里程碑","◆",""))</f>
        <v/>
      </c>
      <c r="P103" s="8" t="str">
        <f>IF(OR($A103="",$C103="",$D103="",$C103&gt;P$6,$D103&lt;P$9),"",IF($J103="里程碑","◆",""))</f>
        <v/>
      </c>
      <c r="Q103" s="8" t="str">
        <f>IF(OR($A103="",$C103="",$D103="",$C103&gt;Q$6,$D103&lt;Q$9),"",IF($J103="里程碑","◆",""))</f>
        <v/>
      </c>
      <c r="R103" s="8" t="str">
        <f>IF(OR($A103="",$C103="",$D103="",$C103&gt;R$6,$D103&lt;R$9),"",IF($J103="里程碑","◆",""))</f>
        <v/>
      </c>
      <c r="S103" s="8" t="str">
        <f>IF(OR($A103="",$C103="",$D103="",$C103&gt;S$6,$D103&lt;S$9),"",IF($J103="里程碑","◆",""))</f>
        <v/>
      </c>
      <c r="T103" s="8" t="str">
        <f>IF(OR($A103="",$C103="",$D103="",$C103&gt;T$6,$D103&lt;T$9),"",IF($J103="里程碑","◆",""))</f>
        <v/>
      </c>
      <c r="U103" s="8" t="str">
        <f>IF(OR($A103="",$C103="",$D103="",$C103&gt;U$6,$D103&lt;U$9),"",IF($J103="里程碑","◆",""))</f>
        <v/>
      </c>
      <c r="V103" s="8" t="str">
        <f>IF(OR($A103="",$C103="",$D103="",$C103&gt;V$6,$D103&lt;V$9),"",IF($J103="里程碑","◆",""))</f>
        <v/>
      </c>
      <c r="W103" s="8" t="str">
        <f>IF(OR($A103="",$C103="",$D103="",$C103&gt;W$6,$D103&lt;W$9),"",IF($J103="里程碑","◆",""))</f>
        <v/>
      </c>
      <c r="X103" s="8" t="str">
        <f>IF(OR($A103="",$C103="",$D103="",$C103&gt;X$6,$D103&lt;X$9),"",IF($J103="里程碑","◆",""))</f>
        <v/>
      </c>
      <c r="Y103" s="8" t="str">
        <f>IF(OR($A103="",$C103="",$D103="",$C103&gt;Y$6,$D103&lt;Y$9),"",IF($J103="里程碑","◆",""))</f>
        <v/>
      </c>
      <c r="Z103" s="8" t="str">
        <f>IF(OR($A103="",$C103="",$D103="",$C103&gt;Z$6,$D103&lt;Z$9),"",IF($J103="里程碑","◆",""))</f>
        <v/>
      </c>
      <c r="AA103" s="8" t="str">
        <f>IF(OR($A103="",$C103="",$D103="",$C103&gt;AA$6,$D103&lt;AA$9),"",IF($J103="里程碑","◆",""))</f>
        <v/>
      </c>
      <c r="AB103" s="8" t="str">
        <f>IF(OR($A103="",$C103="",$D103="",$C103&gt;AB$6,$D103&lt;AB$9),"",IF($J103="里程碑","◆",""))</f>
        <v/>
      </c>
      <c r="AC103" s="8" t="str">
        <f>IF(OR($A103="",$C103="",$D103="",$C103&gt;AC$6,$D103&lt;AC$9),"",IF($J103="里程碑","◆",""))</f>
        <v/>
      </c>
      <c r="AD103" s="8" t="str">
        <f>IF(OR($A103="",$C103="",$D103="",$C103&gt;AD$6,$D103&lt;AD$9),"",IF($J103="里程碑","◆",""))</f>
        <v/>
      </c>
      <c r="AE103" s="8" t="str">
        <f>IF(OR($A103="",$C103="",$D103="",$C103&gt;AE$6,$D103&lt;AE$9),"",IF($J103="里程碑","◆",""))</f>
        <v/>
      </c>
      <c r="AF103" s="8" t="str">
        <f>IF(OR($A103="",$C103="",$D103="",$C103&gt;AF$6,$D103&lt;AF$9),"",IF($J103="里程碑","◆",""))</f>
        <v/>
      </c>
      <c r="AG103" s="8" t="str">
        <f>IF(OR($A103="",$C103="",$D103="",$C103&gt;AG$6,$D103&lt;AG$9),"",IF($J103="里程碑","◆",""))</f>
        <v/>
      </c>
      <c r="AH103" s="8" t="str">
        <f>IF(OR($A103="",$C103="",$D103="",$C103&gt;AH$6,$D103&lt;AH$9),"",IF($J103="里程碑","◆",""))</f>
        <v/>
      </c>
      <c r="AI103" s="8" t="str">
        <f>IF(OR($A103="",$C103="",$D103="",$C103&gt;AI$6,$D103&lt;AI$9),"",IF($J103="里程碑","◆",""))</f>
        <v/>
      </c>
      <c r="AJ103" s="8" t="str">
        <f>IF(OR($A103="",$C103="",$D103="",$C103&gt;AJ$6,$D103&lt;AJ$9),"",IF($J103="里程碑","◆",""))</f>
        <v/>
      </c>
      <c r="AK103" s="8" t="str">
        <f>IF(OR($A103="",$C103="",$D103="",$C103&gt;AK$6,$D103&lt;AK$9),"",IF($J103="里程碑","◆",""))</f>
        <v/>
      </c>
      <c r="AL103" s="8" t="str">
        <f>IF(OR($A103="",$C103="",$D103="",$C103&gt;AL$6,$D103&lt;AL$9),"",IF($J103="里程碑","◆",""))</f>
        <v/>
      </c>
      <c r="AM103" s="8" t="str">
        <f>IF(OR($A103="",$C103="",$D103="",$C103&gt;AM$6,$D103&lt;AM$9),"",IF($J103="里程碑","◆",""))</f>
        <v/>
      </c>
      <c r="AN103" s="8" t="str">
        <f>IF(OR($A103="",$C103="",$D103="",$C103&gt;AN$6,$D103&lt;AN$9),"",IF($J103="里程碑","◆",""))</f>
        <v/>
      </c>
      <c r="AO103" s="8" t="str">
        <f>IF(OR($A103="",$C103="",$D103="",$C103&gt;AO$6,$D103&lt;AO$9),"",IF($J103="里程碑","◆",""))</f>
        <v/>
      </c>
      <c r="AP103" s="8" t="str">
        <f>IF(OR($A103="",$C103="",$D103="",$C103&gt;AP$6,$D103&lt;AP$9),"",IF($J103="里程碑","◆",""))</f>
        <v/>
      </c>
      <c r="AQ103" s="8" t="str">
        <f>IF(OR($A103="",$C103="",$D103="",$C103&gt;AQ$6,$D103&lt;AQ$9),"",IF($J103="里程碑","◆",""))</f>
        <v/>
      </c>
      <c r="AR103" s="8" t="str">
        <f>IF(OR($A103="",$C103="",$D103="",$C103&gt;AR$6,$D103&lt;AR$9),"",IF($J103="里程碑","◆",""))</f>
        <v/>
      </c>
      <c r="AS103" s="8" t="str">
        <f>IF(OR($A103="",$C103="",$D103="",$C103&gt;AS$6,$D103&lt;AS$9),"",IF($J103="里程碑","◆",""))</f>
        <v/>
      </c>
      <c r="AT103" s="8" t="str">
        <f>IF(OR($A103="",$C103="",$D103="",$C103&gt;AT$6,$D103&lt;AT$9),"",IF($J103="里程碑","◆",""))</f>
        <v/>
      </c>
      <c r="AU103" s="8" t="str">
        <f>IF(OR($A103="",$C103="",$D103="",$C103&gt;AU$6,$D103&lt;AU$9),"",IF($J103="里程碑","◆",""))</f>
        <v/>
      </c>
      <c r="AV103" s="8" t="str">
        <f>IF(OR($A103="",$C103="",$D103="",$C103&gt;AV$6,$D103&lt;AV$9),"",IF($J103="里程碑","◆",""))</f>
        <v/>
      </c>
      <c r="AW103" s="8" t="str">
        <f>IF(OR($A103="",$C103="",$D103="",$C103&gt;AW$6,$D103&lt;AW$9),"",IF($J103="里程碑","◆",""))</f>
        <v/>
      </c>
      <c r="AX103" s="8" t="str">
        <f>IF(OR($A103="",$C103="",$D103="",$C103&gt;AX$6,$D103&lt;AX$9),"",IF($J103="里程碑","◆",""))</f>
        <v/>
      </c>
      <c r="AY103" s="8" t="str">
        <f>IF(OR($A103="",$C103="",$D103="",$C103&gt;AY$6,$D103&lt;AY$9),"",IF($J103="里程碑","◆",""))</f>
        <v/>
      </c>
      <c r="AZ103" s="8" t="str">
        <f>IF(OR($A103="",$C103="",$D103="",$C103&gt;AZ$6,$D103&lt;AZ$9),"",IF($J103="里程碑","◆",""))</f>
        <v/>
      </c>
      <c r="BA103" s="8" t="str">
        <f>IF(OR($A103="",$C103="",$D103="",$C103&gt;BA$6,$D103&lt;BA$9),"",IF($J103="里程碑","◆",""))</f>
        <v/>
      </c>
      <c r="BB103" s="8" t="str">
        <f>IF(OR($A103="",$C103="",$D103="",$C103&gt;BB$6,$D103&lt;BB$9),"",IF($J103="里程碑","◆",""))</f>
        <v/>
      </c>
      <c r="BC103" s="8" t="str">
        <f>IF(OR($A103="",$C103="",$D103="",$C103&gt;BC$6,$D103&lt;BC$9),"",IF($J103="里程碑","◆",""))</f>
        <v/>
      </c>
      <c r="BD103" s="8" t="str">
        <f>IF(OR($A103="",$C103="",$D103="",$C103&gt;BD$6,$D103&lt;BD$9),"",IF($J103="里程碑","◆",""))</f>
        <v/>
      </c>
      <c r="BE103" s="8" t="str">
        <f>IF(OR($A103="",$C103="",$D103="",$C103&gt;BE$6,$D103&lt;BE$9),"",IF($J103="里程碑","◆",""))</f>
        <v/>
      </c>
      <c r="BF103" s="8" t="str">
        <f>IF(OR($A103="",$C103="",$D103="",$C103&gt;BF$6,$D103&lt;BF$9),"",IF($J103="里程碑","◆",""))</f>
        <v/>
      </c>
      <c r="BG103" s="8" t="str">
        <f>IF(OR($A103="",$C103="",$D103="",$C103&gt;BG$6,$D103&lt;BG$9),"",IF($J103="里程碑","◆",""))</f>
        <v/>
      </c>
      <c r="BH103" s="8" t="str">
        <f>IF(OR($A103="",$C103="",$D103="",$C103&gt;BH$6,$D103&lt;BH$9),"",IF($J103="里程碑","◆",""))</f>
        <v/>
      </c>
      <c r="BI103" s="8" t="str">
        <f>IF(OR($A103="",$C103="",$D103="",$C103&gt;BI$6,$D103&lt;BI$9),"",IF($J103="里程碑","◆",""))</f>
        <v/>
      </c>
      <c r="BJ103" s="8" t="str">
        <f>IF(OR($A103="",$C103="",$D103="",$C103&gt;BJ$6,$D103&lt;BJ$9),"",IF($J103="里程碑","◆",""))</f>
        <v/>
      </c>
      <c r="BK103" s="8" t="str">
        <f>IF(OR($A103="",$C103="",$D103="",$C103&gt;BK$6,$D103&lt;BK$9),"",IF($J103="里程碑","◆",""))</f>
        <v/>
      </c>
      <c r="BL103" s="8" t="str">
        <f>IF(OR($A103="",$C103="",$D103="",$C103&gt;BL$6,$D103&lt;BL$9),"",IF($J103="里程碑","◆",""))</f>
        <v/>
      </c>
      <c r="BM103" s="8" t="str">
        <f>IF(OR($A103="",$C103="",$D103="",$C103&gt;BM$6,$D103&lt;BM$9),"",IF($J103="里程碑","◆",""))</f>
        <v/>
      </c>
      <c r="BN103" s="8" t="str">
        <f>IF(OR($A103="",$C103="",$D103="",$C103&gt;BN$6,$D103&lt;BN$9),"",IF($J103="里程碑","◆",""))</f>
        <v/>
      </c>
      <c r="BO103" s="8" t="str">
        <f>IF(OR($A103="",$C103="",$D103="",$C103&gt;BO$6,$D103&lt;BO$9),"",IF($J103="里程碑","◆",""))</f>
        <v/>
      </c>
      <c r="BP103" s="8" t="str">
        <f>IF(OR($A103="",$C103="",$D103="",$C103&gt;BP$6,$D103&lt;BP$9),"",IF($J103="里程碑","◆",""))</f>
        <v/>
      </c>
      <c r="BQ103" s="8" t="str">
        <f>IF(OR($A103="",$C103="",$D103="",$C103&gt;BQ$6,$D103&lt;BQ$9),"",IF($J103="里程碑","◆",""))</f>
        <v/>
      </c>
      <c r="BR103" s="8" t="str">
        <f>IF(OR($A103="",$C103="",$D103="",$C103&gt;BR$6,$D103&lt;BR$9),"",IF($J103="里程碑","◆",""))</f>
        <v/>
      </c>
      <c r="BS103" s="8" t="str">
        <f>IF(OR($A103="",$C103="",$D103="",$C103&gt;BS$6,$D103&lt;BS$9),"",IF($J103="里程碑","◆",""))</f>
        <v/>
      </c>
      <c r="BT103" s="8" t="str">
        <f>IF(OR($A103="",$C103="",$D103="",$C103&gt;BT$6,$D103&lt;BT$9),"",IF($J103="里程碑","◆",""))</f>
        <v/>
      </c>
      <c r="BU103" s="8" t="str">
        <f>IF(OR($A103="",$C103="",$D103="",$C103&gt;BU$6,$D103&lt;BU$9),"",IF($J103="里程碑","◆",""))</f>
        <v/>
      </c>
      <c r="BV103" s="8" t="str">
        <f>IF(OR($A103="",$C103="",$D103="",$C103&gt;BV$6,$D103&lt;BV$9),"",IF($J103="里程碑","◆",""))</f>
        <v/>
      </c>
      <c r="BW103" s="8" t="str">
        <f>IF(OR($A103="",$C103="",$D103="",$C103&gt;BW$6,$D103&lt;BW$9),"",IF($J103="里程碑","◆",""))</f>
        <v/>
      </c>
      <c r="BX103" s="8" t="str">
        <f>IF(OR($A103="",$C103="",$D103="",$C103&gt;BX$6,$D103&lt;BX$9),"",IF($J103="里程碑","◆",""))</f>
        <v/>
      </c>
      <c r="BY103" s="8" t="str">
        <f>IF(OR($A103="",$C103="",$D103="",$C103&gt;BY$6,$D103&lt;BY$9),"",IF($J103="里程碑","◆",""))</f>
        <v/>
      </c>
      <c r="BZ103" s="8" t="str">
        <f>IF(OR($A103="",$C103="",$D103="",$C103&gt;BZ$6,$D103&lt;BZ$9),"",IF($J103="里程碑","◆",""))</f>
        <v/>
      </c>
      <c r="CA103" s="8" t="str">
        <f>IF(OR($A103="",$C103="",$D103="",$C103&gt;CA$6,$D103&lt;CA$9),"",IF($J103="里程碑","◆",""))</f>
        <v/>
      </c>
      <c r="CB103" s="8" t="str">
        <f>IF(OR($A103="",$C103="",$D103="",$C103&gt;CB$6,$D103&lt;CB$9),"",IF($J103="里程碑","◆",""))</f>
        <v/>
      </c>
      <c r="CC103" s="8" t="str">
        <f>IF(OR($A103="",$C103="",$D103="",$C103&gt;CC$6,$D103&lt;CC$9),"",IF($J103="里程碑","◆",""))</f>
        <v/>
      </c>
      <c r="CD103" s="8" t="str">
        <f>IF(OR($A103="",$C103="",$D103="",$C103&gt;CD$6,$D103&lt;CD$9),"",IF($J103="里程碑","◆",""))</f>
        <v/>
      </c>
      <c r="CE103" s="8" t="str">
        <f>IF(OR($A103="",$C103="",$D103="",$C103&gt;CE$6,$D103&lt;CE$9),"",IF($J103="里程碑","◆",""))</f>
        <v/>
      </c>
      <c r="CF103" s="8" t="str">
        <f>IF(OR($A103="",$C103="",$D103="",$C103&gt;CF$6,$D103&lt;CF$9),"",IF($J103="里程碑","◆",""))</f>
        <v/>
      </c>
      <c r="CG103" s="8" t="str">
        <f>IF(OR($A103="",$C103="",$D103="",$C103&gt;CG$6,$D103&lt;CG$9),"",IF($J103="里程碑","◆",""))</f>
        <v/>
      </c>
      <c r="CH103" s="8" t="str">
        <f>IF(OR($A103="",$C103="",$D103="",$C103&gt;CH$6,$D103&lt;CH$9),"",IF($J103="里程碑","◆",""))</f>
        <v/>
      </c>
      <c r="CI103" s="8" t="str">
        <f>IF(OR($A103="",$C103="",$D103="",$C103&gt;CI$6,$D103&lt;CI$9),"",IF($J103="里程碑","◆",""))</f>
        <v/>
      </c>
      <c r="CJ103" s="8" t="str">
        <f>IF(OR($A103="",$C103="",$D103="",$C103&gt;CJ$6,$D103&lt;CJ$9),"",IF($J103="里程碑","◆",""))</f>
        <v/>
      </c>
      <c r="CK103" s="8" t="str">
        <f>IF(OR($A103="",$C103="",$D103="",$C103&gt;CK$6,$D103&lt;CK$9),"",IF($J103="里程碑","◆",""))</f>
        <v/>
      </c>
      <c r="CL103" s="8" t="str">
        <f>IF(OR($A103="",$C103="",$D103="",$C103&gt;CL$6,$D103&lt;CL$9),"",IF($J103="里程碑","◆",""))</f>
        <v/>
      </c>
      <c r="CM103" s="8" t="str">
        <f>IF(OR($A103="",$C103="",$D103="",$C103&gt;CM$6,$D103&lt;CM$9),"",IF($J103="里程碑","◆",""))</f>
        <v/>
      </c>
      <c r="CN103" s="8" t="str">
        <f>IF(OR($A103="",$C103="",$D103="",$C103&gt;CN$6,$D103&lt;CN$9),"",IF($J103="里程碑","◆",""))</f>
        <v/>
      </c>
      <c r="CO103" s="8" t="str">
        <f>IF(OR($A103="",$C103="",$D103="",$C103&gt;CO$6,$D103&lt;CO$9),"",IF($J103="里程碑","◆",""))</f>
        <v/>
      </c>
      <c r="CP103" s="8" t="str">
        <f>IF(OR($A103="",$C103="",$D103="",$C103&gt;CP$6,$D103&lt;CP$9),"",IF($J103="里程碑","◆",""))</f>
        <v/>
      </c>
      <c r="CQ103" s="8" t="str">
        <f>IF(OR($A103="",$C103="",$D103="",$C103&gt;CQ$6,$D103&lt;CQ$9),"",IF($J103="里程碑","◆",""))</f>
        <v/>
      </c>
      <c r="CR103" s="8" t="str">
        <f>IF(OR($A103="",$C103="",$D103="",$C103&gt;CR$6,$D103&lt;CR$9),"",IF($J103="里程碑","◆",""))</f>
        <v/>
      </c>
      <c r="CS103" s="8" t="str">
        <f>IF(OR($A103="",$C103="",$D103="",$C103&gt;CS$6,$D103&lt;CS$9),"",IF($J103="里程碑","◆",""))</f>
        <v/>
      </c>
      <c r="CT103" s="8" t="str">
        <f>IF(OR($A103="",$C103="",$D103="",$C103&gt;CT$6,$D103&lt;CT$9),"",IF($J103="里程碑","◆",""))</f>
        <v/>
      </c>
      <c r="CU103" s="8" t="str">
        <f>IF(OR($A103="",$C103="",$D103="",$C103&gt;CU$6,$D103&lt;CU$9),"",IF($J103="里程碑","◆",""))</f>
        <v/>
      </c>
      <c r="CV103" s="8" t="str">
        <f>IF(OR($A103="",$C103="",$D103="",$C103&gt;CV$6,$D103&lt;CV$9),"",IF($J103="里程碑","◆",""))</f>
        <v/>
      </c>
      <c r="CW103" s="8" t="str">
        <f>IF(OR($A103="",$C103="",$D103="",$C103&gt;CW$6,$D103&lt;CW$9),"",IF($J103="里程碑","◆",""))</f>
        <v/>
      </c>
      <c r="CX103" s="8" t="str">
        <f>IF(OR($A103="",$C103="",$D103="",$C103&gt;CX$6,$D103&lt;CX$9),"",IF($J103="里程碑","◆",""))</f>
        <v/>
      </c>
      <c r="CY103" s="8" t="str">
        <f>IF(OR($A103="",$C103="",$D103="",$C103&gt;CY$6,$D103&lt;CY$9),"",IF($J103="里程碑","◆",""))</f>
        <v/>
      </c>
      <c r="CZ103" s="8" t="str">
        <f>IF(OR($A103="",$C103="",$D103="",$C103&gt;CZ$6,$D103&lt;CZ$9),"",IF($J103="里程碑","◆",""))</f>
        <v/>
      </c>
      <c r="DA103" s="8" t="str">
        <f>IF(OR($A103="",$C103="",$D103="",$C103&gt;DA$6,$D103&lt;DA$9),"",IF($J103="里程碑","◆",""))</f>
        <v/>
      </c>
      <c r="DB103" s="8" t="str">
        <f>IF(OR($A103="",$C103="",$D103="",$C103&gt;DB$6,$D103&lt;DB$9),"",IF($J103="里程碑","◆",""))</f>
        <v/>
      </c>
      <c r="DC103" s="1" t="str">
        <f>IF(ROW()-9&gt;$DH$3,"",MATCH(ROW()-9,排期计算!$U$10:$U$109,0))</f>
        <v/>
      </c>
      <c r="DD103" s="1" t="str">
        <f>IF($DC103="","",INDEX(排期计算!$L$10:$L$109,$DC103))</f>
        <v/>
      </c>
      <c r="DE103" s="1"/>
      <c r="DF103" s="1"/>
      <c r="DG103" s="1"/>
      <c r="DH103" s="1"/>
      <c r="DI103" s="1"/>
      <c r="DJ103" s="1"/>
      <c r="DK103" s="1"/>
    </row>
    <row r="104" spans="1:115" ht="24.95" customHeight="1">
      <c r="A104" s="9" t="str">
        <f>IF($DC104="","",IF(AND(INDEX(排期计算!$A$10:$A$109,$DC104)="",NOT(ISNUMBER(INDEX(排期计算!$A$10:$A$109,$DC104)))),"",INDEX(排期计算!$A$10:$A$109,$DC104)))</f>
        <v/>
      </c>
      <c r="B104" s="1" t="str">
        <f>IF($DC104="","",REPT("　",$DD104-1)&amp;INDEX(排期计算!$B$10:$B$109,$DC104))</f>
        <v/>
      </c>
      <c r="C104" s="3" t="str">
        <f>IF($DC104="","",IF(AND(INDEX(排期计算!$M$10:$M$109,$DC104)="",NOT(ISNUMBER(INDEX(排期计算!$M$10:$M$109,$DC104)))),"",INDEX(排期计算!$M$10:$M$109,$DC104)))</f>
        <v/>
      </c>
      <c r="D104" s="3" t="str">
        <f>IF($DC104="","",IF(AND(INDEX(排期计算!$N$10:$N$109,$DC104)="",NOT(ISNUMBER(INDEX(排期计算!$N$10:$N$109,$DC104)))),"",INDEX(排期计算!$N$10:$N$109,$DC104)))</f>
        <v/>
      </c>
      <c r="E104" s="1" t="str">
        <f>IF(OR($C104="",$D104=""),"",IF($J104="里程碑",0,NETWORKDAYS($C104,$D104)))</f>
        <v/>
      </c>
      <c r="F104" s="7" t="str">
        <f>IF($DC104="","",IF(AND(INDEX(排期计算!$O$10:$O$109,$DC104)="",NOT(ISNUMBER(INDEX(排期计算!$O$10:$O$109,$DC104)))),"",INDEX(排期计算!$O$10:$O$109,$DC104)))</f>
        <v/>
      </c>
      <c r="G104" s="8" t="str">
        <f>IF($A104="","",IF(OR($C104="",$D104=""),"未排期",IF($F104&gt;=1,"已完成",IF($D104&lt;$B$4,"逾期",IF($C104&gt;$B$4,"未开始","进行中")))))</f>
        <v/>
      </c>
      <c r="H104" s="1" t="str">
        <f>IF($DC104="","",IF(AND(INDEX(排期计算!$C$10:$C$109,$DC104)="",NOT(ISNUMBER(INDEX(排期计算!$C$10:$C$109,$DC104)))),"",INDEX(排期计算!$C$10:$C$109,$DC104)))</f>
        <v/>
      </c>
      <c r="I104" s="1" t="str">
        <f>IF($DC104="","",IF(AND(INDEX(排期计算!$H$10:$H$109,$DC104)="",NOT(ISNUMBER(INDEX(排期计算!$H$10:$H$109,$DC104)))),"",INDEX(排期计算!$H$10:$H$109,$DC104)))</f>
        <v/>
      </c>
      <c r="J104" s="1" t="str">
        <f>IF($DC104="","",IF(AND(INDEX(排期计算!$K$10:$K$109,$DC104)="",NOT(ISNUMBER(INDEX(排期计算!$K$10:$K$109,$DC104)))),"",INDEX(排期计算!$K$10:$K$109,$DC104)))</f>
        <v/>
      </c>
      <c r="K104" s="8" t="str">
        <f>IF(OR($A104="",$C104="",$D104="",$C104&gt;K$6,$D104&lt;K$9),"",IF($J104="里程碑","◆",""))</f>
        <v/>
      </c>
      <c r="L104" s="8" t="str">
        <f>IF(OR($A104="",$C104="",$D104="",$C104&gt;L$6,$D104&lt;L$9),"",IF($J104="里程碑","◆",""))</f>
        <v/>
      </c>
      <c r="M104" s="8" t="str">
        <f>IF(OR($A104="",$C104="",$D104="",$C104&gt;M$6,$D104&lt;M$9),"",IF($J104="里程碑","◆",""))</f>
        <v/>
      </c>
      <c r="N104" s="8" t="str">
        <f>IF(OR($A104="",$C104="",$D104="",$C104&gt;N$6,$D104&lt;N$9),"",IF($J104="里程碑","◆",""))</f>
        <v/>
      </c>
      <c r="O104" s="8" t="str">
        <f>IF(OR($A104="",$C104="",$D104="",$C104&gt;O$6,$D104&lt;O$9),"",IF($J104="里程碑","◆",""))</f>
        <v/>
      </c>
      <c r="P104" s="8" t="str">
        <f>IF(OR($A104="",$C104="",$D104="",$C104&gt;P$6,$D104&lt;P$9),"",IF($J104="里程碑","◆",""))</f>
        <v/>
      </c>
      <c r="Q104" s="8" t="str">
        <f>IF(OR($A104="",$C104="",$D104="",$C104&gt;Q$6,$D104&lt;Q$9),"",IF($J104="里程碑","◆",""))</f>
        <v/>
      </c>
      <c r="R104" s="8" t="str">
        <f>IF(OR($A104="",$C104="",$D104="",$C104&gt;R$6,$D104&lt;R$9),"",IF($J104="里程碑","◆",""))</f>
        <v/>
      </c>
      <c r="S104" s="8" t="str">
        <f>IF(OR($A104="",$C104="",$D104="",$C104&gt;S$6,$D104&lt;S$9),"",IF($J104="里程碑","◆",""))</f>
        <v/>
      </c>
      <c r="T104" s="8" t="str">
        <f>IF(OR($A104="",$C104="",$D104="",$C104&gt;T$6,$D104&lt;T$9),"",IF($J104="里程碑","◆",""))</f>
        <v/>
      </c>
      <c r="U104" s="8" t="str">
        <f>IF(OR($A104="",$C104="",$D104="",$C104&gt;U$6,$D104&lt;U$9),"",IF($J104="里程碑","◆",""))</f>
        <v/>
      </c>
      <c r="V104" s="8" t="str">
        <f>IF(OR($A104="",$C104="",$D104="",$C104&gt;V$6,$D104&lt;V$9),"",IF($J104="里程碑","◆",""))</f>
        <v/>
      </c>
      <c r="W104" s="8" t="str">
        <f>IF(OR($A104="",$C104="",$D104="",$C104&gt;W$6,$D104&lt;W$9),"",IF($J104="里程碑","◆",""))</f>
        <v/>
      </c>
      <c r="X104" s="8" t="str">
        <f>IF(OR($A104="",$C104="",$D104="",$C104&gt;X$6,$D104&lt;X$9),"",IF($J104="里程碑","◆",""))</f>
        <v/>
      </c>
      <c r="Y104" s="8" t="str">
        <f>IF(OR($A104="",$C104="",$D104="",$C104&gt;Y$6,$D104&lt;Y$9),"",IF($J104="里程碑","◆",""))</f>
        <v/>
      </c>
      <c r="Z104" s="8" t="str">
        <f>IF(OR($A104="",$C104="",$D104="",$C104&gt;Z$6,$D104&lt;Z$9),"",IF($J104="里程碑","◆",""))</f>
        <v/>
      </c>
      <c r="AA104" s="8" t="str">
        <f>IF(OR($A104="",$C104="",$D104="",$C104&gt;AA$6,$D104&lt;AA$9),"",IF($J104="里程碑","◆",""))</f>
        <v/>
      </c>
      <c r="AB104" s="8" t="str">
        <f>IF(OR($A104="",$C104="",$D104="",$C104&gt;AB$6,$D104&lt;AB$9),"",IF($J104="里程碑","◆",""))</f>
        <v/>
      </c>
      <c r="AC104" s="8" t="str">
        <f>IF(OR($A104="",$C104="",$D104="",$C104&gt;AC$6,$D104&lt;AC$9),"",IF($J104="里程碑","◆",""))</f>
        <v/>
      </c>
      <c r="AD104" s="8" t="str">
        <f>IF(OR($A104="",$C104="",$D104="",$C104&gt;AD$6,$D104&lt;AD$9),"",IF($J104="里程碑","◆",""))</f>
        <v/>
      </c>
      <c r="AE104" s="8" t="str">
        <f>IF(OR($A104="",$C104="",$D104="",$C104&gt;AE$6,$D104&lt;AE$9),"",IF($J104="里程碑","◆",""))</f>
        <v/>
      </c>
      <c r="AF104" s="8" t="str">
        <f>IF(OR($A104="",$C104="",$D104="",$C104&gt;AF$6,$D104&lt;AF$9),"",IF($J104="里程碑","◆",""))</f>
        <v/>
      </c>
      <c r="AG104" s="8" t="str">
        <f>IF(OR($A104="",$C104="",$D104="",$C104&gt;AG$6,$D104&lt;AG$9),"",IF($J104="里程碑","◆",""))</f>
        <v/>
      </c>
      <c r="AH104" s="8" t="str">
        <f>IF(OR($A104="",$C104="",$D104="",$C104&gt;AH$6,$D104&lt;AH$9),"",IF($J104="里程碑","◆",""))</f>
        <v/>
      </c>
      <c r="AI104" s="8" t="str">
        <f>IF(OR($A104="",$C104="",$D104="",$C104&gt;AI$6,$D104&lt;AI$9),"",IF($J104="里程碑","◆",""))</f>
        <v/>
      </c>
      <c r="AJ104" s="8" t="str">
        <f>IF(OR($A104="",$C104="",$D104="",$C104&gt;AJ$6,$D104&lt;AJ$9),"",IF($J104="里程碑","◆",""))</f>
        <v/>
      </c>
      <c r="AK104" s="8" t="str">
        <f>IF(OR($A104="",$C104="",$D104="",$C104&gt;AK$6,$D104&lt;AK$9),"",IF($J104="里程碑","◆",""))</f>
        <v/>
      </c>
      <c r="AL104" s="8" t="str">
        <f>IF(OR($A104="",$C104="",$D104="",$C104&gt;AL$6,$D104&lt;AL$9),"",IF($J104="里程碑","◆",""))</f>
        <v/>
      </c>
      <c r="AM104" s="8" t="str">
        <f>IF(OR($A104="",$C104="",$D104="",$C104&gt;AM$6,$D104&lt;AM$9),"",IF($J104="里程碑","◆",""))</f>
        <v/>
      </c>
      <c r="AN104" s="8" t="str">
        <f>IF(OR($A104="",$C104="",$D104="",$C104&gt;AN$6,$D104&lt;AN$9),"",IF($J104="里程碑","◆",""))</f>
        <v/>
      </c>
      <c r="AO104" s="8" t="str">
        <f>IF(OR($A104="",$C104="",$D104="",$C104&gt;AO$6,$D104&lt;AO$9),"",IF($J104="里程碑","◆",""))</f>
        <v/>
      </c>
      <c r="AP104" s="8" t="str">
        <f>IF(OR($A104="",$C104="",$D104="",$C104&gt;AP$6,$D104&lt;AP$9),"",IF($J104="里程碑","◆",""))</f>
        <v/>
      </c>
      <c r="AQ104" s="8" t="str">
        <f>IF(OR($A104="",$C104="",$D104="",$C104&gt;AQ$6,$D104&lt;AQ$9),"",IF($J104="里程碑","◆",""))</f>
        <v/>
      </c>
      <c r="AR104" s="8" t="str">
        <f>IF(OR($A104="",$C104="",$D104="",$C104&gt;AR$6,$D104&lt;AR$9),"",IF($J104="里程碑","◆",""))</f>
        <v/>
      </c>
      <c r="AS104" s="8" t="str">
        <f>IF(OR($A104="",$C104="",$D104="",$C104&gt;AS$6,$D104&lt;AS$9),"",IF($J104="里程碑","◆",""))</f>
        <v/>
      </c>
      <c r="AT104" s="8" t="str">
        <f>IF(OR($A104="",$C104="",$D104="",$C104&gt;AT$6,$D104&lt;AT$9),"",IF($J104="里程碑","◆",""))</f>
        <v/>
      </c>
      <c r="AU104" s="8" t="str">
        <f>IF(OR($A104="",$C104="",$D104="",$C104&gt;AU$6,$D104&lt;AU$9),"",IF($J104="里程碑","◆",""))</f>
        <v/>
      </c>
      <c r="AV104" s="8" t="str">
        <f>IF(OR($A104="",$C104="",$D104="",$C104&gt;AV$6,$D104&lt;AV$9),"",IF($J104="里程碑","◆",""))</f>
        <v/>
      </c>
      <c r="AW104" s="8" t="str">
        <f>IF(OR($A104="",$C104="",$D104="",$C104&gt;AW$6,$D104&lt;AW$9),"",IF($J104="里程碑","◆",""))</f>
        <v/>
      </c>
      <c r="AX104" s="8" t="str">
        <f>IF(OR($A104="",$C104="",$D104="",$C104&gt;AX$6,$D104&lt;AX$9),"",IF($J104="里程碑","◆",""))</f>
        <v/>
      </c>
      <c r="AY104" s="8" t="str">
        <f>IF(OR($A104="",$C104="",$D104="",$C104&gt;AY$6,$D104&lt;AY$9),"",IF($J104="里程碑","◆",""))</f>
        <v/>
      </c>
      <c r="AZ104" s="8" t="str">
        <f>IF(OR($A104="",$C104="",$D104="",$C104&gt;AZ$6,$D104&lt;AZ$9),"",IF($J104="里程碑","◆",""))</f>
        <v/>
      </c>
      <c r="BA104" s="8" t="str">
        <f>IF(OR($A104="",$C104="",$D104="",$C104&gt;BA$6,$D104&lt;BA$9),"",IF($J104="里程碑","◆",""))</f>
        <v/>
      </c>
      <c r="BB104" s="8" t="str">
        <f>IF(OR($A104="",$C104="",$D104="",$C104&gt;BB$6,$D104&lt;BB$9),"",IF($J104="里程碑","◆",""))</f>
        <v/>
      </c>
      <c r="BC104" s="8" t="str">
        <f>IF(OR($A104="",$C104="",$D104="",$C104&gt;BC$6,$D104&lt;BC$9),"",IF($J104="里程碑","◆",""))</f>
        <v/>
      </c>
      <c r="BD104" s="8" t="str">
        <f>IF(OR($A104="",$C104="",$D104="",$C104&gt;BD$6,$D104&lt;BD$9),"",IF($J104="里程碑","◆",""))</f>
        <v/>
      </c>
      <c r="BE104" s="8" t="str">
        <f>IF(OR($A104="",$C104="",$D104="",$C104&gt;BE$6,$D104&lt;BE$9),"",IF($J104="里程碑","◆",""))</f>
        <v/>
      </c>
      <c r="BF104" s="8" t="str">
        <f>IF(OR($A104="",$C104="",$D104="",$C104&gt;BF$6,$D104&lt;BF$9),"",IF($J104="里程碑","◆",""))</f>
        <v/>
      </c>
      <c r="BG104" s="8" t="str">
        <f>IF(OR($A104="",$C104="",$D104="",$C104&gt;BG$6,$D104&lt;BG$9),"",IF($J104="里程碑","◆",""))</f>
        <v/>
      </c>
      <c r="BH104" s="8" t="str">
        <f>IF(OR($A104="",$C104="",$D104="",$C104&gt;BH$6,$D104&lt;BH$9),"",IF($J104="里程碑","◆",""))</f>
        <v/>
      </c>
      <c r="BI104" s="8" t="str">
        <f>IF(OR($A104="",$C104="",$D104="",$C104&gt;BI$6,$D104&lt;BI$9),"",IF($J104="里程碑","◆",""))</f>
        <v/>
      </c>
      <c r="BJ104" s="8" t="str">
        <f>IF(OR($A104="",$C104="",$D104="",$C104&gt;BJ$6,$D104&lt;BJ$9),"",IF($J104="里程碑","◆",""))</f>
        <v/>
      </c>
      <c r="BK104" s="8" t="str">
        <f>IF(OR($A104="",$C104="",$D104="",$C104&gt;BK$6,$D104&lt;BK$9),"",IF($J104="里程碑","◆",""))</f>
        <v/>
      </c>
      <c r="BL104" s="8" t="str">
        <f>IF(OR($A104="",$C104="",$D104="",$C104&gt;BL$6,$D104&lt;BL$9),"",IF($J104="里程碑","◆",""))</f>
        <v/>
      </c>
      <c r="BM104" s="8" t="str">
        <f>IF(OR($A104="",$C104="",$D104="",$C104&gt;BM$6,$D104&lt;BM$9),"",IF($J104="里程碑","◆",""))</f>
        <v/>
      </c>
      <c r="BN104" s="8" t="str">
        <f>IF(OR($A104="",$C104="",$D104="",$C104&gt;BN$6,$D104&lt;BN$9),"",IF($J104="里程碑","◆",""))</f>
        <v/>
      </c>
      <c r="BO104" s="8" t="str">
        <f>IF(OR($A104="",$C104="",$D104="",$C104&gt;BO$6,$D104&lt;BO$9),"",IF($J104="里程碑","◆",""))</f>
        <v/>
      </c>
      <c r="BP104" s="8" t="str">
        <f>IF(OR($A104="",$C104="",$D104="",$C104&gt;BP$6,$D104&lt;BP$9),"",IF($J104="里程碑","◆",""))</f>
        <v/>
      </c>
      <c r="BQ104" s="8" t="str">
        <f>IF(OR($A104="",$C104="",$D104="",$C104&gt;BQ$6,$D104&lt;BQ$9),"",IF($J104="里程碑","◆",""))</f>
        <v/>
      </c>
      <c r="BR104" s="8" t="str">
        <f>IF(OR($A104="",$C104="",$D104="",$C104&gt;BR$6,$D104&lt;BR$9),"",IF($J104="里程碑","◆",""))</f>
        <v/>
      </c>
      <c r="BS104" s="8" t="str">
        <f>IF(OR($A104="",$C104="",$D104="",$C104&gt;BS$6,$D104&lt;BS$9),"",IF($J104="里程碑","◆",""))</f>
        <v/>
      </c>
      <c r="BT104" s="8" t="str">
        <f>IF(OR($A104="",$C104="",$D104="",$C104&gt;BT$6,$D104&lt;BT$9),"",IF($J104="里程碑","◆",""))</f>
        <v/>
      </c>
      <c r="BU104" s="8" t="str">
        <f>IF(OR($A104="",$C104="",$D104="",$C104&gt;BU$6,$D104&lt;BU$9),"",IF($J104="里程碑","◆",""))</f>
        <v/>
      </c>
      <c r="BV104" s="8" t="str">
        <f>IF(OR($A104="",$C104="",$D104="",$C104&gt;BV$6,$D104&lt;BV$9),"",IF($J104="里程碑","◆",""))</f>
        <v/>
      </c>
      <c r="BW104" s="8" t="str">
        <f>IF(OR($A104="",$C104="",$D104="",$C104&gt;BW$6,$D104&lt;BW$9),"",IF($J104="里程碑","◆",""))</f>
        <v/>
      </c>
      <c r="BX104" s="8" t="str">
        <f>IF(OR($A104="",$C104="",$D104="",$C104&gt;BX$6,$D104&lt;BX$9),"",IF($J104="里程碑","◆",""))</f>
        <v/>
      </c>
      <c r="BY104" s="8" t="str">
        <f>IF(OR($A104="",$C104="",$D104="",$C104&gt;BY$6,$D104&lt;BY$9),"",IF($J104="里程碑","◆",""))</f>
        <v/>
      </c>
      <c r="BZ104" s="8" t="str">
        <f>IF(OR($A104="",$C104="",$D104="",$C104&gt;BZ$6,$D104&lt;BZ$9),"",IF($J104="里程碑","◆",""))</f>
        <v/>
      </c>
      <c r="CA104" s="8" t="str">
        <f>IF(OR($A104="",$C104="",$D104="",$C104&gt;CA$6,$D104&lt;CA$9),"",IF($J104="里程碑","◆",""))</f>
        <v/>
      </c>
      <c r="CB104" s="8" t="str">
        <f>IF(OR($A104="",$C104="",$D104="",$C104&gt;CB$6,$D104&lt;CB$9),"",IF($J104="里程碑","◆",""))</f>
        <v/>
      </c>
      <c r="CC104" s="8" t="str">
        <f>IF(OR($A104="",$C104="",$D104="",$C104&gt;CC$6,$D104&lt;CC$9),"",IF($J104="里程碑","◆",""))</f>
        <v/>
      </c>
      <c r="CD104" s="8" t="str">
        <f>IF(OR($A104="",$C104="",$D104="",$C104&gt;CD$6,$D104&lt;CD$9),"",IF($J104="里程碑","◆",""))</f>
        <v/>
      </c>
      <c r="CE104" s="8" t="str">
        <f>IF(OR($A104="",$C104="",$D104="",$C104&gt;CE$6,$D104&lt;CE$9),"",IF($J104="里程碑","◆",""))</f>
        <v/>
      </c>
      <c r="CF104" s="8" t="str">
        <f>IF(OR($A104="",$C104="",$D104="",$C104&gt;CF$6,$D104&lt;CF$9),"",IF($J104="里程碑","◆",""))</f>
        <v/>
      </c>
      <c r="CG104" s="8" t="str">
        <f>IF(OR($A104="",$C104="",$D104="",$C104&gt;CG$6,$D104&lt;CG$9),"",IF($J104="里程碑","◆",""))</f>
        <v/>
      </c>
      <c r="CH104" s="8" t="str">
        <f>IF(OR($A104="",$C104="",$D104="",$C104&gt;CH$6,$D104&lt;CH$9),"",IF($J104="里程碑","◆",""))</f>
        <v/>
      </c>
      <c r="CI104" s="8" t="str">
        <f>IF(OR($A104="",$C104="",$D104="",$C104&gt;CI$6,$D104&lt;CI$9),"",IF($J104="里程碑","◆",""))</f>
        <v/>
      </c>
      <c r="CJ104" s="8" t="str">
        <f>IF(OR($A104="",$C104="",$D104="",$C104&gt;CJ$6,$D104&lt;CJ$9),"",IF($J104="里程碑","◆",""))</f>
        <v/>
      </c>
      <c r="CK104" s="8" t="str">
        <f>IF(OR($A104="",$C104="",$D104="",$C104&gt;CK$6,$D104&lt;CK$9),"",IF($J104="里程碑","◆",""))</f>
        <v/>
      </c>
      <c r="CL104" s="8" t="str">
        <f>IF(OR($A104="",$C104="",$D104="",$C104&gt;CL$6,$D104&lt;CL$9),"",IF($J104="里程碑","◆",""))</f>
        <v/>
      </c>
      <c r="CM104" s="8" t="str">
        <f>IF(OR($A104="",$C104="",$D104="",$C104&gt;CM$6,$D104&lt;CM$9),"",IF($J104="里程碑","◆",""))</f>
        <v/>
      </c>
      <c r="CN104" s="8" t="str">
        <f>IF(OR($A104="",$C104="",$D104="",$C104&gt;CN$6,$D104&lt;CN$9),"",IF($J104="里程碑","◆",""))</f>
        <v/>
      </c>
      <c r="CO104" s="8" t="str">
        <f>IF(OR($A104="",$C104="",$D104="",$C104&gt;CO$6,$D104&lt;CO$9),"",IF($J104="里程碑","◆",""))</f>
        <v/>
      </c>
      <c r="CP104" s="8" t="str">
        <f>IF(OR($A104="",$C104="",$D104="",$C104&gt;CP$6,$D104&lt;CP$9),"",IF($J104="里程碑","◆",""))</f>
        <v/>
      </c>
      <c r="CQ104" s="8" t="str">
        <f>IF(OR($A104="",$C104="",$D104="",$C104&gt;CQ$6,$D104&lt;CQ$9),"",IF($J104="里程碑","◆",""))</f>
        <v/>
      </c>
      <c r="CR104" s="8" t="str">
        <f>IF(OR($A104="",$C104="",$D104="",$C104&gt;CR$6,$D104&lt;CR$9),"",IF($J104="里程碑","◆",""))</f>
        <v/>
      </c>
      <c r="CS104" s="8" t="str">
        <f>IF(OR($A104="",$C104="",$D104="",$C104&gt;CS$6,$D104&lt;CS$9),"",IF($J104="里程碑","◆",""))</f>
        <v/>
      </c>
      <c r="CT104" s="8" t="str">
        <f>IF(OR($A104="",$C104="",$D104="",$C104&gt;CT$6,$D104&lt;CT$9),"",IF($J104="里程碑","◆",""))</f>
        <v/>
      </c>
      <c r="CU104" s="8" t="str">
        <f>IF(OR($A104="",$C104="",$D104="",$C104&gt;CU$6,$D104&lt;CU$9),"",IF($J104="里程碑","◆",""))</f>
        <v/>
      </c>
      <c r="CV104" s="8" t="str">
        <f>IF(OR($A104="",$C104="",$D104="",$C104&gt;CV$6,$D104&lt;CV$9),"",IF($J104="里程碑","◆",""))</f>
        <v/>
      </c>
      <c r="CW104" s="8" t="str">
        <f>IF(OR($A104="",$C104="",$D104="",$C104&gt;CW$6,$D104&lt;CW$9),"",IF($J104="里程碑","◆",""))</f>
        <v/>
      </c>
      <c r="CX104" s="8" t="str">
        <f>IF(OR($A104="",$C104="",$D104="",$C104&gt;CX$6,$D104&lt;CX$9),"",IF($J104="里程碑","◆",""))</f>
        <v/>
      </c>
      <c r="CY104" s="8" t="str">
        <f>IF(OR($A104="",$C104="",$D104="",$C104&gt;CY$6,$D104&lt;CY$9),"",IF($J104="里程碑","◆",""))</f>
        <v/>
      </c>
      <c r="CZ104" s="8" t="str">
        <f>IF(OR($A104="",$C104="",$D104="",$C104&gt;CZ$6,$D104&lt;CZ$9),"",IF($J104="里程碑","◆",""))</f>
        <v/>
      </c>
      <c r="DA104" s="8" t="str">
        <f>IF(OR($A104="",$C104="",$D104="",$C104&gt;DA$6,$D104&lt;DA$9),"",IF($J104="里程碑","◆",""))</f>
        <v/>
      </c>
      <c r="DB104" s="8" t="str">
        <f>IF(OR($A104="",$C104="",$D104="",$C104&gt;DB$6,$D104&lt;DB$9),"",IF($J104="里程碑","◆",""))</f>
        <v/>
      </c>
      <c r="DC104" s="1" t="str">
        <f>IF(ROW()-9&gt;$DH$3,"",MATCH(ROW()-9,排期计算!$U$10:$U$109,0))</f>
        <v/>
      </c>
      <c r="DD104" s="1" t="str">
        <f>IF($DC104="","",INDEX(排期计算!$L$10:$L$109,$DC104))</f>
        <v/>
      </c>
      <c r="DE104" s="1"/>
      <c r="DF104" s="1"/>
      <c r="DG104" s="1"/>
      <c r="DH104" s="1"/>
      <c r="DI104" s="1"/>
      <c r="DJ104" s="1"/>
      <c r="DK104" s="1"/>
    </row>
    <row r="105" spans="1:115" ht="24.95" customHeight="1">
      <c r="A105" s="9" t="str">
        <f>IF($DC105="","",IF(AND(INDEX(排期计算!$A$10:$A$109,$DC105)="",NOT(ISNUMBER(INDEX(排期计算!$A$10:$A$109,$DC105)))),"",INDEX(排期计算!$A$10:$A$109,$DC105)))</f>
        <v/>
      </c>
      <c r="B105" s="1" t="str">
        <f>IF($DC105="","",REPT("　",$DD105-1)&amp;INDEX(排期计算!$B$10:$B$109,$DC105))</f>
        <v/>
      </c>
      <c r="C105" s="3" t="str">
        <f>IF($DC105="","",IF(AND(INDEX(排期计算!$M$10:$M$109,$DC105)="",NOT(ISNUMBER(INDEX(排期计算!$M$10:$M$109,$DC105)))),"",INDEX(排期计算!$M$10:$M$109,$DC105)))</f>
        <v/>
      </c>
      <c r="D105" s="3" t="str">
        <f>IF($DC105="","",IF(AND(INDEX(排期计算!$N$10:$N$109,$DC105)="",NOT(ISNUMBER(INDEX(排期计算!$N$10:$N$109,$DC105)))),"",INDEX(排期计算!$N$10:$N$109,$DC105)))</f>
        <v/>
      </c>
      <c r="E105" s="1" t="str">
        <f>IF(OR($C105="",$D105=""),"",IF($J105="里程碑",0,NETWORKDAYS($C105,$D105)))</f>
        <v/>
      </c>
      <c r="F105" s="7" t="str">
        <f>IF($DC105="","",IF(AND(INDEX(排期计算!$O$10:$O$109,$DC105)="",NOT(ISNUMBER(INDEX(排期计算!$O$10:$O$109,$DC105)))),"",INDEX(排期计算!$O$10:$O$109,$DC105)))</f>
        <v/>
      </c>
      <c r="G105" s="8" t="str">
        <f>IF($A105="","",IF(OR($C105="",$D105=""),"未排期",IF($F105&gt;=1,"已完成",IF($D105&lt;$B$4,"逾期",IF($C105&gt;$B$4,"未开始","进行中")))))</f>
        <v/>
      </c>
      <c r="H105" s="1" t="str">
        <f>IF($DC105="","",IF(AND(INDEX(排期计算!$C$10:$C$109,$DC105)="",NOT(ISNUMBER(INDEX(排期计算!$C$10:$C$109,$DC105)))),"",INDEX(排期计算!$C$10:$C$109,$DC105)))</f>
        <v/>
      </c>
      <c r="I105" s="1" t="str">
        <f>IF($DC105="","",IF(AND(INDEX(排期计算!$H$10:$H$109,$DC105)="",NOT(ISNUMBER(INDEX(排期计算!$H$10:$H$109,$DC105)))),"",INDEX(排期计算!$H$10:$H$109,$DC105)))</f>
        <v/>
      </c>
      <c r="J105" s="1" t="str">
        <f>IF($DC105="","",IF(AND(INDEX(排期计算!$K$10:$K$109,$DC105)="",NOT(ISNUMBER(INDEX(排期计算!$K$10:$K$109,$DC105)))),"",INDEX(排期计算!$K$10:$K$109,$DC105)))</f>
        <v/>
      </c>
      <c r="K105" s="8" t="str">
        <f>IF(OR($A105="",$C105="",$D105="",$C105&gt;K$6,$D105&lt;K$9),"",IF($J105="里程碑","◆",""))</f>
        <v/>
      </c>
      <c r="L105" s="8" t="str">
        <f>IF(OR($A105="",$C105="",$D105="",$C105&gt;L$6,$D105&lt;L$9),"",IF($J105="里程碑","◆",""))</f>
        <v/>
      </c>
      <c r="M105" s="8" t="str">
        <f>IF(OR($A105="",$C105="",$D105="",$C105&gt;M$6,$D105&lt;M$9),"",IF($J105="里程碑","◆",""))</f>
        <v/>
      </c>
      <c r="N105" s="8" t="str">
        <f>IF(OR($A105="",$C105="",$D105="",$C105&gt;N$6,$D105&lt;N$9),"",IF($J105="里程碑","◆",""))</f>
        <v/>
      </c>
      <c r="O105" s="8" t="str">
        <f>IF(OR($A105="",$C105="",$D105="",$C105&gt;O$6,$D105&lt;O$9),"",IF($J105="里程碑","◆",""))</f>
        <v/>
      </c>
      <c r="P105" s="8" t="str">
        <f>IF(OR($A105="",$C105="",$D105="",$C105&gt;P$6,$D105&lt;P$9),"",IF($J105="里程碑","◆",""))</f>
        <v/>
      </c>
      <c r="Q105" s="8" t="str">
        <f>IF(OR($A105="",$C105="",$D105="",$C105&gt;Q$6,$D105&lt;Q$9),"",IF($J105="里程碑","◆",""))</f>
        <v/>
      </c>
      <c r="R105" s="8" t="str">
        <f>IF(OR($A105="",$C105="",$D105="",$C105&gt;R$6,$D105&lt;R$9),"",IF($J105="里程碑","◆",""))</f>
        <v/>
      </c>
      <c r="S105" s="8" t="str">
        <f>IF(OR($A105="",$C105="",$D105="",$C105&gt;S$6,$D105&lt;S$9),"",IF($J105="里程碑","◆",""))</f>
        <v/>
      </c>
      <c r="T105" s="8" t="str">
        <f>IF(OR($A105="",$C105="",$D105="",$C105&gt;T$6,$D105&lt;T$9),"",IF($J105="里程碑","◆",""))</f>
        <v/>
      </c>
      <c r="U105" s="8" t="str">
        <f>IF(OR($A105="",$C105="",$D105="",$C105&gt;U$6,$D105&lt;U$9),"",IF($J105="里程碑","◆",""))</f>
        <v/>
      </c>
      <c r="V105" s="8" t="str">
        <f>IF(OR($A105="",$C105="",$D105="",$C105&gt;V$6,$D105&lt;V$9),"",IF($J105="里程碑","◆",""))</f>
        <v/>
      </c>
      <c r="W105" s="8" t="str">
        <f>IF(OR($A105="",$C105="",$D105="",$C105&gt;W$6,$D105&lt;W$9),"",IF($J105="里程碑","◆",""))</f>
        <v/>
      </c>
      <c r="X105" s="8" t="str">
        <f>IF(OR($A105="",$C105="",$D105="",$C105&gt;X$6,$D105&lt;X$9),"",IF($J105="里程碑","◆",""))</f>
        <v/>
      </c>
      <c r="Y105" s="8" t="str">
        <f>IF(OR($A105="",$C105="",$D105="",$C105&gt;Y$6,$D105&lt;Y$9),"",IF($J105="里程碑","◆",""))</f>
        <v/>
      </c>
      <c r="Z105" s="8" t="str">
        <f>IF(OR($A105="",$C105="",$D105="",$C105&gt;Z$6,$D105&lt;Z$9),"",IF($J105="里程碑","◆",""))</f>
        <v/>
      </c>
      <c r="AA105" s="8" t="str">
        <f>IF(OR($A105="",$C105="",$D105="",$C105&gt;AA$6,$D105&lt;AA$9),"",IF($J105="里程碑","◆",""))</f>
        <v/>
      </c>
      <c r="AB105" s="8" t="str">
        <f>IF(OR($A105="",$C105="",$D105="",$C105&gt;AB$6,$D105&lt;AB$9),"",IF($J105="里程碑","◆",""))</f>
        <v/>
      </c>
      <c r="AC105" s="8" t="str">
        <f>IF(OR($A105="",$C105="",$D105="",$C105&gt;AC$6,$D105&lt;AC$9),"",IF($J105="里程碑","◆",""))</f>
        <v/>
      </c>
      <c r="AD105" s="8" t="str">
        <f>IF(OR($A105="",$C105="",$D105="",$C105&gt;AD$6,$D105&lt;AD$9),"",IF($J105="里程碑","◆",""))</f>
        <v/>
      </c>
      <c r="AE105" s="8" t="str">
        <f>IF(OR($A105="",$C105="",$D105="",$C105&gt;AE$6,$D105&lt;AE$9),"",IF($J105="里程碑","◆",""))</f>
        <v/>
      </c>
      <c r="AF105" s="8" t="str">
        <f>IF(OR($A105="",$C105="",$D105="",$C105&gt;AF$6,$D105&lt;AF$9),"",IF($J105="里程碑","◆",""))</f>
        <v/>
      </c>
      <c r="AG105" s="8" t="str">
        <f>IF(OR($A105="",$C105="",$D105="",$C105&gt;AG$6,$D105&lt;AG$9),"",IF($J105="里程碑","◆",""))</f>
        <v/>
      </c>
      <c r="AH105" s="8" t="str">
        <f>IF(OR($A105="",$C105="",$D105="",$C105&gt;AH$6,$D105&lt;AH$9),"",IF($J105="里程碑","◆",""))</f>
        <v/>
      </c>
      <c r="AI105" s="8" t="str">
        <f>IF(OR($A105="",$C105="",$D105="",$C105&gt;AI$6,$D105&lt;AI$9),"",IF($J105="里程碑","◆",""))</f>
        <v/>
      </c>
      <c r="AJ105" s="8" t="str">
        <f>IF(OR($A105="",$C105="",$D105="",$C105&gt;AJ$6,$D105&lt;AJ$9),"",IF($J105="里程碑","◆",""))</f>
        <v/>
      </c>
      <c r="AK105" s="8" t="str">
        <f>IF(OR($A105="",$C105="",$D105="",$C105&gt;AK$6,$D105&lt;AK$9),"",IF($J105="里程碑","◆",""))</f>
        <v/>
      </c>
      <c r="AL105" s="8" t="str">
        <f>IF(OR($A105="",$C105="",$D105="",$C105&gt;AL$6,$D105&lt;AL$9),"",IF($J105="里程碑","◆",""))</f>
        <v/>
      </c>
      <c r="AM105" s="8" t="str">
        <f>IF(OR($A105="",$C105="",$D105="",$C105&gt;AM$6,$D105&lt;AM$9),"",IF($J105="里程碑","◆",""))</f>
        <v/>
      </c>
      <c r="AN105" s="8" t="str">
        <f>IF(OR($A105="",$C105="",$D105="",$C105&gt;AN$6,$D105&lt;AN$9),"",IF($J105="里程碑","◆",""))</f>
        <v/>
      </c>
      <c r="AO105" s="8" t="str">
        <f>IF(OR($A105="",$C105="",$D105="",$C105&gt;AO$6,$D105&lt;AO$9),"",IF($J105="里程碑","◆",""))</f>
        <v/>
      </c>
      <c r="AP105" s="8" t="str">
        <f>IF(OR($A105="",$C105="",$D105="",$C105&gt;AP$6,$D105&lt;AP$9),"",IF($J105="里程碑","◆",""))</f>
        <v/>
      </c>
      <c r="AQ105" s="8" t="str">
        <f>IF(OR($A105="",$C105="",$D105="",$C105&gt;AQ$6,$D105&lt;AQ$9),"",IF($J105="里程碑","◆",""))</f>
        <v/>
      </c>
      <c r="AR105" s="8" t="str">
        <f>IF(OR($A105="",$C105="",$D105="",$C105&gt;AR$6,$D105&lt;AR$9),"",IF($J105="里程碑","◆",""))</f>
        <v/>
      </c>
      <c r="AS105" s="8" t="str">
        <f>IF(OR($A105="",$C105="",$D105="",$C105&gt;AS$6,$D105&lt;AS$9),"",IF($J105="里程碑","◆",""))</f>
        <v/>
      </c>
      <c r="AT105" s="8" t="str">
        <f>IF(OR($A105="",$C105="",$D105="",$C105&gt;AT$6,$D105&lt;AT$9),"",IF($J105="里程碑","◆",""))</f>
        <v/>
      </c>
      <c r="AU105" s="8" t="str">
        <f>IF(OR($A105="",$C105="",$D105="",$C105&gt;AU$6,$D105&lt;AU$9),"",IF($J105="里程碑","◆",""))</f>
        <v/>
      </c>
      <c r="AV105" s="8" t="str">
        <f>IF(OR($A105="",$C105="",$D105="",$C105&gt;AV$6,$D105&lt;AV$9),"",IF($J105="里程碑","◆",""))</f>
        <v/>
      </c>
      <c r="AW105" s="8" t="str">
        <f>IF(OR($A105="",$C105="",$D105="",$C105&gt;AW$6,$D105&lt;AW$9),"",IF($J105="里程碑","◆",""))</f>
        <v/>
      </c>
      <c r="AX105" s="8" t="str">
        <f>IF(OR($A105="",$C105="",$D105="",$C105&gt;AX$6,$D105&lt;AX$9),"",IF($J105="里程碑","◆",""))</f>
        <v/>
      </c>
      <c r="AY105" s="8" t="str">
        <f>IF(OR($A105="",$C105="",$D105="",$C105&gt;AY$6,$D105&lt;AY$9),"",IF($J105="里程碑","◆",""))</f>
        <v/>
      </c>
      <c r="AZ105" s="8" t="str">
        <f>IF(OR($A105="",$C105="",$D105="",$C105&gt;AZ$6,$D105&lt;AZ$9),"",IF($J105="里程碑","◆",""))</f>
        <v/>
      </c>
      <c r="BA105" s="8" t="str">
        <f>IF(OR($A105="",$C105="",$D105="",$C105&gt;BA$6,$D105&lt;BA$9),"",IF($J105="里程碑","◆",""))</f>
        <v/>
      </c>
      <c r="BB105" s="8" t="str">
        <f>IF(OR($A105="",$C105="",$D105="",$C105&gt;BB$6,$D105&lt;BB$9),"",IF($J105="里程碑","◆",""))</f>
        <v/>
      </c>
      <c r="BC105" s="8" t="str">
        <f>IF(OR($A105="",$C105="",$D105="",$C105&gt;BC$6,$D105&lt;BC$9),"",IF($J105="里程碑","◆",""))</f>
        <v/>
      </c>
      <c r="BD105" s="8" t="str">
        <f>IF(OR($A105="",$C105="",$D105="",$C105&gt;BD$6,$D105&lt;BD$9),"",IF($J105="里程碑","◆",""))</f>
        <v/>
      </c>
      <c r="BE105" s="8" t="str">
        <f>IF(OR($A105="",$C105="",$D105="",$C105&gt;BE$6,$D105&lt;BE$9),"",IF($J105="里程碑","◆",""))</f>
        <v/>
      </c>
      <c r="BF105" s="8" t="str">
        <f>IF(OR($A105="",$C105="",$D105="",$C105&gt;BF$6,$D105&lt;BF$9),"",IF($J105="里程碑","◆",""))</f>
        <v/>
      </c>
      <c r="BG105" s="8" t="str">
        <f>IF(OR($A105="",$C105="",$D105="",$C105&gt;BG$6,$D105&lt;BG$9),"",IF($J105="里程碑","◆",""))</f>
        <v/>
      </c>
      <c r="BH105" s="8" t="str">
        <f>IF(OR($A105="",$C105="",$D105="",$C105&gt;BH$6,$D105&lt;BH$9),"",IF($J105="里程碑","◆",""))</f>
        <v/>
      </c>
      <c r="BI105" s="8" t="str">
        <f>IF(OR($A105="",$C105="",$D105="",$C105&gt;BI$6,$D105&lt;BI$9),"",IF($J105="里程碑","◆",""))</f>
        <v/>
      </c>
      <c r="BJ105" s="8" t="str">
        <f>IF(OR($A105="",$C105="",$D105="",$C105&gt;BJ$6,$D105&lt;BJ$9),"",IF($J105="里程碑","◆",""))</f>
        <v/>
      </c>
      <c r="BK105" s="8" t="str">
        <f>IF(OR($A105="",$C105="",$D105="",$C105&gt;BK$6,$D105&lt;BK$9),"",IF($J105="里程碑","◆",""))</f>
        <v/>
      </c>
      <c r="BL105" s="8" t="str">
        <f>IF(OR($A105="",$C105="",$D105="",$C105&gt;BL$6,$D105&lt;BL$9),"",IF($J105="里程碑","◆",""))</f>
        <v/>
      </c>
      <c r="BM105" s="8" t="str">
        <f>IF(OR($A105="",$C105="",$D105="",$C105&gt;BM$6,$D105&lt;BM$9),"",IF($J105="里程碑","◆",""))</f>
        <v/>
      </c>
      <c r="BN105" s="8" t="str">
        <f>IF(OR($A105="",$C105="",$D105="",$C105&gt;BN$6,$D105&lt;BN$9),"",IF($J105="里程碑","◆",""))</f>
        <v/>
      </c>
      <c r="BO105" s="8" t="str">
        <f>IF(OR($A105="",$C105="",$D105="",$C105&gt;BO$6,$D105&lt;BO$9),"",IF($J105="里程碑","◆",""))</f>
        <v/>
      </c>
      <c r="BP105" s="8" t="str">
        <f>IF(OR($A105="",$C105="",$D105="",$C105&gt;BP$6,$D105&lt;BP$9),"",IF($J105="里程碑","◆",""))</f>
        <v/>
      </c>
      <c r="BQ105" s="8" t="str">
        <f>IF(OR($A105="",$C105="",$D105="",$C105&gt;BQ$6,$D105&lt;BQ$9),"",IF($J105="里程碑","◆",""))</f>
        <v/>
      </c>
      <c r="BR105" s="8" t="str">
        <f>IF(OR($A105="",$C105="",$D105="",$C105&gt;BR$6,$D105&lt;BR$9),"",IF($J105="里程碑","◆",""))</f>
        <v/>
      </c>
      <c r="BS105" s="8" t="str">
        <f>IF(OR($A105="",$C105="",$D105="",$C105&gt;BS$6,$D105&lt;BS$9),"",IF($J105="里程碑","◆",""))</f>
        <v/>
      </c>
      <c r="BT105" s="8" t="str">
        <f>IF(OR($A105="",$C105="",$D105="",$C105&gt;BT$6,$D105&lt;BT$9),"",IF($J105="里程碑","◆",""))</f>
        <v/>
      </c>
      <c r="BU105" s="8" t="str">
        <f>IF(OR($A105="",$C105="",$D105="",$C105&gt;BU$6,$D105&lt;BU$9),"",IF($J105="里程碑","◆",""))</f>
        <v/>
      </c>
      <c r="BV105" s="8" t="str">
        <f>IF(OR($A105="",$C105="",$D105="",$C105&gt;BV$6,$D105&lt;BV$9),"",IF($J105="里程碑","◆",""))</f>
        <v/>
      </c>
      <c r="BW105" s="8" t="str">
        <f>IF(OR($A105="",$C105="",$D105="",$C105&gt;BW$6,$D105&lt;BW$9),"",IF($J105="里程碑","◆",""))</f>
        <v/>
      </c>
      <c r="BX105" s="8" t="str">
        <f>IF(OR($A105="",$C105="",$D105="",$C105&gt;BX$6,$D105&lt;BX$9),"",IF($J105="里程碑","◆",""))</f>
        <v/>
      </c>
      <c r="BY105" s="8" t="str">
        <f>IF(OR($A105="",$C105="",$D105="",$C105&gt;BY$6,$D105&lt;BY$9),"",IF($J105="里程碑","◆",""))</f>
        <v/>
      </c>
      <c r="BZ105" s="8" t="str">
        <f>IF(OR($A105="",$C105="",$D105="",$C105&gt;BZ$6,$D105&lt;BZ$9),"",IF($J105="里程碑","◆",""))</f>
        <v/>
      </c>
      <c r="CA105" s="8" t="str">
        <f>IF(OR($A105="",$C105="",$D105="",$C105&gt;CA$6,$D105&lt;CA$9),"",IF($J105="里程碑","◆",""))</f>
        <v/>
      </c>
      <c r="CB105" s="8" t="str">
        <f>IF(OR($A105="",$C105="",$D105="",$C105&gt;CB$6,$D105&lt;CB$9),"",IF($J105="里程碑","◆",""))</f>
        <v/>
      </c>
      <c r="CC105" s="8" t="str">
        <f>IF(OR($A105="",$C105="",$D105="",$C105&gt;CC$6,$D105&lt;CC$9),"",IF($J105="里程碑","◆",""))</f>
        <v/>
      </c>
      <c r="CD105" s="8" t="str">
        <f>IF(OR($A105="",$C105="",$D105="",$C105&gt;CD$6,$D105&lt;CD$9),"",IF($J105="里程碑","◆",""))</f>
        <v/>
      </c>
      <c r="CE105" s="8" t="str">
        <f>IF(OR($A105="",$C105="",$D105="",$C105&gt;CE$6,$D105&lt;CE$9),"",IF($J105="里程碑","◆",""))</f>
        <v/>
      </c>
      <c r="CF105" s="8" t="str">
        <f>IF(OR($A105="",$C105="",$D105="",$C105&gt;CF$6,$D105&lt;CF$9),"",IF($J105="里程碑","◆",""))</f>
        <v/>
      </c>
      <c r="CG105" s="8" t="str">
        <f>IF(OR($A105="",$C105="",$D105="",$C105&gt;CG$6,$D105&lt;CG$9),"",IF($J105="里程碑","◆",""))</f>
        <v/>
      </c>
      <c r="CH105" s="8" t="str">
        <f>IF(OR($A105="",$C105="",$D105="",$C105&gt;CH$6,$D105&lt;CH$9),"",IF($J105="里程碑","◆",""))</f>
        <v/>
      </c>
      <c r="CI105" s="8" t="str">
        <f>IF(OR($A105="",$C105="",$D105="",$C105&gt;CI$6,$D105&lt;CI$9),"",IF($J105="里程碑","◆",""))</f>
        <v/>
      </c>
      <c r="CJ105" s="8" t="str">
        <f>IF(OR($A105="",$C105="",$D105="",$C105&gt;CJ$6,$D105&lt;CJ$9),"",IF($J105="里程碑","◆",""))</f>
        <v/>
      </c>
      <c r="CK105" s="8" t="str">
        <f>IF(OR($A105="",$C105="",$D105="",$C105&gt;CK$6,$D105&lt;CK$9),"",IF($J105="里程碑","◆",""))</f>
        <v/>
      </c>
      <c r="CL105" s="8" t="str">
        <f>IF(OR($A105="",$C105="",$D105="",$C105&gt;CL$6,$D105&lt;CL$9),"",IF($J105="里程碑","◆",""))</f>
        <v/>
      </c>
      <c r="CM105" s="8" t="str">
        <f>IF(OR($A105="",$C105="",$D105="",$C105&gt;CM$6,$D105&lt;CM$9),"",IF($J105="里程碑","◆",""))</f>
        <v/>
      </c>
      <c r="CN105" s="8" t="str">
        <f>IF(OR($A105="",$C105="",$D105="",$C105&gt;CN$6,$D105&lt;CN$9),"",IF($J105="里程碑","◆",""))</f>
        <v/>
      </c>
      <c r="CO105" s="8" t="str">
        <f>IF(OR($A105="",$C105="",$D105="",$C105&gt;CO$6,$D105&lt;CO$9),"",IF($J105="里程碑","◆",""))</f>
        <v/>
      </c>
      <c r="CP105" s="8" t="str">
        <f>IF(OR($A105="",$C105="",$D105="",$C105&gt;CP$6,$D105&lt;CP$9),"",IF($J105="里程碑","◆",""))</f>
        <v/>
      </c>
      <c r="CQ105" s="8" t="str">
        <f>IF(OR($A105="",$C105="",$D105="",$C105&gt;CQ$6,$D105&lt;CQ$9),"",IF($J105="里程碑","◆",""))</f>
        <v/>
      </c>
      <c r="CR105" s="8" t="str">
        <f>IF(OR($A105="",$C105="",$D105="",$C105&gt;CR$6,$D105&lt;CR$9),"",IF($J105="里程碑","◆",""))</f>
        <v/>
      </c>
      <c r="CS105" s="8" t="str">
        <f>IF(OR($A105="",$C105="",$D105="",$C105&gt;CS$6,$D105&lt;CS$9),"",IF($J105="里程碑","◆",""))</f>
        <v/>
      </c>
      <c r="CT105" s="8" t="str">
        <f>IF(OR($A105="",$C105="",$D105="",$C105&gt;CT$6,$D105&lt;CT$9),"",IF($J105="里程碑","◆",""))</f>
        <v/>
      </c>
      <c r="CU105" s="8" t="str">
        <f>IF(OR($A105="",$C105="",$D105="",$C105&gt;CU$6,$D105&lt;CU$9),"",IF($J105="里程碑","◆",""))</f>
        <v/>
      </c>
      <c r="CV105" s="8" t="str">
        <f>IF(OR($A105="",$C105="",$D105="",$C105&gt;CV$6,$D105&lt;CV$9),"",IF($J105="里程碑","◆",""))</f>
        <v/>
      </c>
      <c r="CW105" s="8" t="str">
        <f>IF(OR($A105="",$C105="",$D105="",$C105&gt;CW$6,$D105&lt;CW$9),"",IF($J105="里程碑","◆",""))</f>
        <v/>
      </c>
      <c r="CX105" s="8" t="str">
        <f>IF(OR($A105="",$C105="",$D105="",$C105&gt;CX$6,$D105&lt;CX$9),"",IF($J105="里程碑","◆",""))</f>
        <v/>
      </c>
      <c r="CY105" s="8" t="str">
        <f>IF(OR($A105="",$C105="",$D105="",$C105&gt;CY$6,$D105&lt;CY$9),"",IF($J105="里程碑","◆",""))</f>
        <v/>
      </c>
      <c r="CZ105" s="8" t="str">
        <f>IF(OR($A105="",$C105="",$D105="",$C105&gt;CZ$6,$D105&lt;CZ$9),"",IF($J105="里程碑","◆",""))</f>
        <v/>
      </c>
      <c r="DA105" s="8" t="str">
        <f>IF(OR($A105="",$C105="",$D105="",$C105&gt;DA$6,$D105&lt;DA$9),"",IF($J105="里程碑","◆",""))</f>
        <v/>
      </c>
      <c r="DB105" s="8" t="str">
        <f>IF(OR($A105="",$C105="",$D105="",$C105&gt;DB$6,$D105&lt;DB$9),"",IF($J105="里程碑","◆",""))</f>
        <v/>
      </c>
      <c r="DC105" s="1" t="str">
        <f>IF(ROW()-9&gt;$DH$3,"",MATCH(ROW()-9,排期计算!$U$10:$U$109,0))</f>
        <v/>
      </c>
      <c r="DD105" s="1" t="str">
        <f>IF($DC105="","",INDEX(排期计算!$L$10:$L$109,$DC105))</f>
        <v/>
      </c>
      <c r="DE105" s="1"/>
      <c r="DF105" s="1"/>
      <c r="DG105" s="1"/>
      <c r="DH105" s="1"/>
      <c r="DI105" s="1"/>
      <c r="DJ105" s="1"/>
      <c r="DK105" s="1"/>
    </row>
    <row r="106" spans="1:115" ht="24.95" customHeight="1">
      <c r="A106" s="9" t="str">
        <f>IF($DC106="","",IF(AND(INDEX(排期计算!$A$10:$A$109,$DC106)="",NOT(ISNUMBER(INDEX(排期计算!$A$10:$A$109,$DC106)))),"",INDEX(排期计算!$A$10:$A$109,$DC106)))</f>
        <v/>
      </c>
      <c r="B106" s="1" t="str">
        <f>IF($DC106="","",REPT("　",$DD106-1)&amp;INDEX(排期计算!$B$10:$B$109,$DC106))</f>
        <v/>
      </c>
      <c r="C106" s="3" t="str">
        <f>IF($DC106="","",IF(AND(INDEX(排期计算!$M$10:$M$109,$DC106)="",NOT(ISNUMBER(INDEX(排期计算!$M$10:$M$109,$DC106)))),"",INDEX(排期计算!$M$10:$M$109,$DC106)))</f>
        <v/>
      </c>
      <c r="D106" s="3" t="str">
        <f>IF($DC106="","",IF(AND(INDEX(排期计算!$N$10:$N$109,$DC106)="",NOT(ISNUMBER(INDEX(排期计算!$N$10:$N$109,$DC106)))),"",INDEX(排期计算!$N$10:$N$109,$DC106)))</f>
        <v/>
      </c>
      <c r="E106" s="1" t="str">
        <f>IF(OR($C106="",$D106=""),"",IF($J106="里程碑",0,NETWORKDAYS($C106,$D106)))</f>
        <v/>
      </c>
      <c r="F106" s="7" t="str">
        <f>IF($DC106="","",IF(AND(INDEX(排期计算!$O$10:$O$109,$DC106)="",NOT(ISNUMBER(INDEX(排期计算!$O$10:$O$109,$DC106)))),"",INDEX(排期计算!$O$10:$O$109,$DC106)))</f>
        <v/>
      </c>
      <c r="G106" s="8" t="str">
        <f>IF($A106="","",IF(OR($C106="",$D106=""),"未排期",IF($F106&gt;=1,"已完成",IF($D106&lt;$B$4,"逾期",IF($C106&gt;$B$4,"未开始","进行中")))))</f>
        <v/>
      </c>
      <c r="H106" s="1" t="str">
        <f>IF($DC106="","",IF(AND(INDEX(排期计算!$C$10:$C$109,$DC106)="",NOT(ISNUMBER(INDEX(排期计算!$C$10:$C$109,$DC106)))),"",INDEX(排期计算!$C$10:$C$109,$DC106)))</f>
        <v/>
      </c>
      <c r="I106" s="1" t="str">
        <f>IF($DC106="","",IF(AND(INDEX(排期计算!$H$10:$H$109,$DC106)="",NOT(ISNUMBER(INDEX(排期计算!$H$10:$H$109,$DC106)))),"",INDEX(排期计算!$H$10:$H$109,$DC106)))</f>
        <v/>
      </c>
      <c r="J106" s="1" t="str">
        <f>IF($DC106="","",IF(AND(INDEX(排期计算!$K$10:$K$109,$DC106)="",NOT(ISNUMBER(INDEX(排期计算!$K$10:$K$109,$DC106)))),"",INDEX(排期计算!$K$10:$K$109,$DC106)))</f>
        <v/>
      </c>
      <c r="K106" s="8" t="str">
        <f>IF(OR($A106="",$C106="",$D106="",$C106&gt;K$6,$D106&lt;K$9),"",IF($J106="里程碑","◆",""))</f>
        <v/>
      </c>
      <c r="L106" s="8" t="str">
        <f>IF(OR($A106="",$C106="",$D106="",$C106&gt;L$6,$D106&lt;L$9),"",IF($J106="里程碑","◆",""))</f>
        <v/>
      </c>
      <c r="M106" s="8" t="str">
        <f>IF(OR($A106="",$C106="",$D106="",$C106&gt;M$6,$D106&lt;M$9),"",IF($J106="里程碑","◆",""))</f>
        <v/>
      </c>
      <c r="N106" s="8" t="str">
        <f>IF(OR($A106="",$C106="",$D106="",$C106&gt;N$6,$D106&lt;N$9),"",IF($J106="里程碑","◆",""))</f>
        <v/>
      </c>
      <c r="O106" s="8" t="str">
        <f>IF(OR($A106="",$C106="",$D106="",$C106&gt;O$6,$D106&lt;O$9),"",IF($J106="里程碑","◆",""))</f>
        <v/>
      </c>
      <c r="P106" s="8" t="str">
        <f>IF(OR($A106="",$C106="",$D106="",$C106&gt;P$6,$D106&lt;P$9),"",IF($J106="里程碑","◆",""))</f>
        <v/>
      </c>
      <c r="Q106" s="8" t="str">
        <f>IF(OR($A106="",$C106="",$D106="",$C106&gt;Q$6,$D106&lt;Q$9),"",IF($J106="里程碑","◆",""))</f>
        <v/>
      </c>
      <c r="R106" s="8" t="str">
        <f>IF(OR($A106="",$C106="",$D106="",$C106&gt;R$6,$D106&lt;R$9),"",IF($J106="里程碑","◆",""))</f>
        <v/>
      </c>
      <c r="S106" s="8" t="str">
        <f>IF(OR($A106="",$C106="",$D106="",$C106&gt;S$6,$D106&lt;S$9),"",IF($J106="里程碑","◆",""))</f>
        <v/>
      </c>
      <c r="T106" s="8" t="str">
        <f>IF(OR($A106="",$C106="",$D106="",$C106&gt;T$6,$D106&lt;T$9),"",IF($J106="里程碑","◆",""))</f>
        <v/>
      </c>
      <c r="U106" s="8" t="str">
        <f>IF(OR($A106="",$C106="",$D106="",$C106&gt;U$6,$D106&lt;U$9),"",IF($J106="里程碑","◆",""))</f>
        <v/>
      </c>
      <c r="V106" s="8" t="str">
        <f>IF(OR($A106="",$C106="",$D106="",$C106&gt;V$6,$D106&lt;V$9),"",IF($J106="里程碑","◆",""))</f>
        <v/>
      </c>
      <c r="W106" s="8" t="str">
        <f>IF(OR($A106="",$C106="",$D106="",$C106&gt;W$6,$D106&lt;W$9),"",IF($J106="里程碑","◆",""))</f>
        <v/>
      </c>
      <c r="X106" s="8" t="str">
        <f>IF(OR($A106="",$C106="",$D106="",$C106&gt;X$6,$D106&lt;X$9),"",IF($J106="里程碑","◆",""))</f>
        <v/>
      </c>
      <c r="Y106" s="8" t="str">
        <f>IF(OR($A106="",$C106="",$D106="",$C106&gt;Y$6,$D106&lt;Y$9),"",IF($J106="里程碑","◆",""))</f>
        <v/>
      </c>
      <c r="Z106" s="8" t="str">
        <f>IF(OR($A106="",$C106="",$D106="",$C106&gt;Z$6,$D106&lt;Z$9),"",IF($J106="里程碑","◆",""))</f>
        <v/>
      </c>
      <c r="AA106" s="8" t="str">
        <f>IF(OR($A106="",$C106="",$D106="",$C106&gt;AA$6,$D106&lt;AA$9),"",IF($J106="里程碑","◆",""))</f>
        <v/>
      </c>
      <c r="AB106" s="8" t="str">
        <f>IF(OR($A106="",$C106="",$D106="",$C106&gt;AB$6,$D106&lt;AB$9),"",IF($J106="里程碑","◆",""))</f>
        <v/>
      </c>
      <c r="AC106" s="8" t="str">
        <f>IF(OR($A106="",$C106="",$D106="",$C106&gt;AC$6,$D106&lt;AC$9),"",IF($J106="里程碑","◆",""))</f>
        <v/>
      </c>
      <c r="AD106" s="8" t="str">
        <f>IF(OR($A106="",$C106="",$D106="",$C106&gt;AD$6,$D106&lt;AD$9),"",IF($J106="里程碑","◆",""))</f>
        <v/>
      </c>
      <c r="AE106" s="8" t="str">
        <f>IF(OR($A106="",$C106="",$D106="",$C106&gt;AE$6,$D106&lt;AE$9),"",IF($J106="里程碑","◆",""))</f>
        <v/>
      </c>
      <c r="AF106" s="8" t="str">
        <f>IF(OR($A106="",$C106="",$D106="",$C106&gt;AF$6,$D106&lt;AF$9),"",IF($J106="里程碑","◆",""))</f>
        <v/>
      </c>
      <c r="AG106" s="8" t="str">
        <f>IF(OR($A106="",$C106="",$D106="",$C106&gt;AG$6,$D106&lt;AG$9),"",IF($J106="里程碑","◆",""))</f>
        <v/>
      </c>
      <c r="AH106" s="8" t="str">
        <f>IF(OR($A106="",$C106="",$D106="",$C106&gt;AH$6,$D106&lt;AH$9),"",IF($J106="里程碑","◆",""))</f>
        <v/>
      </c>
      <c r="AI106" s="8" t="str">
        <f>IF(OR($A106="",$C106="",$D106="",$C106&gt;AI$6,$D106&lt;AI$9),"",IF($J106="里程碑","◆",""))</f>
        <v/>
      </c>
      <c r="AJ106" s="8" t="str">
        <f>IF(OR($A106="",$C106="",$D106="",$C106&gt;AJ$6,$D106&lt;AJ$9),"",IF($J106="里程碑","◆",""))</f>
        <v/>
      </c>
      <c r="AK106" s="8" t="str">
        <f>IF(OR($A106="",$C106="",$D106="",$C106&gt;AK$6,$D106&lt;AK$9),"",IF($J106="里程碑","◆",""))</f>
        <v/>
      </c>
      <c r="AL106" s="8" t="str">
        <f>IF(OR($A106="",$C106="",$D106="",$C106&gt;AL$6,$D106&lt;AL$9),"",IF($J106="里程碑","◆",""))</f>
        <v/>
      </c>
      <c r="AM106" s="8" t="str">
        <f>IF(OR($A106="",$C106="",$D106="",$C106&gt;AM$6,$D106&lt;AM$9),"",IF($J106="里程碑","◆",""))</f>
        <v/>
      </c>
      <c r="AN106" s="8" t="str">
        <f>IF(OR($A106="",$C106="",$D106="",$C106&gt;AN$6,$D106&lt;AN$9),"",IF($J106="里程碑","◆",""))</f>
        <v/>
      </c>
      <c r="AO106" s="8" t="str">
        <f>IF(OR($A106="",$C106="",$D106="",$C106&gt;AO$6,$D106&lt;AO$9),"",IF($J106="里程碑","◆",""))</f>
        <v/>
      </c>
      <c r="AP106" s="8" t="str">
        <f>IF(OR($A106="",$C106="",$D106="",$C106&gt;AP$6,$D106&lt;AP$9),"",IF($J106="里程碑","◆",""))</f>
        <v/>
      </c>
      <c r="AQ106" s="8" t="str">
        <f>IF(OR($A106="",$C106="",$D106="",$C106&gt;AQ$6,$D106&lt;AQ$9),"",IF($J106="里程碑","◆",""))</f>
        <v/>
      </c>
      <c r="AR106" s="8" t="str">
        <f>IF(OR($A106="",$C106="",$D106="",$C106&gt;AR$6,$D106&lt;AR$9),"",IF($J106="里程碑","◆",""))</f>
        <v/>
      </c>
      <c r="AS106" s="8" t="str">
        <f>IF(OR($A106="",$C106="",$D106="",$C106&gt;AS$6,$D106&lt;AS$9),"",IF($J106="里程碑","◆",""))</f>
        <v/>
      </c>
      <c r="AT106" s="8" t="str">
        <f>IF(OR($A106="",$C106="",$D106="",$C106&gt;AT$6,$D106&lt;AT$9),"",IF($J106="里程碑","◆",""))</f>
        <v/>
      </c>
      <c r="AU106" s="8" t="str">
        <f>IF(OR($A106="",$C106="",$D106="",$C106&gt;AU$6,$D106&lt;AU$9),"",IF($J106="里程碑","◆",""))</f>
        <v/>
      </c>
      <c r="AV106" s="8" t="str">
        <f>IF(OR($A106="",$C106="",$D106="",$C106&gt;AV$6,$D106&lt;AV$9),"",IF($J106="里程碑","◆",""))</f>
        <v/>
      </c>
      <c r="AW106" s="8" t="str">
        <f>IF(OR($A106="",$C106="",$D106="",$C106&gt;AW$6,$D106&lt;AW$9),"",IF($J106="里程碑","◆",""))</f>
        <v/>
      </c>
      <c r="AX106" s="8" t="str">
        <f>IF(OR($A106="",$C106="",$D106="",$C106&gt;AX$6,$D106&lt;AX$9),"",IF($J106="里程碑","◆",""))</f>
        <v/>
      </c>
      <c r="AY106" s="8" t="str">
        <f>IF(OR($A106="",$C106="",$D106="",$C106&gt;AY$6,$D106&lt;AY$9),"",IF($J106="里程碑","◆",""))</f>
        <v/>
      </c>
      <c r="AZ106" s="8" t="str">
        <f>IF(OR($A106="",$C106="",$D106="",$C106&gt;AZ$6,$D106&lt;AZ$9),"",IF($J106="里程碑","◆",""))</f>
        <v/>
      </c>
      <c r="BA106" s="8" t="str">
        <f>IF(OR($A106="",$C106="",$D106="",$C106&gt;BA$6,$D106&lt;BA$9),"",IF($J106="里程碑","◆",""))</f>
        <v/>
      </c>
      <c r="BB106" s="8" t="str">
        <f>IF(OR($A106="",$C106="",$D106="",$C106&gt;BB$6,$D106&lt;BB$9),"",IF($J106="里程碑","◆",""))</f>
        <v/>
      </c>
      <c r="BC106" s="8" t="str">
        <f>IF(OR($A106="",$C106="",$D106="",$C106&gt;BC$6,$D106&lt;BC$9),"",IF($J106="里程碑","◆",""))</f>
        <v/>
      </c>
      <c r="BD106" s="8" t="str">
        <f>IF(OR($A106="",$C106="",$D106="",$C106&gt;BD$6,$D106&lt;BD$9),"",IF($J106="里程碑","◆",""))</f>
        <v/>
      </c>
      <c r="BE106" s="8" t="str">
        <f>IF(OR($A106="",$C106="",$D106="",$C106&gt;BE$6,$D106&lt;BE$9),"",IF($J106="里程碑","◆",""))</f>
        <v/>
      </c>
      <c r="BF106" s="8" t="str">
        <f>IF(OR($A106="",$C106="",$D106="",$C106&gt;BF$6,$D106&lt;BF$9),"",IF($J106="里程碑","◆",""))</f>
        <v/>
      </c>
      <c r="BG106" s="8" t="str">
        <f>IF(OR($A106="",$C106="",$D106="",$C106&gt;BG$6,$D106&lt;BG$9),"",IF($J106="里程碑","◆",""))</f>
        <v/>
      </c>
      <c r="BH106" s="8" t="str">
        <f>IF(OR($A106="",$C106="",$D106="",$C106&gt;BH$6,$D106&lt;BH$9),"",IF($J106="里程碑","◆",""))</f>
        <v/>
      </c>
      <c r="BI106" s="8" t="str">
        <f>IF(OR($A106="",$C106="",$D106="",$C106&gt;BI$6,$D106&lt;BI$9),"",IF($J106="里程碑","◆",""))</f>
        <v/>
      </c>
      <c r="BJ106" s="8" t="str">
        <f>IF(OR($A106="",$C106="",$D106="",$C106&gt;BJ$6,$D106&lt;BJ$9),"",IF($J106="里程碑","◆",""))</f>
        <v/>
      </c>
      <c r="BK106" s="8" t="str">
        <f>IF(OR($A106="",$C106="",$D106="",$C106&gt;BK$6,$D106&lt;BK$9),"",IF($J106="里程碑","◆",""))</f>
        <v/>
      </c>
      <c r="BL106" s="8" t="str">
        <f>IF(OR($A106="",$C106="",$D106="",$C106&gt;BL$6,$D106&lt;BL$9),"",IF($J106="里程碑","◆",""))</f>
        <v/>
      </c>
      <c r="BM106" s="8" t="str">
        <f>IF(OR($A106="",$C106="",$D106="",$C106&gt;BM$6,$D106&lt;BM$9),"",IF($J106="里程碑","◆",""))</f>
        <v/>
      </c>
      <c r="BN106" s="8" t="str">
        <f>IF(OR($A106="",$C106="",$D106="",$C106&gt;BN$6,$D106&lt;BN$9),"",IF($J106="里程碑","◆",""))</f>
        <v/>
      </c>
      <c r="BO106" s="8" t="str">
        <f>IF(OR($A106="",$C106="",$D106="",$C106&gt;BO$6,$D106&lt;BO$9),"",IF($J106="里程碑","◆",""))</f>
        <v/>
      </c>
      <c r="BP106" s="8" t="str">
        <f>IF(OR($A106="",$C106="",$D106="",$C106&gt;BP$6,$D106&lt;BP$9),"",IF($J106="里程碑","◆",""))</f>
        <v/>
      </c>
      <c r="BQ106" s="8" t="str">
        <f>IF(OR($A106="",$C106="",$D106="",$C106&gt;BQ$6,$D106&lt;BQ$9),"",IF($J106="里程碑","◆",""))</f>
        <v/>
      </c>
      <c r="BR106" s="8" t="str">
        <f>IF(OR($A106="",$C106="",$D106="",$C106&gt;BR$6,$D106&lt;BR$9),"",IF($J106="里程碑","◆",""))</f>
        <v/>
      </c>
      <c r="BS106" s="8" t="str">
        <f>IF(OR($A106="",$C106="",$D106="",$C106&gt;BS$6,$D106&lt;BS$9),"",IF($J106="里程碑","◆",""))</f>
        <v/>
      </c>
      <c r="BT106" s="8" t="str">
        <f>IF(OR($A106="",$C106="",$D106="",$C106&gt;BT$6,$D106&lt;BT$9),"",IF($J106="里程碑","◆",""))</f>
        <v/>
      </c>
      <c r="BU106" s="8" t="str">
        <f>IF(OR($A106="",$C106="",$D106="",$C106&gt;BU$6,$D106&lt;BU$9),"",IF($J106="里程碑","◆",""))</f>
        <v/>
      </c>
      <c r="BV106" s="8" t="str">
        <f>IF(OR($A106="",$C106="",$D106="",$C106&gt;BV$6,$D106&lt;BV$9),"",IF($J106="里程碑","◆",""))</f>
        <v/>
      </c>
      <c r="BW106" s="8" t="str">
        <f>IF(OR($A106="",$C106="",$D106="",$C106&gt;BW$6,$D106&lt;BW$9),"",IF($J106="里程碑","◆",""))</f>
        <v/>
      </c>
      <c r="BX106" s="8" t="str">
        <f>IF(OR($A106="",$C106="",$D106="",$C106&gt;BX$6,$D106&lt;BX$9),"",IF($J106="里程碑","◆",""))</f>
        <v/>
      </c>
      <c r="BY106" s="8" t="str">
        <f>IF(OR($A106="",$C106="",$D106="",$C106&gt;BY$6,$D106&lt;BY$9),"",IF($J106="里程碑","◆",""))</f>
        <v/>
      </c>
      <c r="BZ106" s="8" t="str">
        <f>IF(OR($A106="",$C106="",$D106="",$C106&gt;BZ$6,$D106&lt;BZ$9),"",IF($J106="里程碑","◆",""))</f>
        <v/>
      </c>
      <c r="CA106" s="8" t="str">
        <f>IF(OR($A106="",$C106="",$D106="",$C106&gt;CA$6,$D106&lt;CA$9),"",IF($J106="里程碑","◆",""))</f>
        <v/>
      </c>
      <c r="CB106" s="8" t="str">
        <f>IF(OR($A106="",$C106="",$D106="",$C106&gt;CB$6,$D106&lt;CB$9),"",IF($J106="里程碑","◆",""))</f>
        <v/>
      </c>
      <c r="CC106" s="8" t="str">
        <f>IF(OR($A106="",$C106="",$D106="",$C106&gt;CC$6,$D106&lt;CC$9),"",IF($J106="里程碑","◆",""))</f>
        <v/>
      </c>
      <c r="CD106" s="8" t="str">
        <f>IF(OR($A106="",$C106="",$D106="",$C106&gt;CD$6,$D106&lt;CD$9),"",IF($J106="里程碑","◆",""))</f>
        <v/>
      </c>
      <c r="CE106" s="8" t="str">
        <f>IF(OR($A106="",$C106="",$D106="",$C106&gt;CE$6,$D106&lt;CE$9),"",IF($J106="里程碑","◆",""))</f>
        <v/>
      </c>
      <c r="CF106" s="8" t="str">
        <f>IF(OR($A106="",$C106="",$D106="",$C106&gt;CF$6,$D106&lt;CF$9),"",IF($J106="里程碑","◆",""))</f>
        <v/>
      </c>
      <c r="CG106" s="8" t="str">
        <f>IF(OR($A106="",$C106="",$D106="",$C106&gt;CG$6,$D106&lt;CG$9),"",IF($J106="里程碑","◆",""))</f>
        <v/>
      </c>
      <c r="CH106" s="8" t="str">
        <f>IF(OR($A106="",$C106="",$D106="",$C106&gt;CH$6,$D106&lt;CH$9),"",IF($J106="里程碑","◆",""))</f>
        <v/>
      </c>
      <c r="CI106" s="8" t="str">
        <f>IF(OR($A106="",$C106="",$D106="",$C106&gt;CI$6,$D106&lt;CI$9),"",IF($J106="里程碑","◆",""))</f>
        <v/>
      </c>
      <c r="CJ106" s="8" t="str">
        <f>IF(OR($A106="",$C106="",$D106="",$C106&gt;CJ$6,$D106&lt;CJ$9),"",IF($J106="里程碑","◆",""))</f>
        <v/>
      </c>
      <c r="CK106" s="8" t="str">
        <f>IF(OR($A106="",$C106="",$D106="",$C106&gt;CK$6,$D106&lt;CK$9),"",IF($J106="里程碑","◆",""))</f>
        <v/>
      </c>
      <c r="CL106" s="8" t="str">
        <f>IF(OR($A106="",$C106="",$D106="",$C106&gt;CL$6,$D106&lt;CL$9),"",IF($J106="里程碑","◆",""))</f>
        <v/>
      </c>
      <c r="CM106" s="8" t="str">
        <f>IF(OR($A106="",$C106="",$D106="",$C106&gt;CM$6,$D106&lt;CM$9),"",IF($J106="里程碑","◆",""))</f>
        <v/>
      </c>
      <c r="CN106" s="8" t="str">
        <f>IF(OR($A106="",$C106="",$D106="",$C106&gt;CN$6,$D106&lt;CN$9),"",IF($J106="里程碑","◆",""))</f>
        <v/>
      </c>
      <c r="CO106" s="8" t="str">
        <f>IF(OR($A106="",$C106="",$D106="",$C106&gt;CO$6,$D106&lt;CO$9),"",IF($J106="里程碑","◆",""))</f>
        <v/>
      </c>
      <c r="CP106" s="8" t="str">
        <f>IF(OR($A106="",$C106="",$D106="",$C106&gt;CP$6,$D106&lt;CP$9),"",IF($J106="里程碑","◆",""))</f>
        <v/>
      </c>
      <c r="CQ106" s="8" t="str">
        <f>IF(OR($A106="",$C106="",$D106="",$C106&gt;CQ$6,$D106&lt;CQ$9),"",IF($J106="里程碑","◆",""))</f>
        <v/>
      </c>
      <c r="CR106" s="8" t="str">
        <f>IF(OR($A106="",$C106="",$D106="",$C106&gt;CR$6,$D106&lt;CR$9),"",IF($J106="里程碑","◆",""))</f>
        <v/>
      </c>
      <c r="CS106" s="8" t="str">
        <f>IF(OR($A106="",$C106="",$D106="",$C106&gt;CS$6,$D106&lt;CS$9),"",IF($J106="里程碑","◆",""))</f>
        <v/>
      </c>
      <c r="CT106" s="8" t="str">
        <f>IF(OR($A106="",$C106="",$D106="",$C106&gt;CT$6,$D106&lt;CT$9),"",IF($J106="里程碑","◆",""))</f>
        <v/>
      </c>
      <c r="CU106" s="8" t="str">
        <f>IF(OR($A106="",$C106="",$D106="",$C106&gt;CU$6,$D106&lt;CU$9),"",IF($J106="里程碑","◆",""))</f>
        <v/>
      </c>
      <c r="CV106" s="8" t="str">
        <f>IF(OR($A106="",$C106="",$D106="",$C106&gt;CV$6,$D106&lt;CV$9),"",IF($J106="里程碑","◆",""))</f>
        <v/>
      </c>
      <c r="CW106" s="8" t="str">
        <f>IF(OR($A106="",$C106="",$D106="",$C106&gt;CW$6,$D106&lt;CW$9),"",IF($J106="里程碑","◆",""))</f>
        <v/>
      </c>
      <c r="CX106" s="8" t="str">
        <f>IF(OR($A106="",$C106="",$D106="",$C106&gt;CX$6,$D106&lt;CX$9),"",IF($J106="里程碑","◆",""))</f>
        <v/>
      </c>
      <c r="CY106" s="8" t="str">
        <f>IF(OR($A106="",$C106="",$D106="",$C106&gt;CY$6,$D106&lt;CY$9),"",IF($J106="里程碑","◆",""))</f>
        <v/>
      </c>
      <c r="CZ106" s="8" t="str">
        <f>IF(OR($A106="",$C106="",$D106="",$C106&gt;CZ$6,$D106&lt;CZ$9),"",IF($J106="里程碑","◆",""))</f>
        <v/>
      </c>
      <c r="DA106" s="8" t="str">
        <f>IF(OR($A106="",$C106="",$D106="",$C106&gt;DA$6,$D106&lt;DA$9),"",IF($J106="里程碑","◆",""))</f>
        <v/>
      </c>
      <c r="DB106" s="8" t="str">
        <f>IF(OR($A106="",$C106="",$D106="",$C106&gt;DB$6,$D106&lt;DB$9),"",IF($J106="里程碑","◆",""))</f>
        <v/>
      </c>
      <c r="DC106" s="1" t="str">
        <f>IF(ROW()-9&gt;$DH$3,"",MATCH(ROW()-9,排期计算!$U$10:$U$109,0))</f>
        <v/>
      </c>
      <c r="DD106" s="1" t="str">
        <f>IF($DC106="","",INDEX(排期计算!$L$10:$L$109,$DC106))</f>
        <v/>
      </c>
      <c r="DE106" s="1"/>
      <c r="DF106" s="1"/>
      <c r="DG106" s="1"/>
      <c r="DH106" s="1"/>
      <c r="DI106" s="1"/>
      <c r="DJ106" s="1"/>
      <c r="DK106" s="1"/>
    </row>
    <row r="107" spans="1:115" ht="24.95" customHeight="1">
      <c r="A107" s="9" t="str">
        <f>IF($DC107="","",IF(AND(INDEX(排期计算!$A$10:$A$109,$DC107)="",NOT(ISNUMBER(INDEX(排期计算!$A$10:$A$109,$DC107)))),"",INDEX(排期计算!$A$10:$A$109,$DC107)))</f>
        <v/>
      </c>
      <c r="B107" s="1" t="str">
        <f>IF($DC107="","",REPT("　",$DD107-1)&amp;INDEX(排期计算!$B$10:$B$109,$DC107))</f>
        <v/>
      </c>
      <c r="C107" s="3" t="str">
        <f>IF($DC107="","",IF(AND(INDEX(排期计算!$M$10:$M$109,$DC107)="",NOT(ISNUMBER(INDEX(排期计算!$M$10:$M$109,$DC107)))),"",INDEX(排期计算!$M$10:$M$109,$DC107)))</f>
        <v/>
      </c>
      <c r="D107" s="3" t="str">
        <f>IF($DC107="","",IF(AND(INDEX(排期计算!$N$10:$N$109,$DC107)="",NOT(ISNUMBER(INDEX(排期计算!$N$10:$N$109,$DC107)))),"",INDEX(排期计算!$N$10:$N$109,$DC107)))</f>
        <v/>
      </c>
      <c r="E107" s="1" t="str">
        <f>IF(OR($C107="",$D107=""),"",IF($J107="里程碑",0,NETWORKDAYS($C107,$D107)))</f>
        <v/>
      </c>
      <c r="F107" s="7" t="str">
        <f>IF($DC107="","",IF(AND(INDEX(排期计算!$O$10:$O$109,$DC107)="",NOT(ISNUMBER(INDEX(排期计算!$O$10:$O$109,$DC107)))),"",INDEX(排期计算!$O$10:$O$109,$DC107)))</f>
        <v/>
      </c>
      <c r="G107" s="8" t="str">
        <f>IF($A107="","",IF(OR($C107="",$D107=""),"未排期",IF($F107&gt;=1,"已完成",IF($D107&lt;$B$4,"逾期",IF($C107&gt;$B$4,"未开始","进行中")))))</f>
        <v/>
      </c>
      <c r="H107" s="1" t="str">
        <f>IF($DC107="","",IF(AND(INDEX(排期计算!$C$10:$C$109,$DC107)="",NOT(ISNUMBER(INDEX(排期计算!$C$10:$C$109,$DC107)))),"",INDEX(排期计算!$C$10:$C$109,$DC107)))</f>
        <v/>
      </c>
      <c r="I107" s="1" t="str">
        <f>IF($DC107="","",IF(AND(INDEX(排期计算!$H$10:$H$109,$DC107)="",NOT(ISNUMBER(INDEX(排期计算!$H$10:$H$109,$DC107)))),"",INDEX(排期计算!$H$10:$H$109,$DC107)))</f>
        <v/>
      </c>
      <c r="J107" s="1" t="str">
        <f>IF($DC107="","",IF(AND(INDEX(排期计算!$K$10:$K$109,$DC107)="",NOT(ISNUMBER(INDEX(排期计算!$K$10:$K$109,$DC107)))),"",INDEX(排期计算!$K$10:$K$109,$DC107)))</f>
        <v/>
      </c>
      <c r="K107" s="8" t="str">
        <f>IF(OR($A107="",$C107="",$D107="",$C107&gt;K$6,$D107&lt;K$9),"",IF($J107="里程碑","◆",""))</f>
        <v/>
      </c>
      <c r="L107" s="8" t="str">
        <f>IF(OR($A107="",$C107="",$D107="",$C107&gt;L$6,$D107&lt;L$9),"",IF($J107="里程碑","◆",""))</f>
        <v/>
      </c>
      <c r="M107" s="8" t="str">
        <f>IF(OR($A107="",$C107="",$D107="",$C107&gt;M$6,$D107&lt;M$9),"",IF($J107="里程碑","◆",""))</f>
        <v/>
      </c>
      <c r="N107" s="8" t="str">
        <f>IF(OR($A107="",$C107="",$D107="",$C107&gt;N$6,$D107&lt;N$9),"",IF($J107="里程碑","◆",""))</f>
        <v/>
      </c>
      <c r="O107" s="8" t="str">
        <f>IF(OR($A107="",$C107="",$D107="",$C107&gt;O$6,$D107&lt;O$9),"",IF($J107="里程碑","◆",""))</f>
        <v/>
      </c>
      <c r="P107" s="8" t="str">
        <f>IF(OR($A107="",$C107="",$D107="",$C107&gt;P$6,$D107&lt;P$9),"",IF($J107="里程碑","◆",""))</f>
        <v/>
      </c>
      <c r="Q107" s="8" t="str">
        <f>IF(OR($A107="",$C107="",$D107="",$C107&gt;Q$6,$D107&lt;Q$9),"",IF($J107="里程碑","◆",""))</f>
        <v/>
      </c>
      <c r="R107" s="8" t="str">
        <f>IF(OR($A107="",$C107="",$D107="",$C107&gt;R$6,$D107&lt;R$9),"",IF($J107="里程碑","◆",""))</f>
        <v/>
      </c>
      <c r="S107" s="8" t="str">
        <f>IF(OR($A107="",$C107="",$D107="",$C107&gt;S$6,$D107&lt;S$9),"",IF($J107="里程碑","◆",""))</f>
        <v/>
      </c>
      <c r="T107" s="8" t="str">
        <f>IF(OR($A107="",$C107="",$D107="",$C107&gt;T$6,$D107&lt;T$9),"",IF($J107="里程碑","◆",""))</f>
        <v/>
      </c>
      <c r="U107" s="8" t="str">
        <f>IF(OR($A107="",$C107="",$D107="",$C107&gt;U$6,$D107&lt;U$9),"",IF($J107="里程碑","◆",""))</f>
        <v/>
      </c>
      <c r="V107" s="8" t="str">
        <f>IF(OR($A107="",$C107="",$D107="",$C107&gt;V$6,$D107&lt;V$9),"",IF($J107="里程碑","◆",""))</f>
        <v/>
      </c>
      <c r="W107" s="8" t="str">
        <f>IF(OR($A107="",$C107="",$D107="",$C107&gt;W$6,$D107&lt;W$9),"",IF($J107="里程碑","◆",""))</f>
        <v/>
      </c>
      <c r="X107" s="8" t="str">
        <f>IF(OR($A107="",$C107="",$D107="",$C107&gt;X$6,$D107&lt;X$9),"",IF($J107="里程碑","◆",""))</f>
        <v/>
      </c>
      <c r="Y107" s="8" t="str">
        <f>IF(OR($A107="",$C107="",$D107="",$C107&gt;Y$6,$D107&lt;Y$9),"",IF($J107="里程碑","◆",""))</f>
        <v/>
      </c>
      <c r="Z107" s="8" t="str">
        <f>IF(OR($A107="",$C107="",$D107="",$C107&gt;Z$6,$D107&lt;Z$9),"",IF($J107="里程碑","◆",""))</f>
        <v/>
      </c>
      <c r="AA107" s="8" t="str">
        <f>IF(OR($A107="",$C107="",$D107="",$C107&gt;AA$6,$D107&lt;AA$9),"",IF($J107="里程碑","◆",""))</f>
        <v/>
      </c>
      <c r="AB107" s="8" t="str">
        <f>IF(OR($A107="",$C107="",$D107="",$C107&gt;AB$6,$D107&lt;AB$9),"",IF($J107="里程碑","◆",""))</f>
        <v/>
      </c>
      <c r="AC107" s="8" t="str">
        <f>IF(OR($A107="",$C107="",$D107="",$C107&gt;AC$6,$D107&lt;AC$9),"",IF($J107="里程碑","◆",""))</f>
        <v/>
      </c>
      <c r="AD107" s="8" t="str">
        <f>IF(OR($A107="",$C107="",$D107="",$C107&gt;AD$6,$D107&lt;AD$9),"",IF($J107="里程碑","◆",""))</f>
        <v/>
      </c>
      <c r="AE107" s="8" t="str">
        <f>IF(OR($A107="",$C107="",$D107="",$C107&gt;AE$6,$D107&lt;AE$9),"",IF($J107="里程碑","◆",""))</f>
        <v/>
      </c>
      <c r="AF107" s="8" t="str">
        <f>IF(OR($A107="",$C107="",$D107="",$C107&gt;AF$6,$D107&lt;AF$9),"",IF($J107="里程碑","◆",""))</f>
        <v/>
      </c>
      <c r="AG107" s="8" t="str">
        <f>IF(OR($A107="",$C107="",$D107="",$C107&gt;AG$6,$D107&lt;AG$9),"",IF($J107="里程碑","◆",""))</f>
        <v/>
      </c>
      <c r="AH107" s="8" t="str">
        <f>IF(OR($A107="",$C107="",$D107="",$C107&gt;AH$6,$D107&lt;AH$9),"",IF($J107="里程碑","◆",""))</f>
        <v/>
      </c>
      <c r="AI107" s="8" t="str">
        <f>IF(OR($A107="",$C107="",$D107="",$C107&gt;AI$6,$D107&lt;AI$9),"",IF($J107="里程碑","◆",""))</f>
        <v/>
      </c>
      <c r="AJ107" s="8" t="str">
        <f>IF(OR($A107="",$C107="",$D107="",$C107&gt;AJ$6,$D107&lt;AJ$9),"",IF($J107="里程碑","◆",""))</f>
        <v/>
      </c>
      <c r="AK107" s="8" t="str">
        <f>IF(OR($A107="",$C107="",$D107="",$C107&gt;AK$6,$D107&lt;AK$9),"",IF($J107="里程碑","◆",""))</f>
        <v/>
      </c>
      <c r="AL107" s="8" t="str">
        <f>IF(OR($A107="",$C107="",$D107="",$C107&gt;AL$6,$D107&lt;AL$9),"",IF($J107="里程碑","◆",""))</f>
        <v/>
      </c>
      <c r="AM107" s="8" t="str">
        <f>IF(OR($A107="",$C107="",$D107="",$C107&gt;AM$6,$D107&lt;AM$9),"",IF($J107="里程碑","◆",""))</f>
        <v/>
      </c>
      <c r="AN107" s="8" t="str">
        <f>IF(OR($A107="",$C107="",$D107="",$C107&gt;AN$6,$D107&lt;AN$9),"",IF($J107="里程碑","◆",""))</f>
        <v/>
      </c>
      <c r="AO107" s="8" t="str">
        <f>IF(OR($A107="",$C107="",$D107="",$C107&gt;AO$6,$D107&lt;AO$9),"",IF($J107="里程碑","◆",""))</f>
        <v/>
      </c>
      <c r="AP107" s="8" t="str">
        <f>IF(OR($A107="",$C107="",$D107="",$C107&gt;AP$6,$D107&lt;AP$9),"",IF($J107="里程碑","◆",""))</f>
        <v/>
      </c>
      <c r="AQ107" s="8" t="str">
        <f>IF(OR($A107="",$C107="",$D107="",$C107&gt;AQ$6,$D107&lt;AQ$9),"",IF($J107="里程碑","◆",""))</f>
        <v/>
      </c>
      <c r="AR107" s="8" t="str">
        <f>IF(OR($A107="",$C107="",$D107="",$C107&gt;AR$6,$D107&lt;AR$9),"",IF($J107="里程碑","◆",""))</f>
        <v/>
      </c>
      <c r="AS107" s="8" t="str">
        <f>IF(OR($A107="",$C107="",$D107="",$C107&gt;AS$6,$D107&lt;AS$9),"",IF($J107="里程碑","◆",""))</f>
        <v/>
      </c>
      <c r="AT107" s="8" t="str">
        <f>IF(OR($A107="",$C107="",$D107="",$C107&gt;AT$6,$D107&lt;AT$9),"",IF($J107="里程碑","◆",""))</f>
        <v/>
      </c>
      <c r="AU107" s="8" t="str">
        <f>IF(OR($A107="",$C107="",$D107="",$C107&gt;AU$6,$D107&lt;AU$9),"",IF($J107="里程碑","◆",""))</f>
        <v/>
      </c>
      <c r="AV107" s="8" t="str">
        <f>IF(OR($A107="",$C107="",$D107="",$C107&gt;AV$6,$D107&lt;AV$9),"",IF($J107="里程碑","◆",""))</f>
        <v/>
      </c>
      <c r="AW107" s="8" t="str">
        <f>IF(OR($A107="",$C107="",$D107="",$C107&gt;AW$6,$D107&lt;AW$9),"",IF($J107="里程碑","◆",""))</f>
        <v/>
      </c>
      <c r="AX107" s="8" t="str">
        <f>IF(OR($A107="",$C107="",$D107="",$C107&gt;AX$6,$D107&lt;AX$9),"",IF($J107="里程碑","◆",""))</f>
        <v/>
      </c>
      <c r="AY107" s="8" t="str">
        <f>IF(OR($A107="",$C107="",$D107="",$C107&gt;AY$6,$D107&lt;AY$9),"",IF($J107="里程碑","◆",""))</f>
        <v/>
      </c>
      <c r="AZ107" s="8" t="str">
        <f>IF(OR($A107="",$C107="",$D107="",$C107&gt;AZ$6,$D107&lt;AZ$9),"",IF($J107="里程碑","◆",""))</f>
        <v/>
      </c>
      <c r="BA107" s="8" t="str">
        <f>IF(OR($A107="",$C107="",$D107="",$C107&gt;BA$6,$D107&lt;BA$9),"",IF($J107="里程碑","◆",""))</f>
        <v/>
      </c>
      <c r="BB107" s="8" t="str">
        <f>IF(OR($A107="",$C107="",$D107="",$C107&gt;BB$6,$D107&lt;BB$9),"",IF($J107="里程碑","◆",""))</f>
        <v/>
      </c>
      <c r="BC107" s="8" t="str">
        <f>IF(OR($A107="",$C107="",$D107="",$C107&gt;BC$6,$D107&lt;BC$9),"",IF($J107="里程碑","◆",""))</f>
        <v/>
      </c>
      <c r="BD107" s="8" t="str">
        <f>IF(OR($A107="",$C107="",$D107="",$C107&gt;BD$6,$D107&lt;BD$9),"",IF($J107="里程碑","◆",""))</f>
        <v/>
      </c>
      <c r="BE107" s="8" t="str">
        <f>IF(OR($A107="",$C107="",$D107="",$C107&gt;BE$6,$D107&lt;BE$9),"",IF($J107="里程碑","◆",""))</f>
        <v/>
      </c>
      <c r="BF107" s="8" t="str">
        <f>IF(OR($A107="",$C107="",$D107="",$C107&gt;BF$6,$D107&lt;BF$9),"",IF($J107="里程碑","◆",""))</f>
        <v/>
      </c>
      <c r="BG107" s="8" t="str">
        <f>IF(OR($A107="",$C107="",$D107="",$C107&gt;BG$6,$D107&lt;BG$9),"",IF($J107="里程碑","◆",""))</f>
        <v/>
      </c>
      <c r="BH107" s="8" t="str">
        <f>IF(OR($A107="",$C107="",$D107="",$C107&gt;BH$6,$D107&lt;BH$9),"",IF($J107="里程碑","◆",""))</f>
        <v/>
      </c>
      <c r="BI107" s="8" t="str">
        <f>IF(OR($A107="",$C107="",$D107="",$C107&gt;BI$6,$D107&lt;BI$9),"",IF($J107="里程碑","◆",""))</f>
        <v/>
      </c>
      <c r="BJ107" s="8" t="str">
        <f>IF(OR($A107="",$C107="",$D107="",$C107&gt;BJ$6,$D107&lt;BJ$9),"",IF($J107="里程碑","◆",""))</f>
        <v/>
      </c>
      <c r="BK107" s="8" t="str">
        <f>IF(OR($A107="",$C107="",$D107="",$C107&gt;BK$6,$D107&lt;BK$9),"",IF($J107="里程碑","◆",""))</f>
        <v/>
      </c>
      <c r="BL107" s="8" t="str">
        <f>IF(OR($A107="",$C107="",$D107="",$C107&gt;BL$6,$D107&lt;BL$9),"",IF($J107="里程碑","◆",""))</f>
        <v/>
      </c>
      <c r="BM107" s="8" t="str">
        <f>IF(OR($A107="",$C107="",$D107="",$C107&gt;BM$6,$D107&lt;BM$9),"",IF($J107="里程碑","◆",""))</f>
        <v/>
      </c>
      <c r="BN107" s="8" t="str">
        <f>IF(OR($A107="",$C107="",$D107="",$C107&gt;BN$6,$D107&lt;BN$9),"",IF($J107="里程碑","◆",""))</f>
        <v/>
      </c>
      <c r="BO107" s="8" t="str">
        <f>IF(OR($A107="",$C107="",$D107="",$C107&gt;BO$6,$D107&lt;BO$9),"",IF($J107="里程碑","◆",""))</f>
        <v/>
      </c>
      <c r="BP107" s="8" t="str">
        <f>IF(OR($A107="",$C107="",$D107="",$C107&gt;BP$6,$D107&lt;BP$9),"",IF($J107="里程碑","◆",""))</f>
        <v/>
      </c>
      <c r="BQ107" s="8" t="str">
        <f>IF(OR($A107="",$C107="",$D107="",$C107&gt;BQ$6,$D107&lt;BQ$9),"",IF($J107="里程碑","◆",""))</f>
        <v/>
      </c>
      <c r="BR107" s="8" t="str">
        <f>IF(OR($A107="",$C107="",$D107="",$C107&gt;BR$6,$D107&lt;BR$9),"",IF($J107="里程碑","◆",""))</f>
        <v/>
      </c>
      <c r="BS107" s="8" t="str">
        <f>IF(OR($A107="",$C107="",$D107="",$C107&gt;BS$6,$D107&lt;BS$9),"",IF($J107="里程碑","◆",""))</f>
        <v/>
      </c>
      <c r="BT107" s="8" t="str">
        <f>IF(OR($A107="",$C107="",$D107="",$C107&gt;BT$6,$D107&lt;BT$9),"",IF($J107="里程碑","◆",""))</f>
        <v/>
      </c>
      <c r="BU107" s="8" t="str">
        <f>IF(OR($A107="",$C107="",$D107="",$C107&gt;BU$6,$D107&lt;BU$9),"",IF($J107="里程碑","◆",""))</f>
        <v/>
      </c>
      <c r="BV107" s="8" t="str">
        <f>IF(OR($A107="",$C107="",$D107="",$C107&gt;BV$6,$D107&lt;BV$9),"",IF($J107="里程碑","◆",""))</f>
        <v/>
      </c>
      <c r="BW107" s="8" t="str">
        <f>IF(OR($A107="",$C107="",$D107="",$C107&gt;BW$6,$D107&lt;BW$9),"",IF($J107="里程碑","◆",""))</f>
        <v/>
      </c>
      <c r="BX107" s="8" t="str">
        <f>IF(OR($A107="",$C107="",$D107="",$C107&gt;BX$6,$D107&lt;BX$9),"",IF($J107="里程碑","◆",""))</f>
        <v/>
      </c>
      <c r="BY107" s="8" t="str">
        <f>IF(OR($A107="",$C107="",$D107="",$C107&gt;BY$6,$D107&lt;BY$9),"",IF($J107="里程碑","◆",""))</f>
        <v/>
      </c>
      <c r="BZ107" s="8" t="str">
        <f>IF(OR($A107="",$C107="",$D107="",$C107&gt;BZ$6,$D107&lt;BZ$9),"",IF($J107="里程碑","◆",""))</f>
        <v/>
      </c>
      <c r="CA107" s="8" t="str">
        <f>IF(OR($A107="",$C107="",$D107="",$C107&gt;CA$6,$D107&lt;CA$9),"",IF($J107="里程碑","◆",""))</f>
        <v/>
      </c>
      <c r="CB107" s="8" t="str">
        <f>IF(OR($A107="",$C107="",$D107="",$C107&gt;CB$6,$D107&lt;CB$9),"",IF($J107="里程碑","◆",""))</f>
        <v/>
      </c>
      <c r="CC107" s="8" t="str">
        <f>IF(OR($A107="",$C107="",$D107="",$C107&gt;CC$6,$D107&lt;CC$9),"",IF($J107="里程碑","◆",""))</f>
        <v/>
      </c>
      <c r="CD107" s="8" t="str">
        <f>IF(OR($A107="",$C107="",$D107="",$C107&gt;CD$6,$D107&lt;CD$9),"",IF($J107="里程碑","◆",""))</f>
        <v/>
      </c>
      <c r="CE107" s="8" t="str">
        <f>IF(OR($A107="",$C107="",$D107="",$C107&gt;CE$6,$D107&lt;CE$9),"",IF($J107="里程碑","◆",""))</f>
        <v/>
      </c>
      <c r="CF107" s="8" t="str">
        <f>IF(OR($A107="",$C107="",$D107="",$C107&gt;CF$6,$D107&lt;CF$9),"",IF($J107="里程碑","◆",""))</f>
        <v/>
      </c>
      <c r="CG107" s="8" t="str">
        <f>IF(OR($A107="",$C107="",$D107="",$C107&gt;CG$6,$D107&lt;CG$9),"",IF($J107="里程碑","◆",""))</f>
        <v/>
      </c>
      <c r="CH107" s="8" t="str">
        <f>IF(OR($A107="",$C107="",$D107="",$C107&gt;CH$6,$D107&lt;CH$9),"",IF($J107="里程碑","◆",""))</f>
        <v/>
      </c>
      <c r="CI107" s="8" t="str">
        <f>IF(OR($A107="",$C107="",$D107="",$C107&gt;CI$6,$D107&lt;CI$9),"",IF($J107="里程碑","◆",""))</f>
        <v/>
      </c>
      <c r="CJ107" s="8" t="str">
        <f>IF(OR($A107="",$C107="",$D107="",$C107&gt;CJ$6,$D107&lt;CJ$9),"",IF($J107="里程碑","◆",""))</f>
        <v/>
      </c>
      <c r="CK107" s="8" t="str">
        <f>IF(OR($A107="",$C107="",$D107="",$C107&gt;CK$6,$D107&lt;CK$9),"",IF($J107="里程碑","◆",""))</f>
        <v/>
      </c>
      <c r="CL107" s="8" t="str">
        <f>IF(OR($A107="",$C107="",$D107="",$C107&gt;CL$6,$D107&lt;CL$9),"",IF($J107="里程碑","◆",""))</f>
        <v/>
      </c>
      <c r="CM107" s="8" t="str">
        <f>IF(OR($A107="",$C107="",$D107="",$C107&gt;CM$6,$D107&lt;CM$9),"",IF($J107="里程碑","◆",""))</f>
        <v/>
      </c>
      <c r="CN107" s="8" t="str">
        <f>IF(OR($A107="",$C107="",$D107="",$C107&gt;CN$6,$D107&lt;CN$9),"",IF($J107="里程碑","◆",""))</f>
        <v/>
      </c>
      <c r="CO107" s="8" t="str">
        <f>IF(OR($A107="",$C107="",$D107="",$C107&gt;CO$6,$D107&lt;CO$9),"",IF($J107="里程碑","◆",""))</f>
        <v/>
      </c>
      <c r="CP107" s="8" t="str">
        <f>IF(OR($A107="",$C107="",$D107="",$C107&gt;CP$6,$D107&lt;CP$9),"",IF($J107="里程碑","◆",""))</f>
        <v/>
      </c>
      <c r="CQ107" s="8" t="str">
        <f>IF(OR($A107="",$C107="",$D107="",$C107&gt;CQ$6,$D107&lt;CQ$9),"",IF($J107="里程碑","◆",""))</f>
        <v/>
      </c>
      <c r="CR107" s="8" t="str">
        <f>IF(OR($A107="",$C107="",$D107="",$C107&gt;CR$6,$D107&lt;CR$9),"",IF($J107="里程碑","◆",""))</f>
        <v/>
      </c>
      <c r="CS107" s="8" t="str">
        <f>IF(OR($A107="",$C107="",$D107="",$C107&gt;CS$6,$D107&lt;CS$9),"",IF($J107="里程碑","◆",""))</f>
        <v/>
      </c>
      <c r="CT107" s="8" t="str">
        <f>IF(OR($A107="",$C107="",$D107="",$C107&gt;CT$6,$D107&lt;CT$9),"",IF($J107="里程碑","◆",""))</f>
        <v/>
      </c>
      <c r="CU107" s="8" t="str">
        <f>IF(OR($A107="",$C107="",$D107="",$C107&gt;CU$6,$D107&lt;CU$9),"",IF($J107="里程碑","◆",""))</f>
        <v/>
      </c>
      <c r="CV107" s="8" t="str">
        <f>IF(OR($A107="",$C107="",$D107="",$C107&gt;CV$6,$D107&lt;CV$9),"",IF($J107="里程碑","◆",""))</f>
        <v/>
      </c>
      <c r="CW107" s="8" t="str">
        <f>IF(OR($A107="",$C107="",$D107="",$C107&gt;CW$6,$D107&lt;CW$9),"",IF($J107="里程碑","◆",""))</f>
        <v/>
      </c>
      <c r="CX107" s="8" t="str">
        <f>IF(OR($A107="",$C107="",$D107="",$C107&gt;CX$6,$D107&lt;CX$9),"",IF($J107="里程碑","◆",""))</f>
        <v/>
      </c>
      <c r="CY107" s="8" t="str">
        <f>IF(OR($A107="",$C107="",$D107="",$C107&gt;CY$6,$D107&lt;CY$9),"",IF($J107="里程碑","◆",""))</f>
        <v/>
      </c>
      <c r="CZ107" s="8" t="str">
        <f>IF(OR($A107="",$C107="",$D107="",$C107&gt;CZ$6,$D107&lt;CZ$9),"",IF($J107="里程碑","◆",""))</f>
        <v/>
      </c>
      <c r="DA107" s="8" t="str">
        <f>IF(OR($A107="",$C107="",$D107="",$C107&gt;DA$6,$D107&lt;DA$9),"",IF($J107="里程碑","◆",""))</f>
        <v/>
      </c>
      <c r="DB107" s="8" t="str">
        <f>IF(OR($A107="",$C107="",$D107="",$C107&gt;DB$6,$D107&lt;DB$9),"",IF($J107="里程碑","◆",""))</f>
        <v/>
      </c>
      <c r="DC107" s="1" t="str">
        <f>IF(ROW()-9&gt;$DH$3,"",MATCH(ROW()-9,排期计算!$U$10:$U$109,0))</f>
        <v/>
      </c>
      <c r="DD107" s="1" t="str">
        <f>IF($DC107="","",INDEX(排期计算!$L$10:$L$109,$DC107))</f>
        <v/>
      </c>
      <c r="DE107" s="1"/>
      <c r="DF107" s="1"/>
      <c r="DG107" s="1"/>
      <c r="DH107" s="1"/>
      <c r="DI107" s="1"/>
      <c r="DJ107" s="1"/>
      <c r="DK107" s="1"/>
    </row>
    <row r="108" spans="1:115" ht="24.95" customHeight="1">
      <c r="A108" s="9" t="str">
        <f>IF($DC108="","",IF(AND(INDEX(排期计算!$A$10:$A$109,$DC108)="",NOT(ISNUMBER(INDEX(排期计算!$A$10:$A$109,$DC108)))),"",INDEX(排期计算!$A$10:$A$109,$DC108)))</f>
        <v/>
      </c>
      <c r="B108" s="1" t="str">
        <f>IF($DC108="","",REPT("　",$DD108-1)&amp;INDEX(排期计算!$B$10:$B$109,$DC108))</f>
        <v/>
      </c>
      <c r="C108" s="3" t="str">
        <f>IF($DC108="","",IF(AND(INDEX(排期计算!$M$10:$M$109,$DC108)="",NOT(ISNUMBER(INDEX(排期计算!$M$10:$M$109,$DC108)))),"",INDEX(排期计算!$M$10:$M$109,$DC108)))</f>
        <v/>
      </c>
      <c r="D108" s="3" t="str">
        <f>IF($DC108="","",IF(AND(INDEX(排期计算!$N$10:$N$109,$DC108)="",NOT(ISNUMBER(INDEX(排期计算!$N$10:$N$109,$DC108)))),"",INDEX(排期计算!$N$10:$N$109,$DC108)))</f>
        <v/>
      </c>
      <c r="E108" s="1" t="str">
        <f>IF(OR($C108="",$D108=""),"",IF($J108="里程碑",0,NETWORKDAYS($C108,$D108)))</f>
        <v/>
      </c>
      <c r="F108" s="7" t="str">
        <f>IF($DC108="","",IF(AND(INDEX(排期计算!$O$10:$O$109,$DC108)="",NOT(ISNUMBER(INDEX(排期计算!$O$10:$O$109,$DC108)))),"",INDEX(排期计算!$O$10:$O$109,$DC108)))</f>
        <v/>
      </c>
      <c r="G108" s="8" t="str">
        <f>IF($A108="","",IF(OR($C108="",$D108=""),"未排期",IF($F108&gt;=1,"已完成",IF($D108&lt;$B$4,"逾期",IF($C108&gt;$B$4,"未开始","进行中")))))</f>
        <v/>
      </c>
      <c r="H108" s="1" t="str">
        <f>IF($DC108="","",IF(AND(INDEX(排期计算!$C$10:$C$109,$DC108)="",NOT(ISNUMBER(INDEX(排期计算!$C$10:$C$109,$DC108)))),"",INDEX(排期计算!$C$10:$C$109,$DC108)))</f>
        <v/>
      </c>
      <c r="I108" s="1" t="str">
        <f>IF($DC108="","",IF(AND(INDEX(排期计算!$H$10:$H$109,$DC108)="",NOT(ISNUMBER(INDEX(排期计算!$H$10:$H$109,$DC108)))),"",INDEX(排期计算!$H$10:$H$109,$DC108)))</f>
        <v/>
      </c>
      <c r="J108" s="1" t="str">
        <f>IF($DC108="","",IF(AND(INDEX(排期计算!$K$10:$K$109,$DC108)="",NOT(ISNUMBER(INDEX(排期计算!$K$10:$K$109,$DC108)))),"",INDEX(排期计算!$K$10:$K$109,$DC108)))</f>
        <v/>
      </c>
      <c r="K108" s="8" t="str">
        <f>IF(OR($A108="",$C108="",$D108="",$C108&gt;K$6,$D108&lt;K$9),"",IF($J108="里程碑","◆",""))</f>
        <v/>
      </c>
      <c r="L108" s="8" t="str">
        <f>IF(OR($A108="",$C108="",$D108="",$C108&gt;L$6,$D108&lt;L$9),"",IF($J108="里程碑","◆",""))</f>
        <v/>
      </c>
      <c r="M108" s="8" t="str">
        <f>IF(OR($A108="",$C108="",$D108="",$C108&gt;M$6,$D108&lt;M$9),"",IF($J108="里程碑","◆",""))</f>
        <v/>
      </c>
      <c r="N108" s="8" t="str">
        <f>IF(OR($A108="",$C108="",$D108="",$C108&gt;N$6,$D108&lt;N$9),"",IF($J108="里程碑","◆",""))</f>
        <v/>
      </c>
      <c r="O108" s="8" t="str">
        <f>IF(OR($A108="",$C108="",$D108="",$C108&gt;O$6,$D108&lt;O$9),"",IF($J108="里程碑","◆",""))</f>
        <v/>
      </c>
      <c r="P108" s="8" t="str">
        <f>IF(OR($A108="",$C108="",$D108="",$C108&gt;P$6,$D108&lt;P$9),"",IF($J108="里程碑","◆",""))</f>
        <v/>
      </c>
      <c r="Q108" s="8" t="str">
        <f>IF(OR($A108="",$C108="",$D108="",$C108&gt;Q$6,$D108&lt;Q$9),"",IF($J108="里程碑","◆",""))</f>
        <v/>
      </c>
      <c r="R108" s="8" t="str">
        <f>IF(OR($A108="",$C108="",$D108="",$C108&gt;R$6,$D108&lt;R$9),"",IF($J108="里程碑","◆",""))</f>
        <v/>
      </c>
      <c r="S108" s="8" t="str">
        <f>IF(OR($A108="",$C108="",$D108="",$C108&gt;S$6,$D108&lt;S$9),"",IF($J108="里程碑","◆",""))</f>
        <v/>
      </c>
      <c r="T108" s="8" t="str">
        <f>IF(OR($A108="",$C108="",$D108="",$C108&gt;T$6,$D108&lt;T$9),"",IF($J108="里程碑","◆",""))</f>
        <v/>
      </c>
      <c r="U108" s="8" t="str">
        <f>IF(OR($A108="",$C108="",$D108="",$C108&gt;U$6,$D108&lt;U$9),"",IF($J108="里程碑","◆",""))</f>
        <v/>
      </c>
      <c r="V108" s="8" t="str">
        <f>IF(OR($A108="",$C108="",$D108="",$C108&gt;V$6,$D108&lt;V$9),"",IF($J108="里程碑","◆",""))</f>
        <v/>
      </c>
      <c r="W108" s="8" t="str">
        <f>IF(OR($A108="",$C108="",$D108="",$C108&gt;W$6,$D108&lt;W$9),"",IF($J108="里程碑","◆",""))</f>
        <v/>
      </c>
      <c r="X108" s="8" t="str">
        <f>IF(OR($A108="",$C108="",$D108="",$C108&gt;X$6,$D108&lt;X$9),"",IF($J108="里程碑","◆",""))</f>
        <v/>
      </c>
      <c r="Y108" s="8" t="str">
        <f>IF(OR($A108="",$C108="",$D108="",$C108&gt;Y$6,$D108&lt;Y$9),"",IF($J108="里程碑","◆",""))</f>
        <v/>
      </c>
      <c r="Z108" s="8" t="str">
        <f>IF(OR($A108="",$C108="",$D108="",$C108&gt;Z$6,$D108&lt;Z$9),"",IF($J108="里程碑","◆",""))</f>
        <v/>
      </c>
      <c r="AA108" s="8" t="str">
        <f>IF(OR($A108="",$C108="",$D108="",$C108&gt;AA$6,$D108&lt;AA$9),"",IF($J108="里程碑","◆",""))</f>
        <v/>
      </c>
      <c r="AB108" s="8" t="str">
        <f>IF(OR($A108="",$C108="",$D108="",$C108&gt;AB$6,$D108&lt;AB$9),"",IF($J108="里程碑","◆",""))</f>
        <v/>
      </c>
      <c r="AC108" s="8" t="str">
        <f>IF(OR($A108="",$C108="",$D108="",$C108&gt;AC$6,$D108&lt;AC$9),"",IF($J108="里程碑","◆",""))</f>
        <v/>
      </c>
      <c r="AD108" s="8" t="str">
        <f>IF(OR($A108="",$C108="",$D108="",$C108&gt;AD$6,$D108&lt;AD$9),"",IF($J108="里程碑","◆",""))</f>
        <v/>
      </c>
      <c r="AE108" s="8" t="str">
        <f>IF(OR($A108="",$C108="",$D108="",$C108&gt;AE$6,$D108&lt;AE$9),"",IF($J108="里程碑","◆",""))</f>
        <v/>
      </c>
      <c r="AF108" s="8" t="str">
        <f>IF(OR($A108="",$C108="",$D108="",$C108&gt;AF$6,$D108&lt;AF$9),"",IF($J108="里程碑","◆",""))</f>
        <v/>
      </c>
      <c r="AG108" s="8" t="str">
        <f>IF(OR($A108="",$C108="",$D108="",$C108&gt;AG$6,$D108&lt;AG$9),"",IF($J108="里程碑","◆",""))</f>
        <v/>
      </c>
      <c r="AH108" s="8" t="str">
        <f>IF(OR($A108="",$C108="",$D108="",$C108&gt;AH$6,$D108&lt;AH$9),"",IF($J108="里程碑","◆",""))</f>
        <v/>
      </c>
      <c r="AI108" s="8" t="str">
        <f>IF(OR($A108="",$C108="",$D108="",$C108&gt;AI$6,$D108&lt;AI$9),"",IF($J108="里程碑","◆",""))</f>
        <v/>
      </c>
      <c r="AJ108" s="8" t="str">
        <f>IF(OR($A108="",$C108="",$D108="",$C108&gt;AJ$6,$D108&lt;AJ$9),"",IF($J108="里程碑","◆",""))</f>
        <v/>
      </c>
      <c r="AK108" s="8" t="str">
        <f>IF(OR($A108="",$C108="",$D108="",$C108&gt;AK$6,$D108&lt;AK$9),"",IF($J108="里程碑","◆",""))</f>
        <v/>
      </c>
      <c r="AL108" s="8" t="str">
        <f>IF(OR($A108="",$C108="",$D108="",$C108&gt;AL$6,$D108&lt;AL$9),"",IF($J108="里程碑","◆",""))</f>
        <v/>
      </c>
      <c r="AM108" s="8" t="str">
        <f>IF(OR($A108="",$C108="",$D108="",$C108&gt;AM$6,$D108&lt;AM$9),"",IF($J108="里程碑","◆",""))</f>
        <v/>
      </c>
      <c r="AN108" s="8" t="str">
        <f>IF(OR($A108="",$C108="",$D108="",$C108&gt;AN$6,$D108&lt;AN$9),"",IF($J108="里程碑","◆",""))</f>
        <v/>
      </c>
      <c r="AO108" s="8" t="str">
        <f>IF(OR($A108="",$C108="",$D108="",$C108&gt;AO$6,$D108&lt;AO$9),"",IF($J108="里程碑","◆",""))</f>
        <v/>
      </c>
      <c r="AP108" s="8" t="str">
        <f>IF(OR($A108="",$C108="",$D108="",$C108&gt;AP$6,$D108&lt;AP$9),"",IF($J108="里程碑","◆",""))</f>
        <v/>
      </c>
      <c r="AQ108" s="8" t="str">
        <f>IF(OR($A108="",$C108="",$D108="",$C108&gt;AQ$6,$D108&lt;AQ$9),"",IF($J108="里程碑","◆",""))</f>
        <v/>
      </c>
      <c r="AR108" s="8" t="str">
        <f>IF(OR($A108="",$C108="",$D108="",$C108&gt;AR$6,$D108&lt;AR$9),"",IF($J108="里程碑","◆",""))</f>
        <v/>
      </c>
      <c r="AS108" s="8" t="str">
        <f>IF(OR($A108="",$C108="",$D108="",$C108&gt;AS$6,$D108&lt;AS$9),"",IF($J108="里程碑","◆",""))</f>
        <v/>
      </c>
      <c r="AT108" s="8" t="str">
        <f>IF(OR($A108="",$C108="",$D108="",$C108&gt;AT$6,$D108&lt;AT$9),"",IF($J108="里程碑","◆",""))</f>
        <v/>
      </c>
      <c r="AU108" s="8" t="str">
        <f>IF(OR($A108="",$C108="",$D108="",$C108&gt;AU$6,$D108&lt;AU$9),"",IF($J108="里程碑","◆",""))</f>
        <v/>
      </c>
      <c r="AV108" s="8" t="str">
        <f>IF(OR($A108="",$C108="",$D108="",$C108&gt;AV$6,$D108&lt;AV$9),"",IF($J108="里程碑","◆",""))</f>
        <v/>
      </c>
      <c r="AW108" s="8" t="str">
        <f>IF(OR($A108="",$C108="",$D108="",$C108&gt;AW$6,$D108&lt;AW$9),"",IF($J108="里程碑","◆",""))</f>
        <v/>
      </c>
      <c r="AX108" s="8" t="str">
        <f>IF(OR($A108="",$C108="",$D108="",$C108&gt;AX$6,$D108&lt;AX$9),"",IF($J108="里程碑","◆",""))</f>
        <v/>
      </c>
      <c r="AY108" s="8" t="str">
        <f>IF(OR($A108="",$C108="",$D108="",$C108&gt;AY$6,$D108&lt;AY$9),"",IF($J108="里程碑","◆",""))</f>
        <v/>
      </c>
      <c r="AZ108" s="8" t="str">
        <f>IF(OR($A108="",$C108="",$D108="",$C108&gt;AZ$6,$D108&lt;AZ$9),"",IF($J108="里程碑","◆",""))</f>
        <v/>
      </c>
      <c r="BA108" s="8" t="str">
        <f>IF(OR($A108="",$C108="",$D108="",$C108&gt;BA$6,$D108&lt;BA$9),"",IF($J108="里程碑","◆",""))</f>
        <v/>
      </c>
      <c r="BB108" s="8" t="str">
        <f>IF(OR($A108="",$C108="",$D108="",$C108&gt;BB$6,$D108&lt;BB$9),"",IF($J108="里程碑","◆",""))</f>
        <v/>
      </c>
      <c r="BC108" s="8" t="str">
        <f>IF(OR($A108="",$C108="",$D108="",$C108&gt;BC$6,$D108&lt;BC$9),"",IF($J108="里程碑","◆",""))</f>
        <v/>
      </c>
      <c r="BD108" s="8" t="str">
        <f>IF(OR($A108="",$C108="",$D108="",$C108&gt;BD$6,$D108&lt;BD$9),"",IF($J108="里程碑","◆",""))</f>
        <v/>
      </c>
      <c r="BE108" s="8" t="str">
        <f>IF(OR($A108="",$C108="",$D108="",$C108&gt;BE$6,$D108&lt;BE$9),"",IF($J108="里程碑","◆",""))</f>
        <v/>
      </c>
      <c r="BF108" s="8" t="str">
        <f>IF(OR($A108="",$C108="",$D108="",$C108&gt;BF$6,$D108&lt;BF$9),"",IF($J108="里程碑","◆",""))</f>
        <v/>
      </c>
      <c r="BG108" s="8" t="str">
        <f>IF(OR($A108="",$C108="",$D108="",$C108&gt;BG$6,$D108&lt;BG$9),"",IF($J108="里程碑","◆",""))</f>
        <v/>
      </c>
      <c r="BH108" s="8" t="str">
        <f>IF(OR($A108="",$C108="",$D108="",$C108&gt;BH$6,$D108&lt;BH$9),"",IF($J108="里程碑","◆",""))</f>
        <v/>
      </c>
      <c r="BI108" s="8" t="str">
        <f>IF(OR($A108="",$C108="",$D108="",$C108&gt;BI$6,$D108&lt;BI$9),"",IF($J108="里程碑","◆",""))</f>
        <v/>
      </c>
      <c r="BJ108" s="8" t="str">
        <f>IF(OR($A108="",$C108="",$D108="",$C108&gt;BJ$6,$D108&lt;BJ$9),"",IF($J108="里程碑","◆",""))</f>
        <v/>
      </c>
      <c r="BK108" s="8" t="str">
        <f>IF(OR($A108="",$C108="",$D108="",$C108&gt;BK$6,$D108&lt;BK$9),"",IF($J108="里程碑","◆",""))</f>
        <v/>
      </c>
      <c r="BL108" s="8" t="str">
        <f>IF(OR($A108="",$C108="",$D108="",$C108&gt;BL$6,$D108&lt;BL$9),"",IF($J108="里程碑","◆",""))</f>
        <v/>
      </c>
      <c r="BM108" s="8" t="str">
        <f>IF(OR($A108="",$C108="",$D108="",$C108&gt;BM$6,$D108&lt;BM$9),"",IF($J108="里程碑","◆",""))</f>
        <v/>
      </c>
      <c r="BN108" s="8" t="str">
        <f>IF(OR($A108="",$C108="",$D108="",$C108&gt;BN$6,$D108&lt;BN$9),"",IF($J108="里程碑","◆",""))</f>
        <v/>
      </c>
      <c r="BO108" s="8" t="str">
        <f>IF(OR($A108="",$C108="",$D108="",$C108&gt;BO$6,$D108&lt;BO$9),"",IF($J108="里程碑","◆",""))</f>
        <v/>
      </c>
      <c r="BP108" s="8" t="str">
        <f>IF(OR($A108="",$C108="",$D108="",$C108&gt;BP$6,$D108&lt;BP$9),"",IF($J108="里程碑","◆",""))</f>
        <v/>
      </c>
      <c r="BQ108" s="8" t="str">
        <f>IF(OR($A108="",$C108="",$D108="",$C108&gt;BQ$6,$D108&lt;BQ$9),"",IF($J108="里程碑","◆",""))</f>
        <v/>
      </c>
      <c r="BR108" s="8" t="str">
        <f>IF(OR($A108="",$C108="",$D108="",$C108&gt;BR$6,$D108&lt;BR$9),"",IF($J108="里程碑","◆",""))</f>
        <v/>
      </c>
      <c r="BS108" s="8" t="str">
        <f>IF(OR($A108="",$C108="",$D108="",$C108&gt;BS$6,$D108&lt;BS$9),"",IF($J108="里程碑","◆",""))</f>
        <v/>
      </c>
      <c r="BT108" s="8" t="str">
        <f>IF(OR($A108="",$C108="",$D108="",$C108&gt;BT$6,$D108&lt;BT$9),"",IF($J108="里程碑","◆",""))</f>
        <v/>
      </c>
      <c r="BU108" s="8" t="str">
        <f>IF(OR($A108="",$C108="",$D108="",$C108&gt;BU$6,$D108&lt;BU$9),"",IF($J108="里程碑","◆",""))</f>
        <v/>
      </c>
      <c r="BV108" s="8" t="str">
        <f>IF(OR($A108="",$C108="",$D108="",$C108&gt;BV$6,$D108&lt;BV$9),"",IF($J108="里程碑","◆",""))</f>
        <v/>
      </c>
      <c r="BW108" s="8" t="str">
        <f>IF(OR($A108="",$C108="",$D108="",$C108&gt;BW$6,$D108&lt;BW$9),"",IF($J108="里程碑","◆",""))</f>
        <v/>
      </c>
      <c r="BX108" s="8" t="str">
        <f>IF(OR($A108="",$C108="",$D108="",$C108&gt;BX$6,$D108&lt;BX$9),"",IF($J108="里程碑","◆",""))</f>
        <v/>
      </c>
      <c r="BY108" s="8" t="str">
        <f>IF(OR($A108="",$C108="",$D108="",$C108&gt;BY$6,$D108&lt;BY$9),"",IF($J108="里程碑","◆",""))</f>
        <v/>
      </c>
      <c r="BZ108" s="8" t="str">
        <f>IF(OR($A108="",$C108="",$D108="",$C108&gt;BZ$6,$D108&lt;BZ$9),"",IF($J108="里程碑","◆",""))</f>
        <v/>
      </c>
      <c r="CA108" s="8" t="str">
        <f>IF(OR($A108="",$C108="",$D108="",$C108&gt;CA$6,$D108&lt;CA$9),"",IF($J108="里程碑","◆",""))</f>
        <v/>
      </c>
      <c r="CB108" s="8" t="str">
        <f>IF(OR($A108="",$C108="",$D108="",$C108&gt;CB$6,$D108&lt;CB$9),"",IF($J108="里程碑","◆",""))</f>
        <v/>
      </c>
      <c r="CC108" s="8" t="str">
        <f>IF(OR($A108="",$C108="",$D108="",$C108&gt;CC$6,$D108&lt;CC$9),"",IF($J108="里程碑","◆",""))</f>
        <v/>
      </c>
      <c r="CD108" s="8" t="str">
        <f>IF(OR($A108="",$C108="",$D108="",$C108&gt;CD$6,$D108&lt;CD$9),"",IF($J108="里程碑","◆",""))</f>
        <v/>
      </c>
      <c r="CE108" s="8" t="str">
        <f>IF(OR($A108="",$C108="",$D108="",$C108&gt;CE$6,$D108&lt;CE$9),"",IF($J108="里程碑","◆",""))</f>
        <v/>
      </c>
      <c r="CF108" s="8" t="str">
        <f>IF(OR($A108="",$C108="",$D108="",$C108&gt;CF$6,$D108&lt;CF$9),"",IF($J108="里程碑","◆",""))</f>
        <v/>
      </c>
      <c r="CG108" s="8" t="str">
        <f>IF(OR($A108="",$C108="",$D108="",$C108&gt;CG$6,$D108&lt;CG$9),"",IF($J108="里程碑","◆",""))</f>
        <v/>
      </c>
      <c r="CH108" s="8" t="str">
        <f>IF(OR($A108="",$C108="",$D108="",$C108&gt;CH$6,$D108&lt;CH$9),"",IF($J108="里程碑","◆",""))</f>
        <v/>
      </c>
      <c r="CI108" s="8" t="str">
        <f>IF(OR($A108="",$C108="",$D108="",$C108&gt;CI$6,$D108&lt;CI$9),"",IF($J108="里程碑","◆",""))</f>
        <v/>
      </c>
      <c r="CJ108" s="8" t="str">
        <f>IF(OR($A108="",$C108="",$D108="",$C108&gt;CJ$6,$D108&lt;CJ$9),"",IF($J108="里程碑","◆",""))</f>
        <v/>
      </c>
      <c r="CK108" s="8" t="str">
        <f>IF(OR($A108="",$C108="",$D108="",$C108&gt;CK$6,$D108&lt;CK$9),"",IF($J108="里程碑","◆",""))</f>
        <v/>
      </c>
      <c r="CL108" s="8" t="str">
        <f>IF(OR($A108="",$C108="",$D108="",$C108&gt;CL$6,$D108&lt;CL$9),"",IF($J108="里程碑","◆",""))</f>
        <v/>
      </c>
      <c r="CM108" s="8" t="str">
        <f>IF(OR($A108="",$C108="",$D108="",$C108&gt;CM$6,$D108&lt;CM$9),"",IF($J108="里程碑","◆",""))</f>
        <v/>
      </c>
      <c r="CN108" s="8" t="str">
        <f>IF(OR($A108="",$C108="",$D108="",$C108&gt;CN$6,$D108&lt;CN$9),"",IF($J108="里程碑","◆",""))</f>
        <v/>
      </c>
      <c r="CO108" s="8" t="str">
        <f>IF(OR($A108="",$C108="",$D108="",$C108&gt;CO$6,$D108&lt;CO$9),"",IF($J108="里程碑","◆",""))</f>
        <v/>
      </c>
      <c r="CP108" s="8" t="str">
        <f>IF(OR($A108="",$C108="",$D108="",$C108&gt;CP$6,$D108&lt;CP$9),"",IF($J108="里程碑","◆",""))</f>
        <v/>
      </c>
      <c r="CQ108" s="8" t="str">
        <f>IF(OR($A108="",$C108="",$D108="",$C108&gt;CQ$6,$D108&lt;CQ$9),"",IF($J108="里程碑","◆",""))</f>
        <v/>
      </c>
      <c r="CR108" s="8" t="str">
        <f>IF(OR($A108="",$C108="",$D108="",$C108&gt;CR$6,$D108&lt;CR$9),"",IF($J108="里程碑","◆",""))</f>
        <v/>
      </c>
      <c r="CS108" s="8" t="str">
        <f>IF(OR($A108="",$C108="",$D108="",$C108&gt;CS$6,$D108&lt;CS$9),"",IF($J108="里程碑","◆",""))</f>
        <v/>
      </c>
      <c r="CT108" s="8" t="str">
        <f>IF(OR($A108="",$C108="",$D108="",$C108&gt;CT$6,$D108&lt;CT$9),"",IF($J108="里程碑","◆",""))</f>
        <v/>
      </c>
      <c r="CU108" s="8" t="str">
        <f>IF(OR($A108="",$C108="",$D108="",$C108&gt;CU$6,$D108&lt;CU$9),"",IF($J108="里程碑","◆",""))</f>
        <v/>
      </c>
      <c r="CV108" s="8" t="str">
        <f>IF(OR($A108="",$C108="",$D108="",$C108&gt;CV$6,$D108&lt;CV$9),"",IF($J108="里程碑","◆",""))</f>
        <v/>
      </c>
      <c r="CW108" s="8" t="str">
        <f>IF(OR($A108="",$C108="",$D108="",$C108&gt;CW$6,$D108&lt;CW$9),"",IF($J108="里程碑","◆",""))</f>
        <v/>
      </c>
      <c r="CX108" s="8" t="str">
        <f>IF(OR($A108="",$C108="",$D108="",$C108&gt;CX$6,$D108&lt;CX$9),"",IF($J108="里程碑","◆",""))</f>
        <v/>
      </c>
      <c r="CY108" s="8" t="str">
        <f>IF(OR($A108="",$C108="",$D108="",$C108&gt;CY$6,$D108&lt;CY$9),"",IF($J108="里程碑","◆",""))</f>
        <v/>
      </c>
      <c r="CZ108" s="8" t="str">
        <f>IF(OR($A108="",$C108="",$D108="",$C108&gt;CZ$6,$D108&lt;CZ$9),"",IF($J108="里程碑","◆",""))</f>
        <v/>
      </c>
      <c r="DA108" s="8" t="str">
        <f>IF(OR($A108="",$C108="",$D108="",$C108&gt;DA$6,$D108&lt;DA$9),"",IF($J108="里程碑","◆",""))</f>
        <v/>
      </c>
      <c r="DB108" s="8" t="str">
        <f>IF(OR($A108="",$C108="",$D108="",$C108&gt;DB$6,$D108&lt;DB$9),"",IF($J108="里程碑","◆",""))</f>
        <v/>
      </c>
      <c r="DC108" s="1" t="str">
        <f>IF(ROW()-9&gt;$DH$3,"",MATCH(ROW()-9,排期计算!$U$10:$U$109,0))</f>
        <v/>
      </c>
      <c r="DD108" s="1" t="str">
        <f>IF($DC108="","",INDEX(排期计算!$L$10:$L$109,$DC108))</f>
        <v/>
      </c>
      <c r="DE108" s="1"/>
      <c r="DF108" s="1"/>
      <c r="DG108" s="1"/>
      <c r="DH108" s="1"/>
      <c r="DI108" s="1"/>
      <c r="DJ108" s="1"/>
      <c r="DK108" s="1"/>
    </row>
    <row r="109" spans="1:115" ht="24.95" customHeight="1">
      <c r="A109" s="9" t="str">
        <f>IF($DC109="","",IF(AND(INDEX(排期计算!$A$10:$A$109,$DC109)="",NOT(ISNUMBER(INDEX(排期计算!$A$10:$A$109,$DC109)))),"",INDEX(排期计算!$A$10:$A$109,$DC109)))</f>
        <v/>
      </c>
      <c r="B109" s="1" t="str">
        <f>IF($DC109="","",REPT("　",$DD109-1)&amp;INDEX(排期计算!$B$10:$B$109,$DC109))</f>
        <v/>
      </c>
      <c r="C109" s="3" t="str">
        <f>IF($DC109="","",IF(AND(INDEX(排期计算!$M$10:$M$109,$DC109)="",NOT(ISNUMBER(INDEX(排期计算!$M$10:$M$109,$DC109)))),"",INDEX(排期计算!$M$10:$M$109,$DC109)))</f>
        <v/>
      </c>
      <c r="D109" s="3" t="str">
        <f>IF($DC109="","",IF(AND(INDEX(排期计算!$N$10:$N$109,$DC109)="",NOT(ISNUMBER(INDEX(排期计算!$N$10:$N$109,$DC109)))),"",INDEX(排期计算!$N$10:$N$109,$DC109)))</f>
        <v/>
      </c>
      <c r="E109" s="1" t="str">
        <f>IF(OR($C109="",$D109=""),"",IF($J109="里程碑",0,NETWORKDAYS($C109,$D109)))</f>
        <v/>
      </c>
      <c r="F109" s="7" t="str">
        <f>IF($DC109="","",IF(AND(INDEX(排期计算!$O$10:$O$109,$DC109)="",NOT(ISNUMBER(INDEX(排期计算!$O$10:$O$109,$DC109)))),"",INDEX(排期计算!$O$10:$O$109,$DC109)))</f>
        <v/>
      </c>
      <c r="G109" s="8" t="str">
        <f>IF($A109="","",IF(OR($C109="",$D109=""),"未排期",IF($F109&gt;=1,"已完成",IF($D109&lt;$B$4,"逾期",IF($C109&gt;$B$4,"未开始","进行中")))))</f>
        <v/>
      </c>
      <c r="H109" s="1" t="str">
        <f>IF($DC109="","",IF(AND(INDEX(排期计算!$C$10:$C$109,$DC109)="",NOT(ISNUMBER(INDEX(排期计算!$C$10:$C$109,$DC109)))),"",INDEX(排期计算!$C$10:$C$109,$DC109)))</f>
        <v/>
      </c>
      <c r="I109" s="1" t="str">
        <f>IF($DC109="","",IF(AND(INDEX(排期计算!$H$10:$H$109,$DC109)="",NOT(ISNUMBER(INDEX(排期计算!$H$10:$H$109,$DC109)))),"",INDEX(排期计算!$H$10:$H$109,$DC109)))</f>
        <v/>
      </c>
      <c r="J109" s="1" t="str">
        <f>IF($DC109="","",IF(AND(INDEX(排期计算!$K$10:$K$109,$DC109)="",NOT(ISNUMBER(INDEX(排期计算!$K$10:$K$109,$DC109)))),"",INDEX(排期计算!$K$10:$K$109,$DC109)))</f>
        <v/>
      </c>
      <c r="K109" s="8" t="str">
        <f>IF(OR($A109="",$C109="",$D109="",$C109&gt;K$6,$D109&lt;K$9),"",IF($J109="里程碑","◆",""))</f>
        <v/>
      </c>
      <c r="L109" s="8" t="str">
        <f>IF(OR($A109="",$C109="",$D109="",$C109&gt;L$6,$D109&lt;L$9),"",IF($J109="里程碑","◆",""))</f>
        <v/>
      </c>
      <c r="M109" s="8" t="str">
        <f>IF(OR($A109="",$C109="",$D109="",$C109&gt;M$6,$D109&lt;M$9),"",IF($J109="里程碑","◆",""))</f>
        <v/>
      </c>
      <c r="N109" s="8" t="str">
        <f>IF(OR($A109="",$C109="",$D109="",$C109&gt;N$6,$D109&lt;N$9),"",IF($J109="里程碑","◆",""))</f>
        <v/>
      </c>
      <c r="O109" s="8" t="str">
        <f>IF(OR($A109="",$C109="",$D109="",$C109&gt;O$6,$D109&lt;O$9),"",IF($J109="里程碑","◆",""))</f>
        <v/>
      </c>
      <c r="P109" s="8" t="str">
        <f>IF(OR($A109="",$C109="",$D109="",$C109&gt;P$6,$D109&lt;P$9),"",IF($J109="里程碑","◆",""))</f>
        <v/>
      </c>
      <c r="Q109" s="8" t="str">
        <f>IF(OR($A109="",$C109="",$D109="",$C109&gt;Q$6,$D109&lt;Q$9),"",IF($J109="里程碑","◆",""))</f>
        <v/>
      </c>
      <c r="R109" s="8" t="str">
        <f>IF(OR($A109="",$C109="",$D109="",$C109&gt;R$6,$D109&lt;R$9),"",IF($J109="里程碑","◆",""))</f>
        <v/>
      </c>
      <c r="S109" s="8" t="str">
        <f>IF(OR($A109="",$C109="",$D109="",$C109&gt;S$6,$D109&lt;S$9),"",IF($J109="里程碑","◆",""))</f>
        <v/>
      </c>
      <c r="T109" s="8" t="str">
        <f>IF(OR($A109="",$C109="",$D109="",$C109&gt;T$6,$D109&lt;T$9),"",IF($J109="里程碑","◆",""))</f>
        <v/>
      </c>
      <c r="U109" s="8" t="str">
        <f>IF(OR($A109="",$C109="",$D109="",$C109&gt;U$6,$D109&lt;U$9),"",IF($J109="里程碑","◆",""))</f>
        <v/>
      </c>
      <c r="V109" s="8" t="str">
        <f>IF(OR($A109="",$C109="",$D109="",$C109&gt;V$6,$D109&lt;V$9),"",IF($J109="里程碑","◆",""))</f>
        <v/>
      </c>
      <c r="W109" s="8" t="str">
        <f>IF(OR($A109="",$C109="",$D109="",$C109&gt;W$6,$D109&lt;W$9),"",IF($J109="里程碑","◆",""))</f>
        <v/>
      </c>
      <c r="X109" s="8" t="str">
        <f>IF(OR($A109="",$C109="",$D109="",$C109&gt;X$6,$D109&lt;X$9),"",IF($J109="里程碑","◆",""))</f>
        <v/>
      </c>
      <c r="Y109" s="8" t="str">
        <f>IF(OR($A109="",$C109="",$D109="",$C109&gt;Y$6,$D109&lt;Y$9),"",IF($J109="里程碑","◆",""))</f>
        <v/>
      </c>
      <c r="Z109" s="8" t="str">
        <f>IF(OR($A109="",$C109="",$D109="",$C109&gt;Z$6,$D109&lt;Z$9),"",IF($J109="里程碑","◆",""))</f>
        <v/>
      </c>
      <c r="AA109" s="8" t="str">
        <f>IF(OR($A109="",$C109="",$D109="",$C109&gt;AA$6,$D109&lt;AA$9),"",IF($J109="里程碑","◆",""))</f>
        <v/>
      </c>
      <c r="AB109" s="8" t="str">
        <f>IF(OR($A109="",$C109="",$D109="",$C109&gt;AB$6,$D109&lt;AB$9),"",IF($J109="里程碑","◆",""))</f>
        <v/>
      </c>
      <c r="AC109" s="8" t="str">
        <f>IF(OR($A109="",$C109="",$D109="",$C109&gt;AC$6,$D109&lt;AC$9),"",IF($J109="里程碑","◆",""))</f>
        <v/>
      </c>
      <c r="AD109" s="8" t="str">
        <f>IF(OR($A109="",$C109="",$D109="",$C109&gt;AD$6,$D109&lt;AD$9),"",IF($J109="里程碑","◆",""))</f>
        <v/>
      </c>
      <c r="AE109" s="8" t="str">
        <f>IF(OR($A109="",$C109="",$D109="",$C109&gt;AE$6,$D109&lt;AE$9),"",IF($J109="里程碑","◆",""))</f>
        <v/>
      </c>
      <c r="AF109" s="8" t="str">
        <f>IF(OR($A109="",$C109="",$D109="",$C109&gt;AF$6,$D109&lt;AF$9),"",IF($J109="里程碑","◆",""))</f>
        <v/>
      </c>
      <c r="AG109" s="8" t="str">
        <f>IF(OR($A109="",$C109="",$D109="",$C109&gt;AG$6,$D109&lt;AG$9),"",IF($J109="里程碑","◆",""))</f>
        <v/>
      </c>
      <c r="AH109" s="8" t="str">
        <f>IF(OR($A109="",$C109="",$D109="",$C109&gt;AH$6,$D109&lt;AH$9),"",IF($J109="里程碑","◆",""))</f>
        <v/>
      </c>
      <c r="AI109" s="8" t="str">
        <f>IF(OR($A109="",$C109="",$D109="",$C109&gt;AI$6,$D109&lt;AI$9),"",IF($J109="里程碑","◆",""))</f>
        <v/>
      </c>
      <c r="AJ109" s="8" t="str">
        <f>IF(OR($A109="",$C109="",$D109="",$C109&gt;AJ$6,$D109&lt;AJ$9),"",IF($J109="里程碑","◆",""))</f>
        <v/>
      </c>
      <c r="AK109" s="8" t="str">
        <f>IF(OR($A109="",$C109="",$D109="",$C109&gt;AK$6,$D109&lt;AK$9),"",IF($J109="里程碑","◆",""))</f>
        <v/>
      </c>
      <c r="AL109" s="8" t="str">
        <f>IF(OR($A109="",$C109="",$D109="",$C109&gt;AL$6,$D109&lt;AL$9),"",IF($J109="里程碑","◆",""))</f>
        <v/>
      </c>
      <c r="AM109" s="8" t="str">
        <f>IF(OR($A109="",$C109="",$D109="",$C109&gt;AM$6,$D109&lt;AM$9),"",IF($J109="里程碑","◆",""))</f>
        <v/>
      </c>
      <c r="AN109" s="8" t="str">
        <f>IF(OR($A109="",$C109="",$D109="",$C109&gt;AN$6,$D109&lt;AN$9),"",IF($J109="里程碑","◆",""))</f>
        <v/>
      </c>
      <c r="AO109" s="8" t="str">
        <f>IF(OR($A109="",$C109="",$D109="",$C109&gt;AO$6,$D109&lt;AO$9),"",IF($J109="里程碑","◆",""))</f>
        <v/>
      </c>
      <c r="AP109" s="8" t="str">
        <f>IF(OR($A109="",$C109="",$D109="",$C109&gt;AP$6,$D109&lt;AP$9),"",IF($J109="里程碑","◆",""))</f>
        <v/>
      </c>
      <c r="AQ109" s="8" t="str">
        <f>IF(OR($A109="",$C109="",$D109="",$C109&gt;AQ$6,$D109&lt;AQ$9),"",IF($J109="里程碑","◆",""))</f>
        <v/>
      </c>
      <c r="AR109" s="8" t="str">
        <f>IF(OR($A109="",$C109="",$D109="",$C109&gt;AR$6,$D109&lt;AR$9),"",IF($J109="里程碑","◆",""))</f>
        <v/>
      </c>
      <c r="AS109" s="8" t="str">
        <f>IF(OR($A109="",$C109="",$D109="",$C109&gt;AS$6,$D109&lt;AS$9),"",IF($J109="里程碑","◆",""))</f>
        <v/>
      </c>
      <c r="AT109" s="8" t="str">
        <f>IF(OR($A109="",$C109="",$D109="",$C109&gt;AT$6,$D109&lt;AT$9),"",IF($J109="里程碑","◆",""))</f>
        <v/>
      </c>
      <c r="AU109" s="8" t="str">
        <f>IF(OR($A109="",$C109="",$D109="",$C109&gt;AU$6,$D109&lt;AU$9),"",IF($J109="里程碑","◆",""))</f>
        <v/>
      </c>
      <c r="AV109" s="8" t="str">
        <f>IF(OR($A109="",$C109="",$D109="",$C109&gt;AV$6,$D109&lt;AV$9),"",IF($J109="里程碑","◆",""))</f>
        <v/>
      </c>
      <c r="AW109" s="8" t="str">
        <f>IF(OR($A109="",$C109="",$D109="",$C109&gt;AW$6,$D109&lt;AW$9),"",IF($J109="里程碑","◆",""))</f>
        <v/>
      </c>
      <c r="AX109" s="8" t="str">
        <f>IF(OR($A109="",$C109="",$D109="",$C109&gt;AX$6,$D109&lt;AX$9),"",IF($J109="里程碑","◆",""))</f>
        <v/>
      </c>
      <c r="AY109" s="8" t="str">
        <f>IF(OR($A109="",$C109="",$D109="",$C109&gt;AY$6,$D109&lt;AY$9),"",IF($J109="里程碑","◆",""))</f>
        <v/>
      </c>
      <c r="AZ109" s="8" t="str">
        <f>IF(OR($A109="",$C109="",$D109="",$C109&gt;AZ$6,$D109&lt;AZ$9),"",IF($J109="里程碑","◆",""))</f>
        <v/>
      </c>
      <c r="BA109" s="8" t="str">
        <f>IF(OR($A109="",$C109="",$D109="",$C109&gt;BA$6,$D109&lt;BA$9),"",IF($J109="里程碑","◆",""))</f>
        <v/>
      </c>
      <c r="BB109" s="8" t="str">
        <f>IF(OR($A109="",$C109="",$D109="",$C109&gt;BB$6,$D109&lt;BB$9),"",IF($J109="里程碑","◆",""))</f>
        <v/>
      </c>
      <c r="BC109" s="8" t="str">
        <f>IF(OR($A109="",$C109="",$D109="",$C109&gt;BC$6,$D109&lt;BC$9),"",IF($J109="里程碑","◆",""))</f>
        <v/>
      </c>
      <c r="BD109" s="8" t="str">
        <f>IF(OR($A109="",$C109="",$D109="",$C109&gt;BD$6,$D109&lt;BD$9),"",IF($J109="里程碑","◆",""))</f>
        <v/>
      </c>
      <c r="BE109" s="8" t="str">
        <f>IF(OR($A109="",$C109="",$D109="",$C109&gt;BE$6,$D109&lt;BE$9),"",IF($J109="里程碑","◆",""))</f>
        <v/>
      </c>
      <c r="BF109" s="8" t="str">
        <f>IF(OR($A109="",$C109="",$D109="",$C109&gt;BF$6,$D109&lt;BF$9),"",IF($J109="里程碑","◆",""))</f>
        <v/>
      </c>
      <c r="BG109" s="8" t="str">
        <f>IF(OR($A109="",$C109="",$D109="",$C109&gt;BG$6,$D109&lt;BG$9),"",IF($J109="里程碑","◆",""))</f>
        <v/>
      </c>
      <c r="BH109" s="8" t="str">
        <f>IF(OR($A109="",$C109="",$D109="",$C109&gt;BH$6,$D109&lt;BH$9),"",IF($J109="里程碑","◆",""))</f>
        <v/>
      </c>
      <c r="BI109" s="8" t="str">
        <f>IF(OR($A109="",$C109="",$D109="",$C109&gt;BI$6,$D109&lt;BI$9),"",IF($J109="里程碑","◆",""))</f>
        <v/>
      </c>
      <c r="BJ109" s="8" t="str">
        <f>IF(OR($A109="",$C109="",$D109="",$C109&gt;BJ$6,$D109&lt;BJ$9),"",IF($J109="里程碑","◆",""))</f>
        <v/>
      </c>
      <c r="BK109" s="8" t="str">
        <f>IF(OR($A109="",$C109="",$D109="",$C109&gt;BK$6,$D109&lt;BK$9),"",IF($J109="里程碑","◆",""))</f>
        <v/>
      </c>
      <c r="BL109" s="8" t="str">
        <f>IF(OR($A109="",$C109="",$D109="",$C109&gt;BL$6,$D109&lt;BL$9),"",IF($J109="里程碑","◆",""))</f>
        <v/>
      </c>
      <c r="BM109" s="8" t="str">
        <f>IF(OR($A109="",$C109="",$D109="",$C109&gt;BM$6,$D109&lt;BM$9),"",IF($J109="里程碑","◆",""))</f>
        <v/>
      </c>
      <c r="BN109" s="8" t="str">
        <f>IF(OR($A109="",$C109="",$D109="",$C109&gt;BN$6,$D109&lt;BN$9),"",IF($J109="里程碑","◆",""))</f>
        <v/>
      </c>
      <c r="BO109" s="8" t="str">
        <f>IF(OR($A109="",$C109="",$D109="",$C109&gt;BO$6,$D109&lt;BO$9),"",IF($J109="里程碑","◆",""))</f>
        <v/>
      </c>
      <c r="BP109" s="8" t="str">
        <f>IF(OR($A109="",$C109="",$D109="",$C109&gt;BP$6,$D109&lt;BP$9),"",IF($J109="里程碑","◆",""))</f>
        <v/>
      </c>
      <c r="BQ109" s="8" t="str">
        <f>IF(OR($A109="",$C109="",$D109="",$C109&gt;BQ$6,$D109&lt;BQ$9),"",IF($J109="里程碑","◆",""))</f>
        <v/>
      </c>
      <c r="BR109" s="8" t="str">
        <f>IF(OR($A109="",$C109="",$D109="",$C109&gt;BR$6,$D109&lt;BR$9),"",IF($J109="里程碑","◆",""))</f>
        <v/>
      </c>
      <c r="BS109" s="8" t="str">
        <f>IF(OR($A109="",$C109="",$D109="",$C109&gt;BS$6,$D109&lt;BS$9),"",IF($J109="里程碑","◆",""))</f>
        <v/>
      </c>
      <c r="BT109" s="8" t="str">
        <f>IF(OR($A109="",$C109="",$D109="",$C109&gt;BT$6,$D109&lt;BT$9),"",IF($J109="里程碑","◆",""))</f>
        <v/>
      </c>
      <c r="BU109" s="8" t="str">
        <f>IF(OR($A109="",$C109="",$D109="",$C109&gt;BU$6,$D109&lt;BU$9),"",IF($J109="里程碑","◆",""))</f>
        <v/>
      </c>
      <c r="BV109" s="8" t="str">
        <f>IF(OR($A109="",$C109="",$D109="",$C109&gt;BV$6,$D109&lt;BV$9),"",IF($J109="里程碑","◆",""))</f>
        <v/>
      </c>
      <c r="BW109" s="8" t="str">
        <f>IF(OR($A109="",$C109="",$D109="",$C109&gt;BW$6,$D109&lt;BW$9),"",IF($J109="里程碑","◆",""))</f>
        <v/>
      </c>
      <c r="BX109" s="8" t="str">
        <f>IF(OR($A109="",$C109="",$D109="",$C109&gt;BX$6,$D109&lt;BX$9),"",IF($J109="里程碑","◆",""))</f>
        <v/>
      </c>
      <c r="BY109" s="8" t="str">
        <f>IF(OR($A109="",$C109="",$D109="",$C109&gt;BY$6,$D109&lt;BY$9),"",IF($J109="里程碑","◆",""))</f>
        <v/>
      </c>
      <c r="BZ109" s="8" t="str">
        <f>IF(OR($A109="",$C109="",$D109="",$C109&gt;BZ$6,$D109&lt;BZ$9),"",IF($J109="里程碑","◆",""))</f>
        <v/>
      </c>
      <c r="CA109" s="8" t="str">
        <f>IF(OR($A109="",$C109="",$D109="",$C109&gt;CA$6,$D109&lt;CA$9),"",IF($J109="里程碑","◆",""))</f>
        <v/>
      </c>
      <c r="CB109" s="8" t="str">
        <f>IF(OR($A109="",$C109="",$D109="",$C109&gt;CB$6,$D109&lt;CB$9),"",IF($J109="里程碑","◆",""))</f>
        <v/>
      </c>
      <c r="CC109" s="8" t="str">
        <f>IF(OR($A109="",$C109="",$D109="",$C109&gt;CC$6,$D109&lt;CC$9),"",IF($J109="里程碑","◆",""))</f>
        <v/>
      </c>
      <c r="CD109" s="8" t="str">
        <f>IF(OR($A109="",$C109="",$D109="",$C109&gt;CD$6,$D109&lt;CD$9),"",IF($J109="里程碑","◆",""))</f>
        <v/>
      </c>
      <c r="CE109" s="8" t="str">
        <f>IF(OR($A109="",$C109="",$D109="",$C109&gt;CE$6,$D109&lt;CE$9),"",IF($J109="里程碑","◆",""))</f>
        <v/>
      </c>
      <c r="CF109" s="8" t="str">
        <f>IF(OR($A109="",$C109="",$D109="",$C109&gt;CF$6,$D109&lt;CF$9),"",IF($J109="里程碑","◆",""))</f>
        <v/>
      </c>
      <c r="CG109" s="8" t="str">
        <f>IF(OR($A109="",$C109="",$D109="",$C109&gt;CG$6,$D109&lt;CG$9),"",IF($J109="里程碑","◆",""))</f>
        <v/>
      </c>
      <c r="CH109" s="8" t="str">
        <f>IF(OR($A109="",$C109="",$D109="",$C109&gt;CH$6,$D109&lt;CH$9),"",IF($J109="里程碑","◆",""))</f>
        <v/>
      </c>
      <c r="CI109" s="8" t="str">
        <f>IF(OR($A109="",$C109="",$D109="",$C109&gt;CI$6,$D109&lt;CI$9),"",IF($J109="里程碑","◆",""))</f>
        <v/>
      </c>
      <c r="CJ109" s="8" t="str">
        <f>IF(OR($A109="",$C109="",$D109="",$C109&gt;CJ$6,$D109&lt;CJ$9),"",IF($J109="里程碑","◆",""))</f>
        <v/>
      </c>
      <c r="CK109" s="8" t="str">
        <f>IF(OR($A109="",$C109="",$D109="",$C109&gt;CK$6,$D109&lt;CK$9),"",IF($J109="里程碑","◆",""))</f>
        <v/>
      </c>
      <c r="CL109" s="8" t="str">
        <f>IF(OR($A109="",$C109="",$D109="",$C109&gt;CL$6,$D109&lt;CL$9),"",IF($J109="里程碑","◆",""))</f>
        <v/>
      </c>
      <c r="CM109" s="8" t="str">
        <f>IF(OR($A109="",$C109="",$D109="",$C109&gt;CM$6,$D109&lt;CM$9),"",IF($J109="里程碑","◆",""))</f>
        <v/>
      </c>
      <c r="CN109" s="8" t="str">
        <f>IF(OR($A109="",$C109="",$D109="",$C109&gt;CN$6,$D109&lt;CN$9),"",IF($J109="里程碑","◆",""))</f>
        <v/>
      </c>
      <c r="CO109" s="8" t="str">
        <f>IF(OR($A109="",$C109="",$D109="",$C109&gt;CO$6,$D109&lt;CO$9),"",IF($J109="里程碑","◆",""))</f>
        <v/>
      </c>
      <c r="CP109" s="8" t="str">
        <f>IF(OR($A109="",$C109="",$D109="",$C109&gt;CP$6,$D109&lt;CP$9),"",IF($J109="里程碑","◆",""))</f>
        <v/>
      </c>
      <c r="CQ109" s="8" t="str">
        <f>IF(OR($A109="",$C109="",$D109="",$C109&gt;CQ$6,$D109&lt;CQ$9),"",IF($J109="里程碑","◆",""))</f>
        <v/>
      </c>
      <c r="CR109" s="8" t="str">
        <f>IF(OR($A109="",$C109="",$D109="",$C109&gt;CR$6,$D109&lt;CR$9),"",IF($J109="里程碑","◆",""))</f>
        <v/>
      </c>
      <c r="CS109" s="8" t="str">
        <f>IF(OR($A109="",$C109="",$D109="",$C109&gt;CS$6,$D109&lt;CS$9),"",IF($J109="里程碑","◆",""))</f>
        <v/>
      </c>
      <c r="CT109" s="8" t="str">
        <f>IF(OR($A109="",$C109="",$D109="",$C109&gt;CT$6,$D109&lt;CT$9),"",IF($J109="里程碑","◆",""))</f>
        <v/>
      </c>
      <c r="CU109" s="8" t="str">
        <f>IF(OR($A109="",$C109="",$D109="",$C109&gt;CU$6,$D109&lt;CU$9),"",IF($J109="里程碑","◆",""))</f>
        <v/>
      </c>
      <c r="CV109" s="8" t="str">
        <f>IF(OR($A109="",$C109="",$D109="",$C109&gt;CV$6,$D109&lt;CV$9),"",IF($J109="里程碑","◆",""))</f>
        <v/>
      </c>
      <c r="CW109" s="8" t="str">
        <f>IF(OR($A109="",$C109="",$D109="",$C109&gt;CW$6,$D109&lt;CW$9),"",IF($J109="里程碑","◆",""))</f>
        <v/>
      </c>
      <c r="CX109" s="8" t="str">
        <f>IF(OR($A109="",$C109="",$D109="",$C109&gt;CX$6,$D109&lt;CX$9),"",IF($J109="里程碑","◆",""))</f>
        <v/>
      </c>
      <c r="CY109" s="8" t="str">
        <f>IF(OR($A109="",$C109="",$D109="",$C109&gt;CY$6,$D109&lt;CY$9),"",IF($J109="里程碑","◆",""))</f>
        <v/>
      </c>
      <c r="CZ109" s="8" t="str">
        <f>IF(OR($A109="",$C109="",$D109="",$C109&gt;CZ$6,$D109&lt;CZ$9),"",IF($J109="里程碑","◆",""))</f>
        <v/>
      </c>
      <c r="DA109" s="8" t="str">
        <f>IF(OR($A109="",$C109="",$D109="",$C109&gt;DA$6,$D109&lt;DA$9),"",IF($J109="里程碑","◆",""))</f>
        <v/>
      </c>
      <c r="DB109" s="8" t="str">
        <f>IF(OR($A109="",$C109="",$D109="",$C109&gt;DB$6,$D109&lt;DB$9),"",IF($J109="里程碑","◆",""))</f>
        <v/>
      </c>
      <c r="DC109" s="1" t="str">
        <f>IF(ROW()-9&gt;$DH$3,"",MATCH(ROW()-9,排期计算!$U$10:$U$109,0))</f>
        <v/>
      </c>
      <c r="DD109" s="1" t="str">
        <f>IF($DC109="","",INDEX(排期计算!$L$10:$L$109,$DC109))</f>
        <v/>
      </c>
      <c r="DE109" s="1"/>
      <c r="DF109" s="1"/>
      <c r="DG109" s="1"/>
      <c r="DH109" s="1"/>
      <c r="DI109" s="1"/>
      <c r="DJ109" s="1"/>
      <c r="DK109" s="1"/>
    </row>
  </sheetData>
  <mergeCells count="14">
    <mergeCell ref="C2:G2"/>
    <mergeCell ref="D4:G4"/>
    <mergeCell ref="K3:AG3"/>
    <mergeCell ref="A6:J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conditionalFormatting sqref="A10:G109">
    <cfRule type="expression" dxfId="10" priority="2">
      <formula>$G10="逾期"</formula>
    </cfRule>
    <cfRule type="expression" dxfId="9" priority="3">
      <formula>AND($A10&lt;&gt;"",$J10="汇总",$G10&lt;&gt;"逾期")</formula>
    </cfRule>
  </conditionalFormatting>
  <conditionalFormatting sqref="K9:DB9">
    <cfRule type="expression" dxfId="8" priority="1">
      <formula>AND(K$9&lt;=$B$4,K$6&gt;=$B$4)</formula>
    </cfRule>
  </conditionalFormatting>
  <conditionalFormatting sqref="K10:DB109">
    <cfRule type="expression" dxfId="7" priority="4">
      <formula>AND(AND($A10&lt;&gt;"",ISNUMBER($C10),ISNUMBER($D10),$C10&lt;=K$6,$D10&gt;=K$9),$G10="逾期")</formula>
    </cfRule>
    <cfRule type="expression" dxfId="6" priority="5">
      <formula>AND(AND($A10&lt;&gt;"",ISNUMBER($C10),ISNUMBER($D10),$C10&lt;=K$6,$D10&gt;=K$9),$G10="已完成")</formula>
    </cfRule>
    <cfRule type="expression" dxfId="5" priority="6">
      <formula>AND(AND($A10&lt;&gt;"",ISNUMBER($C10),ISNUMBER($D10),$C10&lt;=K$6,$D10&gt;=K$9),$G10&lt;&gt;"逾期",$G10&lt;&gt;"已完成",$J10="汇总")</formula>
    </cfRule>
    <cfRule type="expression" dxfId="4" priority="7">
      <formula>AND(AND($A10&lt;&gt;"",ISNUMBER($C10),ISNUMBER($D10),$C10&lt;=K$6,$D10&gt;=K$9),$G10&lt;&gt;"逾期",$G10&lt;&gt;"已完成",$J10="里程碑")</formula>
    </cfRule>
    <cfRule type="expression" dxfId="3" priority="8">
      <formula>AND(AND($A10&lt;&gt;"",ISNUMBER($C10),ISNUMBER($D10),$C10&lt;=K$6,$D10&gt;=K$9),$G10&lt;&gt;"逾期",$G10&lt;&gt;"已完成",$J10="普通任务")</formula>
    </cfRule>
    <cfRule type="expression" dxfId="2" priority="9">
      <formula>AND($A10&lt;&gt;"",K$9&lt;=$B$4,K$6&gt;=$B$4)</formula>
    </cfRule>
  </conditionalFormatting>
  <dataValidations disablePrompts="1" count="4">
    <dataValidation type="list" showErrorMessage="1" errorTitle="请检查输入" error="请按下拉选项或数值范围填写。" sqref="B3" xr:uid="{00000000-0002-0000-0000-000000000000}">
      <formula1>"日,周,月,全项目"</formula1>
    </dataValidation>
    <dataValidation type="list" showErrorMessage="1" errorTitle="请检查输入" error="请按下拉选项或数值范围填写。" sqref="D3" xr:uid="{00000000-0002-0000-0000-000001000000}">
      <formula1>"项目开始,今天,手动"</formula1>
    </dataValidation>
    <dataValidation type="list" showErrorMessage="1" errorTitle="请检查输入" error="请按下拉选项或数值范围填写。" sqref="D5" xr:uid="{00000000-0002-0000-0000-000002000000}">
      <formula1>"全部,1级,2级,3级,仅里程碑"</formula1>
    </dataValidation>
    <dataValidation type="whole" showErrorMessage="1" errorTitle="请检查输入" error="请按下拉选项或数值范围填写。" sqref="F3" xr:uid="{00000000-0002-0000-0000-000003000000}">
      <formula1>-10000</formula1>
      <formula2>10000</formula2>
    </dataValidation>
  </dataValidations>
  <pageMargins left="0.7" right="0.7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767CD"/>
    <outlinePr summaryBelow="0"/>
  </sheetPr>
  <dimension ref="A1:AF110"/>
  <sheetViews>
    <sheetView showGridLines="0" tabSelected="1" zoomScale="115" zoomScaleNormal="115" workbookViewId="0">
      <pane xSplit="2" ySplit="9" topLeftCell="C10" activePane="bottomRight" state="frozen"/>
      <selection pane="topRight"/>
      <selection pane="bottomLeft"/>
      <selection pane="bottomRight" activeCell="I15" sqref="I15"/>
    </sheetView>
  </sheetViews>
  <sheetFormatPr defaultRowHeight="14.25" outlineLevelRow="1"/>
  <cols>
    <col min="1" max="1" width="12" customWidth="1"/>
    <col min="2" max="2" width="36" customWidth="1"/>
    <col min="3" max="3" width="14" customWidth="1"/>
    <col min="4" max="5" width="13" customWidth="1"/>
    <col min="6" max="7" width="14" customWidth="1"/>
    <col min="8" max="8" width="18" customWidth="1"/>
    <col min="9" max="11" width="12" customWidth="1"/>
    <col min="12" max="12" width="8" customWidth="1"/>
    <col min="13" max="14" width="13" customWidth="1"/>
    <col min="15" max="15" width="14" customWidth="1"/>
    <col min="16" max="16" width="27" customWidth="1"/>
    <col min="24" max="24" width="26" hidden="1" customWidth="1"/>
  </cols>
  <sheetData>
    <row r="1" spans="1:32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4.95" customHeight="1" collapsed="1">
      <c r="A2" s="2" t="inlineStr">
        <is>
          <t xml:space="preserve">动力总成支架开发 · 任务编辑</t>
        </is>
      </c>
      <c r="B2" s="1"/>
      <c r="C2" s="1"/>
      <c r="D2" s="25" t="inlineStr">
        <is>
          <t xml:space="preserve">说明：点左侧 + / −；新增：右键任务单元格 → 插入表格行</t>
        </is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95" hidden="1" customHeight="1" outlineLevel="1">
      <c r="A3" s="26" t="inlineStr">
        <is>
          <t xml:space="preserve">在目标任务单元格右键：插入 → 表格行（上方）。填黄色格，灰色列自动计算。</t>
        </is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4.95" hidden="1" customHeight="1" outlineLevel="1">
      <c r="A4" s="26" t="inlineStr">
        <is>
          <t xml:space="preserve">插在父任务下面后，填 WBS 如 2.1.1。位置决定编辑顺序，WBS 决定浏览层级和排序。</t>
        </is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4.95" hidden="1" customHeight="1" outlineLevel="1">
      <c r="A5" s="26" t="inlineStr">
        <is>
          <t xml:space="preserve">按 WBS 父子关系汇总；空日期一级项作为汇总，填写日期的无下级项按叶子类型计算。</t>
        </is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4.95" hidden="1" customHeight="1" outlineLevel="1">
      <c r="A6" s="26" t="inlineStr">
        <is>
          <t xml:space="preserve">删除用“操作”列；删父项同时排除下级。支持三级、最多 100 项；前置任务不自动排期。</t>
        </is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4.95" hidden="1" customHeight="1" outlineLevel="1">
      <c r="A7" s="26" t="inlineStr">
        <is>
          <t xml:space="preserve">说明区默认折叠，点左侧 + 展开。自由插行为免宏模式，操作页不强制锁格，计算页受保护。</t>
        </is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4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32.1" customHeight="1">
      <c r="A9" s="16" t="inlineStr">
        <is>
          <t xml:space="preserve">WBS</t>
        </is>
      </c>
      <c r="B9" s="16" t="inlineStr">
        <is>
          <t xml:space="preserve">任务名称</t>
        </is>
      </c>
      <c r="C9" s="16" t="inlineStr">
        <is>
          <t xml:space="preserve">负责人</t>
        </is>
      </c>
      <c r="D9" s="16" t="inlineStr">
        <is>
          <t xml:space="preserve">输入开始</t>
        </is>
      </c>
      <c r="E9" s="16" t="inlineStr">
        <is>
          <t xml:space="preserve">输入结束</t>
        </is>
      </c>
      <c r="F9" s="16" t="inlineStr">
        <is>
          <t xml:space="preserve">工期(叶子)</t>
        </is>
      </c>
      <c r="G9" s="16" t="inlineStr">
        <is>
          <t xml:space="preserve">输入完成度</t>
        </is>
      </c>
      <c r="H9" s="16" t="inlineStr">
        <is>
          <t xml:space="preserve">前置任务 WBS</t>
        </is>
      </c>
      <c r="I9" s="16" t="inlineStr">
        <is>
          <t xml:space="preserve">叶子类型</t>
        </is>
      </c>
      <c r="J9" s="16" t="inlineStr">
        <is>
          <t xml:space="preserve">操作</t>
        </is>
      </c>
      <c r="K9" s="16" t="inlineStr">
        <is>
          <t xml:space="preserve">实际类型</t>
        </is>
      </c>
      <c r="L9" s="16" t="inlineStr">
        <is>
          <t xml:space="preserve">层级</t>
        </is>
      </c>
      <c r="M9" s="16" t="inlineStr">
        <is>
          <t xml:space="preserve">生效开始</t>
        </is>
      </c>
      <c r="N9" s="16" t="inlineStr">
        <is>
          <t xml:space="preserve">生效结束</t>
        </is>
      </c>
      <c r="O9" s="16" t="inlineStr">
        <is>
          <t xml:space="preserve">生效完成度</t>
        </is>
      </c>
      <c r="P9" s="16" t="inlineStr">
        <is>
          <t xml:space="preserve">填写检查</t>
        </is>
      </c>
    </row>
    <row r="10" spans="1:32" ht="24.95" customHeight="1">
      <c r="A10" s="20" t="inlineStr">
        <is>
          <t xml:space="preserve">1</t>
        </is>
      </c>
      <c r="B10" s="21" t="inlineStr">
        <is>
          <t xml:space="preserve">设计开发</t>
        </is>
      </c>
      <c r="C10" s="21" t="inlineStr">
        <is>
          <t xml:space="preserve">张工</t>
        </is>
      </c>
      <c r="D10" s="22"/>
      <c r="E10" s="22"/>
      <c r="F10" s="24" t="str">
        <f>IF(TimingTasks[[#This Row],[WBS]]="","",INDEX(排期计算!$F$10:$F$109,MATCH("W"&amp;TimingTasks[[#This Row],[WBS]],排期计算!$AG$10:$AG$109,0)))</f>
        <v/>
      </c>
      <c r="G10" s="23">
        <v>0</v>
      </c>
      <c r="H10" s="20"/>
      <c r="I10" s="21" t="inlineStr">
        <is>
          <t xml:space="preserve">普通任务</t>
        </is>
      </c>
      <c r="J10" s="21" t="inlineStr">
        <is>
          <t xml:space="preserve">保留</t>
        </is>
      </c>
      <c r="K10" s="17" t="str">
        <f>IF(TimingTasks[[#This Row],[WBS]]="","",INDEX(排期计算!$K$10:$K$109,MATCH("W"&amp;TimingTasks[[#This Row],[WBS]],排期计算!$AG$10:$AG$109,0)))</f>
        <v>汇总</v>
      </c>
      <c r="L10" s="17">
        <f>IF(TimingTasks[[#This Row],[WBS]]="","",INDEX(排期计算!$L$10:$L$109,MATCH("W"&amp;TimingTasks[[#This Row],[WBS]],排期计算!$AG$10:$AG$109,0)))</f>
        <v>1</v>
      </c>
      <c r="M10" s="18">
        <f>IF(TimingTasks[[#This Row],[WBS]]="","",INDEX(排期计算!$M$10:$M$109,MATCH("W"&amp;TimingTasks[[#This Row],[WBS]],排期计算!$AG$10:$AG$109,0)))</f>
        <v>46321</v>
      </c>
      <c r="N10" s="18">
        <f>IF(TimingTasks[[#This Row],[WBS]]="","",INDEX(排期计算!$N$10:$N$109,MATCH("W"&amp;TimingTasks[[#This Row],[WBS]],排期计算!$AG$10:$AG$109,0)))</f>
        <v>46330</v>
      </c>
      <c r="O10" s="19">
        <f>IF(TimingTasks[[#This Row],[WBS]]="","",INDEX(排期计算!$O$10:$O$109,MATCH("W"&amp;TimingTasks[[#This Row],[WBS]],排期计算!$AG$10:$AG$109,0)))</f>
        <v>0.41</v>
      </c>
      <c r="P10" s="17" t="str">
        <f>IF(TimingTasks[[#This Row],[WBS]]="","",INDEX(排期计算!$X$10:$X$109,MATCH("W"&amp;TimingTasks[[#This Row],[WBS]],排期计算!$AG$10:$AG$109,0)))</f>
        <v>由下级汇总</v>
      </c>
    </row>
    <row r="11" spans="1:32" ht="24.95" customHeight="1">
      <c r="A11" s="20" t="inlineStr">
        <is>
          <t xml:space="preserve">1.1</t>
        </is>
      </c>
      <c r="B11" s="21" t="inlineStr">
        <is>
          <t xml:space="preserve">需求与接口确认</t>
        </is>
      </c>
      <c r="C11" s="21" t="inlineStr">
        <is>
          <t xml:space="preserve">张工</t>
        </is>
      </c>
      <c r="D11" s="22">
        <v>46321</v>
      </c>
      <c r="E11" s="22">
        <v>46322</v>
      </c>
      <c r="F11" s="24">
        <f>IF(TimingTasks[[#This Row],[WBS]]="","",INDEX(排期计算!$F$10:$F$109,MATCH("W"&amp;TimingTasks[[#This Row],[WBS]],排期计算!$AG$10:$AG$109,0)))</f>
        <v>2</v>
      </c>
      <c r="G11" s="23">
        <v>1</v>
      </c>
      <c r="H11" s="20"/>
      <c r="I11" s="21" t="inlineStr">
        <is>
          <t xml:space="preserve">普通任务</t>
        </is>
      </c>
      <c r="J11" s="21" t="inlineStr">
        <is>
          <t xml:space="preserve">保留</t>
        </is>
      </c>
      <c r="K11" s="17" t="str">
        <f>IF(TimingTasks[[#This Row],[WBS]]="","",INDEX(排期计算!$K$10:$K$109,MATCH("W"&amp;TimingTasks[[#This Row],[WBS]],排期计算!$AG$10:$AG$109,0)))</f>
        <v>普通任务</v>
      </c>
      <c r="L11" s="17">
        <f>IF(TimingTasks[[#This Row],[WBS]]="","",INDEX(排期计算!$L$10:$L$109,MATCH("W"&amp;TimingTasks[[#This Row],[WBS]],排期计算!$AG$10:$AG$109,0)))</f>
        <v>2</v>
      </c>
      <c r="M11" s="18">
        <f>IF(TimingTasks[[#This Row],[WBS]]="","",INDEX(排期计算!$M$10:$M$109,MATCH("W"&amp;TimingTasks[[#This Row],[WBS]],排期计算!$AG$10:$AG$109,0)))</f>
        <v>46321</v>
      </c>
      <c r="N11" s="18">
        <f>IF(TimingTasks[[#This Row],[WBS]]="","",INDEX(排期计算!$N$10:$N$109,MATCH("W"&amp;TimingTasks[[#This Row],[WBS]],排期计算!$AG$10:$AG$109,0)))</f>
        <v>46322</v>
      </c>
      <c r="O11" s="19">
        <f>IF(TimingTasks[[#This Row],[WBS]]="","",INDEX(排期计算!$O$10:$O$109,MATCH("W"&amp;TimingTasks[[#This Row],[WBS]],排期计算!$AG$10:$AG$109,0)))</f>
        <v>1</v>
      </c>
      <c r="P11" s="17" t="str">
        <f>IF(TimingTasks[[#This Row],[WBS]]="","",INDEX(排期计算!$X$10:$X$109,MATCH("W"&amp;TimingTasks[[#This Row],[WBS]],排期计算!$AG$10:$AG$109,0)))</f>
        <v/>
      </c>
    </row>
    <row r="12" spans="1:32" ht="24.95" customHeight="1">
      <c r="A12" s="20" t="inlineStr">
        <is>
          <t xml:space="preserve">1.2</t>
        </is>
      </c>
      <c r="B12" s="21" t="inlineStr">
        <is>
          <t xml:space="preserve">结构方案及设计评审</t>
        </is>
      </c>
      <c r="C12" s="21" t="inlineStr">
        <is>
          <t xml:space="preserve">张工</t>
        </is>
      </c>
      <c r="D12" s="22">
        <v>46323</v>
      </c>
      <c r="E12" s="22">
        <v>46329</v>
      </c>
      <c r="F12" s="24">
        <f>IF(TimingTasks[[#This Row],[WBS]]="","",INDEX(排期计算!$F$10:$F$109,MATCH("W"&amp;TimingTasks[[#This Row],[WBS]],排期计算!$AG$10:$AG$109,0)))</f>
        <v>5</v>
      </c>
      <c r="G12" s="23">
        <v>0.25</v>
      </c>
      <c r="H12" s="20" t="inlineStr">
        <is>
          <t xml:space="preserve">1.1</t>
        </is>
      </c>
      <c r="I12" s="21" t="inlineStr">
        <is>
          <t xml:space="preserve">普通任务</t>
        </is>
      </c>
      <c r="J12" s="21" t="inlineStr">
        <is>
          <t xml:space="preserve">保留</t>
        </is>
      </c>
      <c r="K12" s="17" t="str">
        <f>IF(TimingTasks[[#This Row],[WBS]]="","",INDEX(排期计算!$K$10:$K$109,MATCH("W"&amp;TimingTasks[[#This Row],[WBS]],排期计算!$AG$10:$AG$109,0)))</f>
        <v>普通任务</v>
      </c>
      <c r="L12" s="17">
        <f>IF(TimingTasks[[#This Row],[WBS]]="","",INDEX(排期计算!$L$10:$L$109,MATCH("W"&amp;TimingTasks[[#This Row],[WBS]],排期计算!$AG$10:$AG$109,0)))</f>
        <v>2</v>
      </c>
      <c r="M12" s="18">
        <f>IF(TimingTasks[[#This Row],[WBS]]="","",INDEX(排期计算!$M$10:$M$109,MATCH("W"&amp;TimingTasks[[#This Row],[WBS]],排期计算!$AG$10:$AG$109,0)))</f>
        <v>46323</v>
      </c>
      <c r="N12" s="18">
        <f>IF(TimingTasks[[#This Row],[WBS]]="","",INDEX(排期计算!$N$10:$N$109,MATCH("W"&amp;TimingTasks[[#This Row],[WBS]],排期计算!$AG$10:$AG$109,0)))</f>
        <v>46329</v>
      </c>
      <c r="O12" s="19">
        <f>IF(TimingTasks[[#This Row],[WBS]]="","",INDEX(排期计算!$O$10:$O$109,MATCH("W"&amp;TimingTasks[[#This Row],[WBS]],排期计算!$AG$10:$AG$109,0)))</f>
        <v>0.25</v>
      </c>
      <c r="P12" s="17" t="str">
        <f>IF(TimingTasks[[#This Row],[WBS]]="","",INDEX(排期计算!$X$10:$X$109,MATCH("W"&amp;TimingTasks[[#This Row],[WBS]],排期计算!$AG$10:$AG$109,0)))</f>
        <v/>
      </c>
    </row>
    <row r="13" spans="1:32" ht="24.95" customHeight="1">
      <c r="A13" s="20" t="inlineStr">
        <is>
          <t xml:space="preserve">1.3</t>
        </is>
      </c>
      <c r="B13" s="21" t="inlineStr">
        <is>
          <t xml:space="preserve">客户认可</t>
        </is>
      </c>
      <c r="C13" s="21" t="inlineStr">
        <is>
          <t xml:space="preserve">张工</t>
        </is>
      </c>
      <c r="D13" s="22">
        <v>46330</v>
      </c>
      <c r="E13" s="22">
        <v>46330</v>
      </c>
      <c r="F13" s="24">
        <f>IF(TimingTasks[[#This Row],[WBS]]="","",INDEX(排期计算!$F$10:$F$109,MATCH("W"&amp;TimingTasks[[#This Row],[WBS]],排期计算!$AG$10:$AG$109,0)))</f>
        <v>0</v>
      </c>
      <c r="G13" s="23">
        <v>0</v>
      </c>
      <c r="H13" s="20" t="inlineStr">
        <is>
          <t xml:space="preserve">1.2</t>
        </is>
      </c>
      <c r="I13" s="21" t="inlineStr">
        <is>
          <t xml:space="preserve">里程碑</t>
        </is>
      </c>
      <c r="J13" s="21" t="inlineStr">
        <is>
          <t xml:space="preserve">保留</t>
        </is>
      </c>
      <c r="K13" s="17" t="str">
        <f>IF(TimingTasks[[#This Row],[WBS]]="","",INDEX(排期计算!$K$10:$K$109,MATCH("W"&amp;TimingTasks[[#This Row],[WBS]],排期计算!$AG$10:$AG$109,0)))</f>
        <v>里程碑</v>
      </c>
      <c r="L13" s="17">
        <f>IF(TimingTasks[[#This Row],[WBS]]="","",INDEX(排期计算!$L$10:$L$109,MATCH("W"&amp;TimingTasks[[#This Row],[WBS]],排期计算!$AG$10:$AG$109,0)))</f>
        <v>2</v>
      </c>
      <c r="M13" s="18">
        <f>IF(TimingTasks[[#This Row],[WBS]]="","",INDEX(排期计算!$M$10:$M$109,MATCH("W"&amp;TimingTasks[[#This Row],[WBS]],排期计算!$AG$10:$AG$109,0)))</f>
        <v>46330</v>
      </c>
      <c r="N13" s="18">
        <f>IF(TimingTasks[[#This Row],[WBS]]="","",INDEX(排期计算!$N$10:$N$109,MATCH("W"&amp;TimingTasks[[#This Row],[WBS]],排期计算!$AG$10:$AG$109,0)))</f>
        <v>46330</v>
      </c>
      <c r="O13" s="19">
        <f>IF(TimingTasks[[#This Row],[WBS]]="","",INDEX(排期计算!$O$10:$O$109,MATCH("W"&amp;TimingTasks[[#This Row],[WBS]],排期计算!$AG$10:$AG$109,0)))</f>
        <v>0</v>
      </c>
      <c r="P13" s="17" t="str">
        <f>IF(TimingTasks[[#This Row],[WBS]]="","",INDEX(排期计算!$X$10:$X$109,MATCH("W"&amp;TimingTasks[[#This Row],[WBS]],排期计算!$AG$10:$AG$109,0)))</f>
        <v/>
      </c>
    </row>
    <row r="14" spans="1:32" ht="24.95" customHeight="1">
      <c r="A14" s="20" t="inlineStr">
        <is>
          <t xml:space="preserve">2</t>
        </is>
      </c>
      <c r="B14" s="21" t="inlineStr">
        <is>
          <t xml:space="preserve">试制验证</t>
        </is>
      </c>
      <c r="C14" s="21" t="inlineStr">
        <is>
          <t xml:space="preserve">张工</t>
        </is>
      </c>
      <c r="D14" s="22"/>
      <c r="E14" s="22"/>
      <c r="F14" s="24" t="str">
        <f>IF(TimingTasks[[#This Row],[WBS]]="","",INDEX(排期计算!$F$10:$F$109,MATCH("W"&amp;TimingTasks[[#This Row],[WBS]],排期计算!$AG$10:$AG$109,0)))</f>
        <v/>
      </c>
      <c r="G14" s="23">
        <v>0</v>
      </c>
      <c r="H14" s="20"/>
      <c r="I14" s="21" t="inlineStr">
        <is>
          <t xml:space="preserve">普通任务</t>
        </is>
      </c>
      <c r="J14" s="21" t="inlineStr">
        <is>
          <t xml:space="preserve">保留</t>
        </is>
      </c>
      <c r="K14" s="17" t="str">
        <f>IF(TimingTasks[[#This Row],[WBS]]="","",INDEX(排期计算!$K$10:$K$109,MATCH("W"&amp;TimingTasks[[#This Row],[WBS]],排期计算!$AG$10:$AG$109,0)))</f>
        <v>汇总</v>
      </c>
      <c r="L14" s="17">
        <f>IF(TimingTasks[[#This Row],[WBS]]="","",INDEX(排期计算!$L$10:$L$109,MATCH("W"&amp;TimingTasks[[#This Row],[WBS]],排期计算!$AG$10:$AG$109,0)))</f>
        <v>1</v>
      </c>
      <c r="M14" s="18">
        <f>IF(TimingTasks[[#This Row],[WBS]]="","",INDEX(排期计算!$M$10:$M$109,MATCH("W"&amp;TimingTasks[[#This Row],[WBS]],排期计算!$AG$10:$AG$109,0)))</f>
        <v>46331</v>
      </c>
      <c r="N14" s="18">
        <f>IF(TimingTasks[[#This Row],[WBS]]="","",INDEX(排期计算!$N$10:$N$109,MATCH("W"&amp;TimingTasks[[#This Row],[WBS]],排期计算!$AG$10:$AG$109,0)))</f>
        <v>46344</v>
      </c>
      <c r="O14" s="19">
        <f>IF(TimingTasks[[#This Row],[WBS]]="","",INDEX(排期计算!$O$10:$O$109,MATCH("W"&amp;TimingTasks[[#This Row],[WBS]],排期计算!$AG$10:$AG$109,0)))</f>
        <v>0</v>
      </c>
      <c r="P14" s="17" t="str">
        <f>IF(TimingTasks[[#This Row],[WBS]]="","",INDEX(排期计算!$X$10:$X$109,MATCH("W"&amp;TimingTasks[[#This Row],[WBS]],排期计算!$AG$10:$AG$109,0)))</f>
        <v>由下级汇总</v>
      </c>
    </row>
    <row r="15" spans="1:32" ht="24.95" customHeight="1">
      <c r="A15" s="20" t="inlineStr">
        <is>
          <t xml:space="preserve">2.1</t>
        </is>
      </c>
      <c r="B15" s="21" t="inlineStr">
        <is>
          <t xml:space="preserve">样件制造与试验</t>
        </is>
      </c>
      <c r="C15" s="21" t="inlineStr">
        <is>
          <t xml:space="preserve">张工</t>
        </is>
      </c>
      <c r="D15" s="22">
        <v>46331</v>
      </c>
      <c r="E15" s="22">
        <v>46344</v>
      </c>
      <c r="F15" s="24">
        <f>IF(TimingTasks[[#This Row],[WBS]]="","",INDEX(排期计算!$F$10:$F$109,MATCH("W"&amp;TimingTasks[[#This Row],[WBS]],排期计算!$AG$10:$AG$109,0)))</f>
        <v>10</v>
      </c>
      <c r="G15" s="23">
        <v>0</v>
      </c>
      <c r="H15" s="20" t="inlineStr">
        <is>
          <t xml:space="preserve">1.3</t>
        </is>
      </c>
      <c r="I15" s="21" t="inlineStr">
        <is>
          <t xml:space="preserve">普通任务</t>
        </is>
      </c>
      <c r="J15" s="21" t="inlineStr">
        <is>
          <t xml:space="preserve">保留</t>
        </is>
      </c>
      <c r="K15" s="17" t="str">
        <f>IF(TimingTasks[[#This Row],[WBS]]="","",INDEX(排期计算!$K$10:$K$109,MATCH("W"&amp;TimingTasks[[#This Row],[WBS]],排期计算!$AG$10:$AG$109,0)))</f>
        <v>普通任务</v>
      </c>
      <c r="L15" s="17">
        <f>IF(TimingTasks[[#This Row],[WBS]]="","",INDEX(排期计算!$L$10:$L$109,MATCH("W"&amp;TimingTasks[[#This Row],[WBS]],排期计算!$AG$10:$AG$109,0)))</f>
        <v>2</v>
      </c>
      <c r="M15" s="18">
        <f>IF(TimingTasks[[#This Row],[WBS]]="","",INDEX(排期计算!$M$10:$M$109,MATCH("W"&amp;TimingTasks[[#This Row],[WBS]],排期计算!$AG$10:$AG$109,0)))</f>
        <v>46331</v>
      </c>
      <c r="N15" s="18">
        <f>IF(TimingTasks[[#This Row],[WBS]]="","",INDEX(排期计算!$N$10:$N$109,MATCH("W"&amp;TimingTasks[[#This Row],[WBS]],排期计算!$AG$10:$AG$109,0)))</f>
        <v>46344</v>
      </c>
      <c r="O15" s="19">
        <f>IF(TimingTasks[[#This Row],[WBS]]="","",INDEX(排期计算!$O$10:$O$109,MATCH("W"&amp;TimingTasks[[#This Row],[WBS]],排期计算!$AG$10:$AG$109,0)))</f>
        <v>0</v>
      </c>
      <c r="P15" s="17" t="str">
        <f>IF(TimingTasks[[#This Row],[WBS]]="","",INDEX(排期计算!$X$10:$X$109,MATCH("W"&amp;TimingTasks[[#This Row],[WBS]],排期计算!$AG$10:$AG$109,0)))</f>
        <v/>
      </c>
    </row>
    <row r="16" spans="1:32" ht="24.95" customHeight="1">
      <c r="A16" s="20" t="inlineStr">
        <is>
          <t xml:space="preserve">3</t>
        </is>
      </c>
      <c r="B16" s="21" t="inlineStr">
        <is>
          <t xml:space="preserve">量产移交</t>
        </is>
      </c>
      <c r="C16" s="21" t="inlineStr">
        <is>
          <t xml:space="preserve">张工</t>
        </is>
      </c>
      <c r="D16" s="22">
        <v>46345</v>
      </c>
      <c r="E16" s="22">
        <v>46345</v>
      </c>
      <c r="F16" s="24">
        <f>IF(TimingTasks[[#This Row],[WBS]]="","",INDEX(排期计算!$F$10:$F$109,MATCH("W"&amp;TimingTasks[[#This Row],[WBS]],排期计算!$AG$10:$AG$109,0)))</f>
        <v>0</v>
      </c>
      <c r="G16" s="23">
        <v>0</v>
      </c>
      <c r="H16" s="20" t="inlineStr">
        <is>
          <t xml:space="preserve">2.1</t>
        </is>
      </c>
      <c r="I16" s="21" t="inlineStr">
        <is>
          <t xml:space="preserve">里程碑</t>
        </is>
      </c>
      <c r="J16" s="21" t="inlineStr">
        <is>
          <t xml:space="preserve">保留</t>
        </is>
      </c>
      <c r="K16" s="17" t="str">
        <f>IF(TimingTasks[[#This Row],[WBS]]="","",INDEX(排期计算!$K$10:$K$109,MATCH("W"&amp;TimingTasks[[#This Row],[WBS]],排期计算!$AG$10:$AG$109,0)))</f>
        <v>里程碑</v>
      </c>
      <c r="L16" s="17">
        <f>IF(TimingTasks[[#This Row],[WBS]]="","",INDEX(排期计算!$L$10:$L$109,MATCH("W"&amp;TimingTasks[[#This Row],[WBS]],排期计算!$AG$10:$AG$109,0)))</f>
        <v>1</v>
      </c>
      <c r="M16" s="18">
        <f>IF(TimingTasks[[#This Row],[WBS]]="","",INDEX(排期计算!$M$10:$M$109,MATCH("W"&amp;TimingTasks[[#This Row],[WBS]],排期计算!$AG$10:$AG$109,0)))</f>
        <v>46345</v>
      </c>
      <c r="N16" s="18">
        <f>IF(TimingTasks[[#This Row],[WBS]]="","",INDEX(排期计算!$N$10:$N$109,MATCH("W"&amp;TimingTasks[[#This Row],[WBS]],排期计算!$AG$10:$AG$109,0)))</f>
        <v>46345</v>
      </c>
      <c r="O16" s="19">
        <f>IF(TimingTasks[[#This Row],[WBS]]="","",INDEX(排期计算!$O$10:$O$109,MATCH("W"&amp;TimingTasks[[#This Row],[WBS]],排期计算!$AG$10:$AG$109,0)))</f>
        <v>0</v>
      </c>
      <c r="P16" s="17" t="str">
        <f>IF(TimingTasks[[#This Row],[WBS]]="","",INDEX(排期计算!$X$10:$X$109,MATCH("W"&amp;TimingTasks[[#This Row],[WBS]],排期计算!$AG$10:$AG$109,0)))</f>
        <v/>
      </c>
    </row>
    <row r="17" spans="1:16" ht="24.95" customHeight="1">
      <c r="A17" s="20"/>
      <c r="B17" s="21"/>
      <c r="C17" s="21"/>
      <c r="D17" s="22"/>
      <c r="E17" s="22"/>
      <c r="F17" s="24" t="str">
        <f>IF(TimingTasks[[#This Row],[WBS]]="","",INDEX(排期计算!$F$10:$F$109,MATCH("W"&amp;TimingTasks[[#This Row],[WBS]],排期计算!$AG$10:$AG$109,0)))</f>
        <v/>
      </c>
      <c r="G17" s="23"/>
      <c r="H17" s="20"/>
      <c r="I17" s="21"/>
      <c r="J17" s="21"/>
      <c r="K17" s="17" t="str">
        <f>IF(TimingTasks[[#This Row],[WBS]]="","",INDEX(排期计算!$K$10:$K$109,MATCH("W"&amp;TimingTasks[[#This Row],[WBS]],排期计算!$AG$10:$AG$109,0)))</f>
        <v/>
      </c>
      <c r="L17" s="17" t="str">
        <f>IF(TimingTasks[[#This Row],[WBS]]="","",INDEX(排期计算!$L$10:$L$109,MATCH("W"&amp;TimingTasks[[#This Row],[WBS]],排期计算!$AG$10:$AG$109,0)))</f>
        <v/>
      </c>
      <c r="M17" s="18" t="str">
        <f>IF(TimingTasks[[#This Row],[WBS]]="","",INDEX(排期计算!$M$10:$M$109,MATCH("W"&amp;TimingTasks[[#This Row],[WBS]],排期计算!$AG$10:$AG$109,0)))</f>
        <v/>
      </c>
      <c r="N17" s="18" t="str">
        <f>IF(TimingTasks[[#This Row],[WBS]]="","",INDEX(排期计算!$N$10:$N$109,MATCH("W"&amp;TimingTasks[[#This Row],[WBS]],排期计算!$AG$10:$AG$109,0)))</f>
        <v/>
      </c>
      <c r="O17" s="19" t="str">
        <f>IF(TimingTasks[[#This Row],[WBS]]="","",INDEX(排期计算!$O$10:$O$109,MATCH("W"&amp;TimingTasks[[#This Row],[WBS]],排期计算!$AG$10:$AG$109,0)))</f>
        <v/>
      </c>
      <c r="P17" s="17" t="str">
        <f>IF(TimingTasks[[#This Row],[WBS]]="","",INDEX(排期计算!$X$10:$X$109,MATCH("W"&amp;TimingTasks[[#This Row],[WBS]],排期计算!$AG$10:$AG$109,0)))</f>
        <v/>
      </c>
    </row>
    <row r="18" spans="1:16" ht="24.95" customHeight="1">
      <c r="A18" s="20"/>
      <c r="B18" s="21"/>
      <c r="C18" s="21"/>
      <c r="D18" s="22"/>
      <c r="E18" s="22"/>
      <c r="F18" s="24" t="str">
        <f>IF(TimingTasks[[#This Row],[WBS]]="","",INDEX(排期计算!$F$10:$F$109,MATCH("W"&amp;TimingTasks[[#This Row],[WBS]],排期计算!$AG$10:$AG$109,0)))</f>
        <v/>
      </c>
      <c r="G18" s="23"/>
      <c r="H18" s="20"/>
      <c r="I18" s="21"/>
      <c r="J18" s="21"/>
      <c r="K18" s="17" t="str">
        <f>IF(TimingTasks[[#This Row],[WBS]]="","",INDEX(排期计算!$K$10:$K$109,MATCH("W"&amp;TimingTasks[[#This Row],[WBS]],排期计算!$AG$10:$AG$109,0)))</f>
        <v/>
      </c>
      <c r="L18" s="17" t="str">
        <f>IF(TimingTasks[[#This Row],[WBS]]="","",INDEX(排期计算!$L$10:$L$109,MATCH("W"&amp;TimingTasks[[#This Row],[WBS]],排期计算!$AG$10:$AG$109,0)))</f>
        <v/>
      </c>
      <c r="M18" s="18" t="str">
        <f>IF(TimingTasks[[#This Row],[WBS]]="","",INDEX(排期计算!$M$10:$M$109,MATCH("W"&amp;TimingTasks[[#This Row],[WBS]],排期计算!$AG$10:$AG$109,0)))</f>
        <v/>
      </c>
      <c r="N18" s="18" t="str">
        <f>IF(TimingTasks[[#This Row],[WBS]]="","",INDEX(排期计算!$N$10:$N$109,MATCH("W"&amp;TimingTasks[[#This Row],[WBS]],排期计算!$AG$10:$AG$109,0)))</f>
        <v/>
      </c>
      <c r="O18" s="19" t="str">
        <f>IF(TimingTasks[[#This Row],[WBS]]="","",INDEX(排期计算!$O$10:$O$109,MATCH("W"&amp;TimingTasks[[#This Row],[WBS]],排期计算!$AG$10:$AG$109,0)))</f>
        <v/>
      </c>
      <c r="P18" s="17" t="str">
        <f>IF(TimingTasks[[#This Row],[WBS]]="","",INDEX(排期计算!$X$10:$X$109,MATCH("W"&amp;TimingTasks[[#This Row],[WBS]],排期计算!$AG$10:$AG$109,0)))</f>
        <v/>
      </c>
    </row>
    <row r="19" spans="1:16" ht="24.95" customHeight="1">
      <c r="A19" s="20"/>
      <c r="B19" s="21"/>
      <c r="C19" s="21"/>
      <c r="D19" s="22"/>
      <c r="E19" s="22"/>
      <c r="F19" s="24" t="str">
        <f>IF(TimingTasks[[#This Row],[WBS]]="","",INDEX(排期计算!$F$10:$F$109,MATCH("W"&amp;TimingTasks[[#This Row],[WBS]],排期计算!$AG$10:$AG$109,0)))</f>
        <v/>
      </c>
      <c r="G19" s="23"/>
      <c r="H19" s="20"/>
      <c r="I19" s="21"/>
      <c r="J19" s="21"/>
      <c r="K19" s="17" t="str">
        <f>IF(TimingTasks[[#This Row],[WBS]]="","",INDEX(排期计算!$K$10:$K$109,MATCH("W"&amp;TimingTasks[[#This Row],[WBS]],排期计算!$AG$10:$AG$109,0)))</f>
        <v/>
      </c>
      <c r="L19" s="17" t="str">
        <f>IF(TimingTasks[[#This Row],[WBS]]="","",INDEX(排期计算!$L$10:$L$109,MATCH("W"&amp;TimingTasks[[#This Row],[WBS]],排期计算!$AG$10:$AG$109,0)))</f>
        <v/>
      </c>
      <c r="M19" s="18" t="str">
        <f>IF(TimingTasks[[#This Row],[WBS]]="","",INDEX(排期计算!$M$10:$M$109,MATCH("W"&amp;TimingTasks[[#This Row],[WBS]],排期计算!$AG$10:$AG$109,0)))</f>
        <v/>
      </c>
      <c r="N19" s="18" t="str">
        <f>IF(TimingTasks[[#This Row],[WBS]]="","",INDEX(排期计算!$N$10:$N$109,MATCH("W"&amp;TimingTasks[[#This Row],[WBS]],排期计算!$AG$10:$AG$109,0)))</f>
        <v/>
      </c>
      <c r="O19" s="19" t="str">
        <f>IF(TimingTasks[[#This Row],[WBS]]="","",INDEX(排期计算!$O$10:$O$109,MATCH("W"&amp;TimingTasks[[#This Row],[WBS]],排期计算!$AG$10:$AG$109,0)))</f>
        <v/>
      </c>
      <c r="P19" s="17" t="str">
        <f>IF(TimingTasks[[#This Row],[WBS]]="","",INDEX(排期计算!$X$10:$X$109,MATCH("W"&amp;TimingTasks[[#This Row],[WBS]],排期计算!$AG$10:$AG$109,0)))</f>
        <v/>
      </c>
    </row>
    <row r="20" spans="1:16" ht="24.95" customHeight="1">
      <c r="A20" s="20"/>
      <c r="B20" s="21"/>
      <c r="C20" s="21"/>
      <c r="D20" s="22"/>
      <c r="E20" s="22"/>
      <c r="F20" s="24" t="str">
        <f>IF(TimingTasks[[#This Row],[WBS]]="","",INDEX(排期计算!$F$10:$F$109,MATCH("W"&amp;TimingTasks[[#This Row],[WBS]],排期计算!$AG$10:$AG$109,0)))</f>
        <v/>
      </c>
      <c r="G20" s="23"/>
      <c r="H20" s="20"/>
      <c r="I20" s="21"/>
      <c r="J20" s="21"/>
      <c r="K20" s="17" t="str">
        <f>IF(TimingTasks[[#This Row],[WBS]]="","",INDEX(排期计算!$K$10:$K$109,MATCH("W"&amp;TimingTasks[[#This Row],[WBS]],排期计算!$AG$10:$AG$109,0)))</f>
        <v/>
      </c>
      <c r="L20" s="17" t="str">
        <f>IF(TimingTasks[[#This Row],[WBS]]="","",INDEX(排期计算!$L$10:$L$109,MATCH("W"&amp;TimingTasks[[#This Row],[WBS]],排期计算!$AG$10:$AG$109,0)))</f>
        <v/>
      </c>
      <c r="M20" s="18" t="str">
        <f>IF(TimingTasks[[#This Row],[WBS]]="","",INDEX(排期计算!$M$10:$M$109,MATCH("W"&amp;TimingTasks[[#This Row],[WBS]],排期计算!$AG$10:$AG$109,0)))</f>
        <v/>
      </c>
      <c r="N20" s="18" t="str">
        <f>IF(TimingTasks[[#This Row],[WBS]]="","",INDEX(排期计算!$N$10:$N$109,MATCH("W"&amp;TimingTasks[[#This Row],[WBS]],排期计算!$AG$10:$AG$109,0)))</f>
        <v/>
      </c>
      <c r="O20" s="19" t="str">
        <f>IF(TimingTasks[[#This Row],[WBS]]="","",INDEX(排期计算!$O$10:$O$109,MATCH("W"&amp;TimingTasks[[#This Row],[WBS]],排期计算!$AG$10:$AG$109,0)))</f>
        <v/>
      </c>
      <c r="P20" s="17" t="str">
        <f>IF(TimingTasks[[#This Row],[WBS]]="","",INDEX(排期计算!$X$10:$X$109,MATCH("W"&amp;TimingTasks[[#This Row],[WBS]],排期计算!$AG$10:$AG$109,0)))</f>
        <v/>
      </c>
    </row>
    <row r="21" spans="1:16" ht="24.95" customHeight="1">
      <c r="A21" s="20"/>
      <c r="B21" s="21"/>
      <c r="C21" s="21"/>
      <c r="D21" s="22"/>
      <c r="E21" s="22"/>
      <c r="F21" s="24" t="str">
        <f>IF(TimingTasks[[#This Row],[WBS]]="","",INDEX(排期计算!$F$10:$F$109,MATCH("W"&amp;TimingTasks[[#This Row],[WBS]],排期计算!$AG$10:$AG$109,0)))</f>
        <v/>
      </c>
      <c r="G21" s="23"/>
      <c r="H21" s="20"/>
      <c r="I21" s="21"/>
      <c r="J21" s="21"/>
      <c r="K21" s="17" t="str">
        <f>IF(TimingTasks[[#This Row],[WBS]]="","",INDEX(排期计算!$K$10:$K$109,MATCH("W"&amp;TimingTasks[[#This Row],[WBS]],排期计算!$AG$10:$AG$109,0)))</f>
        <v/>
      </c>
      <c r="L21" s="17" t="str">
        <f>IF(TimingTasks[[#This Row],[WBS]]="","",INDEX(排期计算!$L$10:$L$109,MATCH("W"&amp;TimingTasks[[#This Row],[WBS]],排期计算!$AG$10:$AG$109,0)))</f>
        <v/>
      </c>
      <c r="M21" s="18" t="str">
        <f>IF(TimingTasks[[#This Row],[WBS]]="","",INDEX(排期计算!$M$10:$M$109,MATCH("W"&amp;TimingTasks[[#This Row],[WBS]],排期计算!$AG$10:$AG$109,0)))</f>
        <v/>
      </c>
      <c r="N21" s="18" t="str">
        <f>IF(TimingTasks[[#This Row],[WBS]]="","",INDEX(排期计算!$N$10:$N$109,MATCH("W"&amp;TimingTasks[[#This Row],[WBS]],排期计算!$AG$10:$AG$109,0)))</f>
        <v/>
      </c>
      <c r="O21" s="19" t="str">
        <f>IF(TimingTasks[[#This Row],[WBS]]="","",INDEX(排期计算!$O$10:$O$109,MATCH("W"&amp;TimingTasks[[#This Row],[WBS]],排期计算!$AG$10:$AG$109,0)))</f>
        <v/>
      </c>
      <c r="P21" s="17" t="str">
        <f>IF(TimingTasks[[#This Row],[WBS]]="","",INDEX(排期计算!$X$10:$X$109,MATCH("W"&amp;TimingTasks[[#This Row],[WBS]],排期计算!$AG$10:$AG$109,0)))</f>
        <v/>
      </c>
    </row>
    <row r="22" spans="1:16" ht="24.95" customHeight="1">
      <c r="A22" s="20"/>
      <c r="B22" s="21"/>
      <c r="C22" s="21"/>
      <c r="D22" s="22"/>
      <c r="E22" s="22"/>
      <c r="F22" s="24" t="str">
        <f>IF(TimingTasks[[#This Row],[WBS]]="","",INDEX(排期计算!$F$10:$F$109,MATCH("W"&amp;TimingTasks[[#This Row],[WBS]],排期计算!$AG$10:$AG$109,0)))</f>
        <v/>
      </c>
      <c r="G22" s="23"/>
      <c r="H22" s="20"/>
      <c r="I22" s="21"/>
      <c r="J22" s="21"/>
      <c r="K22" s="17" t="str">
        <f>IF(TimingTasks[[#This Row],[WBS]]="","",INDEX(排期计算!$K$10:$K$109,MATCH("W"&amp;TimingTasks[[#This Row],[WBS]],排期计算!$AG$10:$AG$109,0)))</f>
        <v/>
      </c>
      <c r="L22" s="17" t="str">
        <f>IF(TimingTasks[[#This Row],[WBS]]="","",INDEX(排期计算!$L$10:$L$109,MATCH("W"&amp;TimingTasks[[#This Row],[WBS]],排期计算!$AG$10:$AG$109,0)))</f>
        <v/>
      </c>
      <c r="M22" s="18" t="str">
        <f>IF(TimingTasks[[#This Row],[WBS]]="","",INDEX(排期计算!$M$10:$M$109,MATCH("W"&amp;TimingTasks[[#This Row],[WBS]],排期计算!$AG$10:$AG$109,0)))</f>
        <v/>
      </c>
      <c r="N22" s="18" t="str">
        <f>IF(TimingTasks[[#This Row],[WBS]]="","",INDEX(排期计算!$N$10:$N$109,MATCH("W"&amp;TimingTasks[[#This Row],[WBS]],排期计算!$AG$10:$AG$109,0)))</f>
        <v/>
      </c>
      <c r="O22" s="19" t="str">
        <f>IF(TimingTasks[[#This Row],[WBS]]="","",INDEX(排期计算!$O$10:$O$109,MATCH("W"&amp;TimingTasks[[#This Row],[WBS]],排期计算!$AG$10:$AG$109,0)))</f>
        <v/>
      </c>
      <c r="P22" s="17" t="str">
        <f>IF(TimingTasks[[#This Row],[WBS]]="","",INDEX(排期计算!$X$10:$X$109,MATCH("W"&amp;TimingTasks[[#This Row],[WBS]],排期计算!$AG$10:$AG$109,0)))</f>
        <v/>
      </c>
    </row>
    <row r="23" spans="1:16" ht="24.95" customHeight="1">
      <c r="A23" s="20"/>
      <c r="B23" s="21"/>
      <c r="C23" s="21"/>
      <c r="D23" s="22"/>
      <c r="E23" s="22"/>
      <c r="F23" s="24" t="str">
        <f>IF(TimingTasks[[#This Row],[WBS]]="","",INDEX(排期计算!$F$10:$F$109,MATCH("W"&amp;TimingTasks[[#This Row],[WBS]],排期计算!$AG$10:$AG$109,0)))</f>
        <v/>
      </c>
      <c r="G23" s="23"/>
      <c r="H23" s="20"/>
      <c r="I23" s="21"/>
      <c r="J23" s="21"/>
      <c r="K23" s="17" t="str">
        <f>IF(TimingTasks[[#This Row],[WBS]]="","",INDEX(排期计算!$K$10:$K$109,MATCH("W"&amp;TimingTasks[[#This Row],[WBS]],排期计算!$AG$10:$AG$109,0)))</f>
        <v/>
      </c>
      <c r="L23" s="17" t="str">
        <f>IF(TimingTasks[[#This Row],[WBS]]="","",INDEX(排期计算!$L$10:$L$109,MATCH("W"&amp;TimingTasks[[#This Row],[WBS]],排期计算!$AG$10:$AG$109,0)))</f>
        <v/>
      </c>
      <c r="M23" s="18" t="str">
        <f>IF(TimingTasks[[#This Row],[WBS]]="","",INDEX(排期计算!$M$10:$M$109,MATCH("W"&amp;TimingTasks[[#This Row],[WBS]],排期计算!$AG$10:$AG$109,0)))</f>
        <v/>
      </c>
      <c r="N23" s="18" t="str">
        <f>IF(TimingTasks[[#This Row],[WBS]]="","",INDEX(排期计算!$N$10:$N$109,MATCH("W"&amp;TimingTasks[[#This Row],[WBS]],排期计算!$AG$10:$AG$109,0)))</f>
        <v/>
      </c>
      <c r="O23" s="19" t="str">
        <f>IF(TimingTasks[[#This Row],[WBS]]="","",INDEX(排期计算!$O$10:$O$109,MATCH("W"&amp;TimingTasks[[#This Row],[WBS]],排期计算!$AG$10:$AG$109,0)))</f>
        <v/>
      </c>
      <c r="P23" s="17" t="str">
        <f>IF(TimingTasks[[#This Row],[WBS]]="","",INDEX(排期计算!$X$10:$X$109,MATCH("W"&amp;TimingTasks[[#This Row],[WBS]],排期计算!$AG$10:$AG$109,0)))</f>
        <v/>
      </c>
    </row>
    <row r="24" spans="1:16" ht="24.95" customHeight="1">
      <c r="A24" s="20"/>
      <c r="B24" s="21"/>
      <c r="C24" s="21"/>
      <c r="D24" s="22"/>
      <c r="E24" s="22"/>
      <c r="F24" s="24" t="str">
        <f>IF(TimingTasks[[#This Row],[WBS]]="","",INDEX(排期计算!$F$10:$F$109,MATCH("W"&amp;TimingTasks[[#This Row],[WBS]],排期计算!$AG$10:$AG$109,0)))</f>
        <v/>
      </c>
      <c r="G24" s="23"/>
      <c r="H24" s="20"/>
      <c r="I24" s="21"/>
      <c r="J24" s="21"/>
      <c r="K24" s="17" t="str">
        <f>IF(TimingTasks[[#This Row],[WBS]]="","",INDEX(排期计算!$K$10:$K$109,MATCH("W"&amp;TimingTasks[[#This Row],[WBS]],排期计算!$AG$10:$AG$109,0)))</f>
        <v/>
      </c>
      <c r="L24" s="17" t="str">
        <f>IF(TimingTasks[[#This Row],[WBS]]="","",INDEX(排期计算!$L$10:$L$109,MATCH("W"&amp;TimingTasks[[#This Row],[WBS]],排期计算!$AG$10:$AG$109,0)))</f>
        <v/>
      </c>
      <c r="M24" s="18" t="str">
        <f>IF(TimingTasks[[#This Row],[WBS]]="","",INDEX(排期计算!$M$10:$M$109,MATCH("W"&amp;TimingTasks[[#This Row],[WBS]],排期计算!$AG$10:$AG$109,0)))</f>
        <v/>
      </c>
      <c r="N24" s="18" t="str">
        <f>IF(TimingTasks[[#This Row],[WBS]]="","",INDEX(排期计算!$N$10:$N$109,MATCH("W"&amp;TimingTasks[[#This Row],[WBS]],排期计算!$AG$10:$AG$109,0)))</f>
        <v/>
      </c>
      <c r="O24" s="19" t="str">
        <f>IF(TimingTasks[[#This Row],[WBS]]="","",INDEX(排期计算!$O$10:$O$109,MATCH("W"&amp;TimingTasks[[#This Row],[WBS]],排期计算!$AG$10:$AG$109,0)))</f>
        <v/>
      </c>
      <c r="P24" s="17" t="str">
        <f>IF(TimingTasks[[#This Row],[WBS]]="","",INDEX(排期计算!$X$10:$X$109,MATCH("W"&amp;TimingTasks[[#This Row],[WBS]],排期计算!$AG$10:$AG$109,0)))</f>
        <v/>
      </c>
    </row>
    <row r="25" spans="1:16" ht="24.95" customHeight="1">
      <c r="A25" s="20"/>
      <c r="B25" s="21"/>
      <c r="C25" s="21"/>
      <c r="D25" s="22"/>
      <c r="E25" s="22"/>
      <c r="F25" s="24" t="str">
        <f>IF(TimingTasks[[#This Row],[WBS]]="","",INDEX(排期计算!$F$10:$F$109,MATCH("W"&amp;TimingTasks[[#This Row],[WBS]],排期计算!$AG$10:$AG$109,0)))</f>
        <v/>
      </c>
      <c r="G25" s="23"/>
      <c r="H25" s="20"/>
      <c r="I25" s="21"/>
      <c r="J25" s="21"/>
      <c r="K25" s="17" t="str">
        <f>IF(TimingTasks[[#This Row],[WBS]]="","",INDEX(排期计算!$K$10:$K$109,MATCH("W"&amp;TimingTasks[[#This Row],[WBS]],排期计算!$AG$10:$AG$109,0)))</f>
        <v/>
      </c>
      <c r="L25" s="17" t="str">
        <f>IF(TimingTasks[[#This Row],[WBS]]="","",INDEX(排期计算!$L$10:$L$109,MATCH("W"&amp;TimingTasks[[#This Row],[WBS]],排期计算!$AG$10:$AG$109,0)))</f>
        <v/>
      </c>
      <c r="M25" s="18" t="str">
        <f>IF(TimingTasks[[#This Row],[WBS]]="","",INDEX(排期计算!$M$10:$M$109,MATCH("W"&amp;TimingTasks[[#This Row],[WBS]],排期计算!$AG$10:$AG$109,0)))</f>
        <v/>
      </c>
      <c r="N25" s="18" t="str">
        <f>IF(TimingTasks[[#This Row],[WBS]]="","",INDEX(排期计算!$N$10:$N$109,MATCH("W"&amp;TimingTasks[[#This Row],[WBS]],排期计算!$AG$10:$AG$109,0)))</f>
        <v/>
      </c>
      <c r="O25" s="19" t="str">
        <f>IF(TimingTasks[[#This Row],[WBS]]="","",INDEX(排期计算!$O$10:$O$109,MATCH("W"&amp;TimingTasks[[#This Row],[WBS]],排期计算!$AG$10:$AG$109,0)))</f>
        <v/>
      </c>
      <c r="P25" s="17" t="str">
        <f>IF(TimingTasks[[#This Row],[WBS]]="","",INDEX(排期计算!$X$10:$X$109,MATCH("W"&amp;TimingTasks[[#This Row],[WBS]],排期计算!$AG$10:$AG$109,0)))</f>
        <v/>
      </c>
    </row>
    <row r="26" spans="1:16" ht="24.95" customHeight="1">
      <c r="A26" s="20"/>
      <c r="B26" s="21"/>
      <c r="C26" s="21"/>
      <c r="D26" s="22"/>
      <c r="E26" s="22"/>
      <c r="F26" s="24" t="str">
        <f>IF(TimingTasks[[#This Row],[WBS]]="","",INDEX(排期计算!$F$10:$F$109,MATCH("W"&amp;TimingTasks[[#This Row],[WBS]],排期计算!$AG$10:$AG$109,0)))</f>
        <v/>
      </c>
      <c r="G26" s="23"/>
      <c r="H26" s="20"/>
      <c r="I26" s="21"/>
      <c r="J26" s="21"/>
      <c r="K26" s="17" t="str">
        <f>IF(TimingTasks[[#This Row],[WBS]]="","",INDEX(排期计算!$K$10:$K$109,MATCH("W"&amp;TimingTasks[[#This Row],[WBS]],排期计算!$AG$10:$AG$109,0)))</f>
        <v/>
      </c>
      <c r="L26" s="17" t="str">
        <f>IF(TimingTasks[[#This Row],[WBS]]="","",INDEX(排期计算!$L$10:$L$109,MATCH("W"&amp;TimingTasks[[#This Row],[WBS]],排期计算!$AG$10:$AG$109,0)))</f>
        <v/>
      </c>
      <c r="M26" s="18" t="str">
        <f>IF(TimingTasks[[#This Row],[WBS]]="","",INDEX(排期计算!$M$10:$M$109,MATCH("W"&amp;TimingTasks[[#This Row],[WBS]],排期计算!$AG$10:$AG$109,0)))</f>
        <v/>
      </c>
      <c r="N26" s="18" t="str">
        <f>IF(TimingTasks[[#This Row],[WBS]]="","",INDEX(排期计算!$N$10:$N$109,MATCH("W"&amp;TimingTasks[[#This Row],[WBS]],排期计算!$AG$10:$AG$109,0)))</f>
        <v/>
      </c>
      <c r="O26" s="19" t="str">
        <f>IF(TimingTasks[[#This Row],[WBS]]="","",INDEX(排期计算!$O$10:$O$109,MATCH("W"&amp;TimingTasks[[#This Row],[WBS]],排期计算!$AG$10:$AG$109,0)))</f>
        <v/>
      </c>
      <c r="P26" s="17" t="str">
        <f>IF(TimingTasks[[#This Row],[WBS]]="","",INDEX(排期计算!$X$10:$X$109,MATCH("W"&amp;TimingTasks[[#This Row],[WBS]],排期计算!$AG$10:$AG$109,0)))</f>
        <v/>
      </c>
    </row>
    <row r="27" spans="1:16" ht="24.95" customHeight="1">
      <c r="A27" s="20"/>
      <c r="B27" s="21"/>
      <c r="C27" s="21"/>
      <c r="D27" s="22"/>
      <c r="E27" s="22"/>
      <c r="F27" s="24" t="str">
        <f>IF(TimingTasks[[#This Row],[WBS]]="","",INDEX(排期计算!$F$10:$F$109,MATCH("W"&amp;TimingTasks[[#This Row],[WBS]],排期计算!$AG$10:$AG$109,0)))</f>
        <v/>
      </c>
      <c r="G27" s="23"/>
      <c r="H27" s="20"/>
      <c r="I27" s="21"/>
      <c r="J27" s="21"/>
      <c r="K27" s="17" t="str">
        <f>IF(TimingTasks[[#This Row],[WBS]]="","",INDEX(排期计算!$K$10:$K$109,MATCH("W"&amp;TimingTasks[[#This Row],[WBS]],排期计算!$AG$10:$AG$109,0)))</f>
        <v/>
      </c>
      <c r="L27" s="17" t="str">
        <f>IF(TimingTasks[[#This Row],[WBS]]="","",INDEX(排期计算!$L$10:$L$109,MATCH("W"&amp;TimingTasks[[#This Row],[WBS]],排期计算!$AG$10:$AG$109,0)))</f>
        <v/>
      </c>
      <c r="M27" s="18" t="str">
        <f>IF(TimingTasks[[#This Row],[WBS]]="","",INDEX(排期计算!$M$10:$M$109,MATCH("W"&amp;TimingTasks[[#This Row],[WBS]],排期计算!$AG$10:$AG$109,0)))</f>
        <v/>
      </c>
      <c r="N27" s="18" t="str">
        <f>IF(TimingTasks[[#This Row],[WBS]]="","",INDEX(排期计算!$N$10:$N$109,MATCH("W"&amp;TimingTasks[[#This Row],[WBS]],排期计算!$AG$10:$AG$109,0)))</f>
        <v/>
      </c>
      <c r="O27" s="19" t="str">
        <f>IF(TimingTasks[[#This Row],[WBS]]="","",INDEX(排期计算!$O$10:$O$109,MATCH("W"&amp;TimingTasks[[#This Row],[WBS]],排期计算!$AG$10:$AG$109,0)))</f>
        <v/>
      </c>
      <c r="P27" s="17" t="str">
        <f>IF(TimingTasks[[#This Row],[WBS]]="","",INDEX(排期计算!$X$10:$X$109,MATCH("W"&amp;TimingTasks[[#This Row],[WBS]],排期计算!$AG$10:$AG$109,0)))</f>
        <v/>
      </c>
    </row>
    <row r="28" spans="1:16" ht="24.95" customHeight="1">
      <c r="A28" s="20"/>
      <c r="B28" s="21"/>
      <c r="C28" s="21"/>
      <c r="D28" s="22"/>
      <c r="E28" s="22"/>
      <c r="F28" s="24" t="str">
        <f>IF(TimingTasks[[#This Row],[WBS]]="","",INDEX(排期计算!$F$10:$F$109,MATCH("W"&amp;TimingTasks[[#This Row],[WBS]],排期计算!$AG$10:$AG$109,0)))</f>
        <v/>
      </c>
      <c r="G28" s="23"/>
      <c r="H28" s="20"/>
      <c r="I28" s="21"/>
      <c r="J28" s="21"/>
      <c r="K28" s="17" t="str">
        <f>IF(TimingTasks[[#This Row],[WBS]]="","",INDEX(排期计算!$K$10:$K$109,MATCH("W"&amp;TimingTasks[[#This Row],[WBS]],排期计算!$AG$10:$AG$109,0)))</f>
        <v/>
      </c>
      <c r="L28" s="17" t="str">
        <f>IF(TimingTasks[[#This Row],[WBS]]="","",INDEX(排期计算!$L$10:$L$109,MATCH("W"&amp;TimingTasks[[#This Row],[WBS]],排期计算!$AG$10:$AG$109,0)))</f>
        <v/>
      </c>
      <c r="M28" s="18" t="str">
        <f>IF(TimingTasks[[#This Row],[WBS]]="","",INDEX(排期计算!$M$10:$M$109,MATCH("W"&amp;TimingTasks[[#This Row],[WBS]],排期计算!$AG$10:$AG$109,0)))</f>
        <v/>
      </c>
      <c r="N28" s="18" t="str">
        <f>IF(TimingTasks[[#This Row],[WBS]]="","",INDEX(排期计算!$N$10:$N$109,MATCH("W"&amp;TimingTasks[[#This Row],[WBS]],排期计算!$AG$10:$AG$109,0)))</f>
        <v/>
      </c>
      <c r="O28" s="19" t="str">
        <f>IF(TimingTasks[[#This Row],[WBS]]="","",INDEX(排期计算!$O$10:$O$109,MATCH("W"&amp;TimingTasks[[#This Row],[WBS]],排期计算!$AG$10:$AG$109,0)))</f>
        <v/>
      </c>
      <c r="P28" s="17" t="str">
        <f>IF(TimingTasks[[#This Row],[WBS]]="","",INDEX(排期计算!$X$10:$X$109,MATCH("W"&amp;TimingTasks[[#This Row],[WBS]],排期计算!$AG$10:$AG$109,0)))</f>
        <v/>
      </c>
    </row>
    <row r="29" spans="1:16" ht="24.95" customHeight="1">
      <c r="A29" s="20"/>
      <c r="B29" s="21"/>
      <c r="C29" s="21"/>
      <c r="D29" s="22"/>
      <c r="E29" s="22"/>
      <c r="F29" s="24" t="str">
        <f>IF(TimingTasks[[#This Row],[WBS]]="","",INDEX(排期计算!$F$10:$F$109,MATCH("W"&amp;TimingTasks[[#This Row],[WBS]],排期计算!$AG$10:$AG$109,0)))</f>
        <v/>
      </c>
      <c r="G29" s="23"/>
      <c r="H29" s="20"/>
      <c r="I29" s="21"/>
      <c r="J29" s="21"/>
      <c r="K29" s="17" t="str">
        <f>IF(TimingTasks[[#This Row],[WBS]]="","",INDEX(排期计算!$K$10:$K$109,MATCH("W"&amp;TimingTasks[[#This Row],[WBS]],排期计算!$AG$10:$AG$109,0)))</f>
        <v/>
      </c>
      <c r="L29" s="17" t="str">
        <f>IF(TimingTasks[[#This Row],[WBS]]="","",INDEX(排期计算!$L$10:$L$109,MATCH("W"&amp;TimingTasks[[#This Row],[WBS]],排期计算!$AG$10:$AG$109,0)))</f>
        <v/>
      </c>
      <c r="M29" s="18" t="str">
        <f>IF(TimingTasks[[#This Row],[WBS]]="","",INDEX(排期计算!$M$10:$M$109,MATCH("W"&amp;TimingTasks[[#This Row],[WBS]],排期计算!$AG$10:$AG$109,0)))</f>
        <v/>
      </c>
      <c r="N29" s="18" t="str">
        <f>IF(TimingTasks[[#This Row],[WBS]]="","",INDEX(排期计算!$N$10:$N$109,MATCH("W"&amp;TimingTasks[[#This Row],[WBS]],排期计算!$AG$10:$AG$109,0)))</f>
        <v/>
      </c>
      <c r="O29" s="19" t="str">
        <f>IF(TimingTasks[[#This Row],[WBS]]="","",INDEX(排期计算!$O$10:$O$109,MATCH("W"&amp;TimingTasks[[#This Row],[WBS]],排期计算!$AG$10:$AG$109,0)))</f>
        <v/>
      </c>
      <c r="P29" s="17" t="str">
        <f>IF(TimingTasks[[#This Row],[WBS]]="","",INDEX(排期计算!$X$10:$X$109,MATCH("W"&amp;TimingTasks[[#This Row],[WBS]],排期计算!$AG$10:$AG$109,0)))</f>
        <v/>
      </c>
    </row>
  </sheetData>
  <mergeCells count="6">
    <mergeCell ref="A7:N7"/>
    <mergeCell ref="D2:P2"/>
    <mergeCell ref="A3:N3"/>
    <mergeCell ref="A4:N4"/>
    <mergeCell ref="A5:N5"/>
    <mergeCell ref="A6:N6"/>
  </mergeCells>
  <conditionalFormatting sqref="A10:P29">
    <cfRule type="expression" dxfId="1" priority="1">
      <formula>AND($B10&lt;&gt;"",$K10="汇总")</formula>
    </cfRule>
  </conditionalFormatting>
  <conditionalFormatting sqref="P10:P29">
    <cfRule type="expression" dxfId="0" priority="2">
      <formula>AND($P10&lt;&gt;"",$P10&lt;&gt;"等待子任务",$P10&lt;&gt;"由下级汇总",$P10&lt;&gt;"待删除")</formula>
    </cfRule>
  </conditionalFormatting>
  <dataValidations count="3">
    <dataValidation type="list" showErrorMessage="1" errorTitle="请检查输入" error="请按下拉选项或数值范围填写。" sqref="I10:I110" xr:uid="{00000000-0002-0000-0100-000000000000}">
      <formula1>"普通任务,里程碑"</formula1>
    </dataValidation>
    <dataValidation type="list" showErrorMessage="1" errorTitle="请检查输入" error="请按下拉选项或数值范围填写。" sqref="J10:J110" xr:uid="{00000000-0002-0000-0100-000001000000}">
      <formula1>"保留,删除"</formula1>
    </dataValidation>
    <dataValidation type="decimal" showErrorMessage="1" errorTitle="请检查输入" error="请按下拉选项或数值范围填写。" sqref="G10:G110" xr:uid="{00000000-0002-0000-0100-000002000000}">
      <formula1>0</formula1>
      <formula2>1</formula2>
    </dataValidation>
  </dataValidations>
  <hyperlinks>
    <hyperlink ref="P10" location="'任务编辑'!P10" tooltip="PS1.eyJwcm9qZWN0SWQiOiJwIiwic291cmNlIjoiQ3AxUzhyUHE2Njd3al9BQzQtRFlONk9CY1JBWm5iQldzdjNNeXc5d3oxUSIsImlkIjoicGhhc2UifQ.4DeMFaiOEa5PMftJxNDxXX6kEMdbqQNCkXRZFwCxA2s"/>
    <hyperlink ref="P11" location="'任务编辑'!P11" tooltip="PS1.eyJwcm9qZWN0SWQiOiJwIiwic291cmNlIjoiQ3AxUzhyUHE2Njd3al9BQzQtRFlONk9CY1JBWm5iQldzdjNNeXc5d3oxUSIsImlkIjoiYSJ9.lnUAz85NHpOo9Oqdoylo7NHgWn-m_vqytgl31PecqUE"/>
    <hyperlink ref="P12" location="'任务编辑'!P12" tooltip="PS1.eyJwcm9qZWN0SWQiOiJwIiwic291cmNlIjoiQ3AxUzhyUHE2Njd3al9BQzQtRFlONk9CY1JBWm5iQldzdjNNeXc5d3oxUSIsImlkIjoiYiJ9.aN7MMYyDZfyQVNglGLJitMMWNCuInYVdyPxq5m9iwxg"/>
    <hyperlink ref="P13" location="'任务编辑'!P13" tooltip="PS1.eyJwcm9qZWN0SWQiOiJwIiwic291cmNlIjoiQ3AxUzhyUHE2Njd3al9BQzQtRFlONk9CY1JBWm5iQldzdjNNeXc5d3oxUSIsImlkIjoiYyJ9.iMMg7F-5BsIsDJ4YGhnwLA5kJMa1qRZV0bO9mVK4lkM"/>
    <hyperlink ref="P14" location="'任务编辑'!P14" tooltip="PS1.eyJwcm9qZWN0SWQiOiJwIiwic291cmNlIjoiQ3AxUzhyUHE2Njd3al9BQzQtRFlONk9CY1JBWm5iQldzdjNNeXc5d3oxUSIsImlkIjoicGhhc2UyIn0.D84DTYJGye2aZCEfN2unHz0QcJPYvvB5HjPjvZRBAZY"/>
    <hyperlink ref="P15" location="'任务编辑'!P15" tooltip="PS1.eyJwcm9qZWN0SWQiOiJwIiwic291cmNlIjoiQ3AxUzhyUHE2Njd3al9BQzQtRFlONk9CY1JBWm5iQldzdjNNeXc5d3oxUSIsImlkIjoiZCJ9.INJaSMAhd6Vy522EtewW2Z6Smz0NLkv-xlomK18fdrg"/>
    <hyperlink ref="P16" location="'任务编辑'!P16" tooltip="PS1.eyJwcm9qZWN0SWQiOiJwIiwic291cmNlIjoiQ3AxUzhyUHE2Njd3al9BQzQtRFlONk9CY1JBWm5iQldzdjNNeXc5d3oxUSIsImlkIjoiZSJ9._xQmn-5O8igtrsavgFw04qxQKf8m2MN5bM6Nq_4aRSs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9:AG109"/>
  <sheetViews>
    <sheetView workbookViewId="0"/>
  </sheetViews>
  <sheetFormatPr defaultRowHeight="14.25"/>
  <sheetData>
    <row r="9" spans="1:33" ht="16.5">
      <c r="A9" s="4" t="inlineStr">
        <is>
          <t xml:space="preserve">WBS</t>
        </is>
      </c>
      <c r="B9" s="4" t="inlineStr">
        <is>
          <t xml:space="preserve">任务名称</t>
        </is>
      </c>
      <c r="C9" s="4" t="inlineStr">
        <is>
          <t xml:space="preserve">负责人</t>
        </is>
      </c>
      <c r="D9" s="4" t="inlineStr">
        <is>
          <t xml:space="preserve">输入开始</t>
        </is>
      </c>
      <c r="E9" s="4" t="inlineStr">
        <is>
          <t xml:space="preserve">输入结束</t>
        </is>
      </c>
      <c r="F9" s="4" t="inlineStr">
        <is>
          <t xml:space="preserve">工期(叶子)</t>
        </is>
      </c>
      <c r="G9" s="4" t="inlineStr">
        <is>
          <t xml:space="preserve">输入完成度</t>
        </is>
      </c>
      <c r="H9" s="4" t="inlineStr">
        <is>
          <t xml:space="preserve">前置任务 WBS</t>
        </is>
      </c>
      <c r="I9" s="4" t="inlineStr">
        <is>
          <t xml:space="preserve">叶子类型</t>
        </is>
      </c>
      <c r="J9" s="4" t="inlineStr">
        <is>
          <t xml:space="preserve">操作</t>
        </is>
      </c>
      <c r="K9" s="4" t="inlineStr">
        <is>
          <t xml:space="preserve">实际类型</t>
        </is>
      </c>
      <c r="L9" s="4" t="inlineStr">
        <is>
          <t xml:space="preserve">层级</t>
        </is>
      </c>
      <c r="M9" s="4" t="inlineStr">
        <is>
          <t xml:space="preserve">生效开始</t>
        </is>
      </c>
      <c r="N9" s="4" t="inlineStr">
        <is>
          <t xml:space="preserve">生效结束</t>
        </is>
      </c>
      <c r="O9" s="4" t="inlineStr">
        <is>
          <t xml:space="preserve">生效完成度</t>
        </is>
      </c>
      <c r="P9" s="4" t="inlineStr">
        <is>
          <t xml:space="preserve">参与计算</t>
        </is>
      </c>
      <c r="Q9" s="4" t="inlineStr">
        <is>
          <t xml:space="preserve">叶子权重</t>
        </is>
      </c>
      <c r="R9" s="4" t="inlineStr">
        <is>
          <t xml:space="preserve">加权完成</t>
        </is>
      </c>
      <c r="S9" s="4" t="inlineStr">
        <is>
          <t xml:space="preserve">排序编码</t>
        </is>
      </c>
      <c r="T9" s="4" t="inlineStr">
        <is>
          <t xml:space="preserve">显示标记</t>
        </is>
      </c>
      <c r="U9" s="4" t="inlineStr">
        <is>
          <t xml:space="preserve">显示序号</t>
        </is>
      </c>
      <c r="V9" s="4" t="inlineStr">
        <is>
          <t xml:space="preserve">父 WBS</t>
        </is>
      </c>
      <c r="W9" s="4" t="inlineStr">
        <is>
          <t xml:space="preserve">顶层 WBS</t>
        </is>
      </c>
      <c r="X9" s="4" t="inlineStr">
        <is>
          <t xml:space="preserve">填写检查</t>
        </is>
      </c>
      <c r="Y9" s="4" t="inlineStr">
        <is>
          <t xml:space="preserve">叶子开始</t>
        </is>
      </c>
      <c r="Z9" s="4" t="inlineStr">
        <is>
          <t xml:space="preserve">叶子结束</t>
        </is>
      </c>
      <c r="AA9" s="4" t="inlineStr">
        <is>
          <t xml:space="preserve">叶子标记</t>
        </is>
      </c>
      <c r="AB9" s="4" t="inlineStr">
        <is>
          <t xml:space="preserve">一级段</t>
        </is>
      </c>
      <c r="AC9" s="4" t="inlineStr">
        <is>
          <t xml:space="preserve">二级段</t>
        </is>
      </c>
      <c r="AD9" s="4" t="inlineStr">
        <is>
          <t xml:space="preserve">三级段</t>
        </is>
      </c>
      <c r="AE9" s="4" t="inlineStr">
        <is>
          <t xml:space="preserve">编号有效</t>
        </is>
      </c>
      <c r="AF9" s="4" t="inlineStr">
        <is>
          <t xml:space="preserve">样品 ID</t>
        </is>
      </c>
    </row>
    <row r="10" spans="1:33" ht="16.5">
      <c r="A10" s="12" t="str">
        <f>IF(ROW()-9&gt;ROWS(TimingTasks[WBS]),"",IF(AND(INDEX(TimingTasks[WBS],ROW()-9)="",NOT(ISNUMBER(INDEX(TimingTasks[WBS],ROW()-9)))),"",INDEX(TimingTasks[WBS],ROW()-9)))</f>
        <v>1</v>
      </c>
      <c r="B10" s="10" t="str">
        <f>IF(ROW()-9&gt;ROWS(TimingTasks[WBS]),"",IF(AND(INDEX(TimingTasks[任务名称],ROW()-9)="",NOT(ISNUMBER(INDEX(TimingTasks[任务名称],ROW()-9)))),"",INDEX(TimingTasks[任务名称],ROW()-9)))</f>
        <v>设计开发</v>
      </c>
      <c r="C10" s="10" t="str">
        <f>IF(ROW()-9&gt;ROWS(TimingTasks[WBS]),"",IF(AND(INDEX(TimingTasks[负责人],ROW()-9)="",NOT(ISNUMBER(INDEX(TimingTasks[负责人],ROW()-9)))),"",INDEX(TimingTasks[负责人],ROW()-9)))</f>
        <v>张工</v>
      </c>
      <c r="D10" s="11" t="str">
        <f>IF(ROW()-9&gt;ROWS(TimingTasks[WBS]),"",IF(AND(INDEX(TimingTasks[输入开始],ROW()-9)="",NOT(ISNUMBER(INDEX(TimingTasks[输入开始],ROW()-9)))),"",INDEX(TimingTasks[输入开始],ROW()-9)))</f>
        <v/>
      </c>
      <c r="E10" s="11" t="str">
        <f>IF(ROW()-9&gt;ROWS(TimingTasks[WBS]),"",IF(AND(INDEX(TimingTasks[输入结束],ROW()-9)="",NOT(ISNUMBER(INDEX(TimingTasks[输入结束],ROW()-9)))),"",INDEX(TimingTasks[输入结束],ROW()-9)))</f>
        <v/>
      </c>
      <c r="F10" s="1" t="str">
        <f>IF(OR(P10=0,K10="汇总",D10="",E10="",E10&lt;D10),"",IF(I10="里程碑",0,NETWORKDAYS(D10,E10)))</f>
        <v/>
      </c>
      <c r="G10" s="15">
        <f>IF(ROW()-9&gt;ROWS(TimingTasks[WBS]),"",IF(AND(INDEX(TimingTasks[输入完成度],ROW()-9)="",NOT(ISNUMBER(INDEX(TimingTasks[输入完成度],ROW()-9)))),0,INDEX(TimingTasks[输入完成度],ROW()-9)))</f>
        <v>0</v>
      </c>
      <c r="H10" s="10" t="str">
        <f>IF(ROW()-9&gt;ROWS(TimingTasks[WBS]),"",IF(AND(INDEX(TimingTasks[前置任务 WBS],ROW()-9)="",NOT(ISNUMBER(INDEX(TimingTasks[前置任务 WBS],ROW()-9)))),"",INDEX(TimingTasks[前置任务 WBS],ROW()-9)))</f>
        <v/>
      </c>
      <c r="I10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0" s="10" t="str">
        <f>IF(ROW()-9&gt;ROWS(TimingTasks[WBS]),"",IF(AND(INDEX(TimingTasks[操作],ROW()-9)="",NOT(ISNUMBER(INDEX(TimingTasks[操作],ROW()-9)))),"保留",INDEX(TimingTasks[操作],ROW()-9)))</f>
        <v>保留</v>
      </c>
      <c r="K10" s="1" t="str">
        <f>IF(P10=0,"",IF(OR(AND(L10=1,D10="",E10="",I10&lt;&gt;"里程碑"),COUNTIFS($S$10:$S$109,"&gt;"&amp;S10,$S$10:$S$109,"&lt;"&amp;(S10+IF(L10=1,1000000,IF(L10=2,1000,1))),$P$10:$P$109,1)&gt;0),"汇总",I10))</f>
        <v>汇总</v>
      </c>
      <c r="L10" s="1">
        <f>IF(A10="","",LEN(("W"&amp;A10))-LEN(SUBSTITUTE(("W"&amp;A10),".",""))+1)</f>
        <v>1</v>
      </c>
      <c r="M10" s="3">
        <f>IF(P10=0,"",IF(K10="汇总",IF(COUNTIFS($S$10:$S$109,"&gt;"&amp;S10,$S$10:$S$109,"&lt;"&amp;(S10+IF(L10=1,1000000,IF(L10=2,1000,1))),$AA$10:$AA$109,1)=0,"",_xlfn.MINIFS($Y$10:$Y$109,$S$10:$S$109,"&gt;"&amp;S10,$S$10:$S$109,"&lt;"&amp;(S10+IF(L10=1,1000000,IF(L10=2,1000,1))),$AA$10:$AA$109,1)),IF(AA10=1,D10,"")))</f>
        <v>46321</v>
      </c>
      <c r="N10" s="3">
        <f>IF(P10=0,"",IF(K10="汇总",IF(COUNTIFS($S$10:$S$109,"&gt;"&amp;S10,$S$10:$S$109,"&lt;"&amp;(S10+IF(L10=1,1000000,IF(L10=2,1000,1))),$AA$10:$AA$109,1)=0,"",_xlfn.MAXIFS($Z$10:$Z$109,$S$10:$S$109,"&gt;"&amp;S10,$S$10:$S$109,"&lt;"&amp;(S10+IF(L10=1,1000000,IF(L10=2,1000,1))),$AA$10:$AA$109,1)),IF(AA10=1,E10,"")))</f>
        <v>46330</v>
      </c>
      <c r="O10" s="7">
        <f>IF(K10="汇总",ROUND((IF(P10=0,"",IF(K10="汇总",IF(SUMIFS($Q$10:$Q$109,$S$10:$S$109,"&gt;"&amp;S10,$S$10:$S$109,"&lt;"&amp;(S10+IF(L10=1,1000000,IF(L10=2,1000,1))))=0,0,SUMIFS($R$10:$R$109,$S$10:$S$109,"&gt;"&amp;S10,$S$10:$S$109,"&lt;"&amp;(S10+IF(L10=1,1000000,IF(L10=2,1000,1))))/SUMIFS($Q$10:$Q$109,$S$10:$S$109,"&gt;"&amp;S10,$S$10:$S$109,"&lt;"&amp;(S10+IF(L10=1,1000000,IF(L10=2,1000,1))))),G10)))*100,0)/100,IF(P10=0,"",IF(K10="汇总",IF(SUMIFS($Q$10:$Q$109,$S$10:$S$109,"&gt;"&amp;S10,$S$10:$S$109,"&lt;"&amp;(S10+IF(L10=1,1000000,IF(L10=2,1000,1))))=0,0,SUMIFS($R$10:$R$109,$S$10:$S$109,"&gt;"&amp;S10,$S$10:$S$109,"&lt;"&amp;(S10+IF(L10=1,1000000,IF(L10=2,1000,1))))/SUMIFS($Q$10:$Q$109,$S$10:$S$109,"&gt;"&amp;S10,$S$10:$S$109,"&lt;"&amp;(S10+IF(L10=1,1000000,IF(L10=2,1000,1))))),G10)))</f>
        <v>0.41</v>
      </c>
      <c r="P10" s="1">
        <f>IF(OR(A10="",B10="",J10="删除",AE10=0,COUNTIFS($AG$10:$AG$109,"W"&amp;A10)&lt;&gt;1,AND(L10&gt;1,COUNTIFS($AG$10:$AG$109,"W"&amp;V10,$B$10:$B$109,"&lt;&gt;")&lt;&gt;1),AND(L10=3,COUNTIFS($AG$10:$AG$109,"W"&amp;W10,$B$10:$B$109,"&lt;&gt;")&lt;&gt;1),COUNTIFS($AG$10:$AG$109,"W"&amp;V10,$J$10:$J$109,"删除")&gt;0,COUNTIFS($AG$10:$AG$109,"W"&amp;W10,$J$10:$J$109,"删除")&gt;0),0,1)</f>
        <v>1</v>
      </c>
      <c r="Q10" s="1">
        <f>IF(AA10=0,0,IF(I10="里程碑",1,F10))</f>
        <v>0</v>
      </c>
      <c r="R10" s="1">
        <f>IF(AA10=0,0,Q10*G10)</f>
        <v>0</v>
      </c>
      <c r="S10" s="1">
        <f>IF(P10=0,1000000000000000,AB10*1000000+AC10*1000+AD10)</f>
        <v>1000000</v>
      </c>
      <c r="T10" s="1">
        <f>IF(P10=0,0,IF(Timing浏览!$D$5="全部",1,IF(Timing浏览!$D$5="仅里程碑",IF(K10="里程碑",1,0),IF(L10&lt;=VALUE(LEFT(Timing浏览!$D$5,1)),1,0))))</f>
        <v>1</v>
      </c>
      <c r="U10" s="1">
        <f>IF(T10=0,"",COUNTIFS($S$10:$S$109,"&lt;"&amp;S10,$T$10:$T$109,1)+1)</f>
        <v>1</v>
      </c>
      <c r="V10" s="1" t="str">
        <f>IF(OR(A10="",L10=1),"",IF(L10=2,TEXT(AB10,"0"),TEXT(AB10,"0")&amp;"."&amp;TEXT(AC10,"0")))</f>
        <v/>
      </c>
      <c r="W10" s="1" t="str">
        <f>IF(OR(A10="",L10=1),"",TEXT(AB10,"0"))</f>
        <v/>
      </c>
      <c r="X10" s="1" t="str">
        <f>IF(AND(A10="",B10=""),"",IF(OR(A10="",B10=""),"请补编号和名称",IF(AE10=0,"编号需为1至3级正整数",IF(COUNTIFS($AG$10:$AG$109,"W"&amp;A10)&lt;&gt;1,"编号重复",IF(AND(L10&gt;1,COUNTIFS($AG$10:$AG$109,"W"&amp;V10,$B$10:$B$109,"&lt;&gt;")&lt;&gt;1),"缺少父任务",IF(J10="删除","待删除",IF(P10=0,"父任务已删除或无效",IF(K10="汇总",IF(COUNTIFS($S$10:$S$109,"&gt;"&amp;S10,$S$10:$S$109,"&lt;"&amp;(S10+IF(L10=1,1000000,IF(L10=2,1000,1))),$P$10:$P$109,1)=0,"等待子任务","由下级汇总"),IF(OR(D10="",E10=""),"待补日期",IF(E10&lt;D10,"结束早于开始",IF(AND(I10="里程碑",D10&lt;&gt;E10),"里程碑须同日","")))))))))))</f>
        <v>由下级汇总</v>
      </c>
      <c r="Y10" s="1">
        <f>IF(AA10=1,D10,100000000)</f>
        <v>100000000</v>
      </c>
      <c r="Z10" s="1">
        <f>IF(AA10=1,E10,0)</f>
        <v>0</v>
      </c>
      <c r="AA10" s="1">
        <f>IF(AND(P10=1,K10&lt;&gt;"汇总",ISNUMBER(F10),OR(I10&lt;&gt;"里程碑",D10=E10)),1,0)</f>
        <v>0</v>
      </c>
      <c r="AB10" s="1">
        <f>IF(A10="",0,IFERROR(VALUE(MID(("W"&amp;A10),2,FIND(".",("W"&amp;A10)&amp;".")-2)),-1))</f>
        <v>1</v>
      </c>
      <c r="AC10" s="1">
        <f>IF(OR(A10="",L10&lt;2),0,IFERROR(VALUE(MID(("W"&amp;A10),FIND(".",("W"&amp;A10))+1,FIND(".",("W"&amp;A10)&amp;".",FIND(".",("W"&amp;A10))+1)-FIND(".",("W"&amp;A10))-1)),-1))</f>
        <v>0</v>
      </c>
      <c r="AD10" s="1">
        <f>IF(OR(A10="",L10&lt;3),0,IFERROR(VALUE(RIGHT(("W"&amp;A10),LEN(("W"&amp;A10))-FIND(".",("W"&amp;A10),FIND(".",("W"&amp;A10))+1))),-1))</f>
        <v>0</v>
      </c>
      <c r="AE10" s="1">
        <f>IF(A10="",0,IF(AND(L10&lt;=3,AB10&gt;=1,AB10&lt;=999,AC10&gt;=0,AC10&lt;=999,AD10&gt;=0,AD10&lt;=999,A10=TEXT(AB10,"0")&amp;IF(L10&gt;1,"."&amp;TEXT(AC10,"0"),"")&amp;IF(L10&gt;2,"."&amp;TEXT(AD10,"0"),""),OR(L10&lt;2,AC10&gt;=1),OR(L10&lt;3,AD10&gt;=1)),1,0))</f>
        <v>1</v>
      </c>
      <c r="AF10" s="1"/>
      <c r="AG10" t="str">
        <f>"W"&amp;A10</f>
        <v>W1</v>
      </c>
    </row>
    <row r="11" spans="1:33" ht="16.5">
      <c r="A11" s="12" t="str">
        <f>IF(ROW()-9&gt;ROWS(TimingTasks[WBS]),"",IF(AND(INDEX(TimingTasks[WBS],ROW()-9)="",NOT(ISNUMBER(INDEX(TimingTasks[WBS],ROW()-9)))),"",INDEX(TimingTasks[WBS],ROW()-9)))</f>
        <v>1.1</v>
      </c>
      <c r="B11" s="10" t="str">
        <f>IF(ROW()-9&gt;ROWS(TimingTasks[WBS]),"",IF(AND(INDEX(TimingTasks[任务名称],ROW()-9)="",NOT(ISNUMBER(INDEX(TimingTasks[任务名称],ROW()-9)))),"",INDEX(TimingTasks[任务名称],ROW()-9)))</f>
        <v>需求与接口确认</v>
      </c>
      <c r="C11" s="10" t="str">
        <f>IF(ROW()-9&gt;ROWS(TimingTasks[WBS]),"",IF(AND(INDEX(TimingTasks[负责人],ROW()-9)="",NOT(ISNUMBER(INDEX(TimingTasks[负责人],ROW()-9)))),"",INDEX(TimingTasks[负责人],ROW()-9)))</f>
        <v>张工</v>
      </c>
      <c r="D11" s="11">
        <f>IF(ROW()-9&gt;ROWS(TimingTasks[WBS]),"",IF(AND(INDEX(TimingTasks[输入开始],ROW()-9)="",NOT(ISNUMBER(INDEX(TimingTasks[输入开始],ROW()-9)))),"",INDEX(TimingTasks[输入开始],ROW()-9)))</f>
        <v>46321</v>
      </c>
      <c r="E11" s="11">
        <f>IF(ROW()-9&gt;ROWS(TimingTasks[WBS]),"",IF(AND(INDEX(TimingTasks[输入结束],ROW()-9)="",NOT(ISNUMBER(INDEX(TimingTasks[输入结束],ROW()-9)))),"",INDEX(TimingTasks[输入结束],ROW()-9)))</f>
        <v>46322</v>
      </c>
      <c r="F11" s="1">
        <f>IF(OR(P11=0,K11="汇总",D11="",E11="",E11&lt;D11),"",IF(I11="里程碑",0,NETWORKDAYS(D11,E11)))</f>
        <v>2</v>
      </c>
      <c r="G11" s="15">
        <f>IF(ROW()-9&gt;ROWS(TimingTasks[WBS]),"",IF(AND(INDEX(TimingTasks[输入完成度],ROW()-9)="",NOT(ISNUMBER(INDEX(TimingTasks[输入完成度],ROW()-9)))),0,INDEX(TimingTasks[输入完成度],ROW()-9)))</f>
        <v>1</v>
      </c>
      <c r="H11" s="10" t="str">
        <f>IF(ROW()-9&gt;ROWS(TimingTasks[WBS]),"",IF(AND(INDEX(TimingTasks[前置任务 WBS],ROW()-9)="",NOT(ISNUMBER(INDEX(TimingTasks[前置任务 WBS],ROW()-9)))),"",INDEX(TimingTasks[前置任务 WBS],ROW()-9)))</f>
        <v/>
      </c>
      <c r="I11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1" s="10" t="str">
        <f>IF(ROW()-9&gt;ROWS(TimingTasks[WBS]),"",IF(AND(INDEX(TimingTasks[操作],ROW()-9)="",NOT(ISNUMBER(INDEX(TimingTasks[操作],ROW()-9)))),"保留",INDEX(TimingTasks[操作],ROW()-9)))</f>
        <v>保留</v>
      </c>
      <c r="K11" s="1" t="str">
        <f>IF(P11=0,"",IF(OR(AND(L11=1,D11="",E11="",I11&lt;&gt;"里程碑"),COUNTIFS($S$10:$S$109,"&gt;"&amp;S11,$S$10:$S$109,"&lt;"&amp;(S11+IF(L11=1,1000000,IF(L11=2,1000,1))),$P$10:$P$109,1)&gt;0),"汇总",I11))</f>
        <v>普通任务</v>
      </c>
      <c r="L11" s="1">
        <f>IF(A11="","",LEN(("W"&amp;A11))-LEN(SUBSTITUTE(("W"&amp;A11),".",""))+1)</f>
        <v>2</v>
      </c>
      <c r="M11" s="3">
        <f>IF(P11=0,"",IF(K11="汇总",IF(COUNTIFS($S$10:$S$109,"&gt;"&amp;S11,$S$10:$S$109,"&lt;"&amp;(S11+IF(L11=1,1000000,IF(L11=2,1000,1))),$AA$10:$AA$109,1)=0,"",_xlfn.MINIFS($Y$10:$Y$109,$S$10:$S$109,"&gt;"&amp;S11,$S$10:$S$109,"&lt;"&amp;(S11+IF(L11=1,1000000,IF(L11=2,1000,1))),$AA$10:$AA$109,1)),IF(AA11=1,D11,"")))</f>
        <v>46321</v>
      </c>
      <c r="N11" s="3">
        <f>IF(P11=0,"",IF(K11="汇总",IF(COUNTIFS($S$10:$S$109,"&gt;"&amp;S11,$S$10:$S$109,"&lt;"&amp;(S11+IF(L11=1,1000000,IF(L11=2,1000,1))),$AA$10:$AA$109,1)=0,"",_xlfn.MAXIFS($Z$10:$Z$109,$S$10:$S$109,"&gt;"&amp;S11,$S$10:$S$109,"&lt;"&amp;(S11+IF(L11=1,1000000,IF(L11=2,1000,1))),$AA$10:$AA$109,1)),IF(AA11=1,E11,"")))</f>
        <v>46322</v>
      </c>
      <c r="O11" s="7">
        <f>IF(K11="汇总",ROUND((IF(P11=0,"",IF(K11="汇总",IF(SUMIFS($Q$10:$Q$109,$S$10:$S$109,"&gt;"&amp;S11,$S$10:$S$109,"&lt;"&amp;(S11+IF(L11=1,1000000,IF(L11=2,1000,1))))=0,0,SUMIFS($R$10:$R$109,$S$10:$S$109,"&gt;"&amp;S11,$S$10:$S$109,"&lt;"&amp;(S11+IF(L11=1,1000000,IF(L11=2,1000,1))))/SUMIFS($Q$10:$Q$109,$S$10:$S$109,"&gt;"&amp;S11,$S$10:$S$109,"&lt;"&amp;(S11+IF(L11=1,1000000,IF(L11=2,1000,1))))),G11)))*100,0)/100,IF(P11=0,"",IF(K11="汇总",IF(SUMIFS($Q$10:$Q$109,$S$10:$S$109,"&gt;"&amp;S11,$S$10:$S$109,"&lt;"&amp;(S11+IF(L11=1,1000000,IF(L11=2,1000,1))))=0,0,SUMIFS($R$10:$R$109,$S$10:$S$109,"&gt;"&amp;S11,$S$10:$S$109,"&lt;"&amp;(S11+IF(L11=1,1000000,IF(L11=2,1000,1))))/SUMIFS($Q$10:$Q$109,$S$10:$S$109,"&gt;"&amp;S11,$S$10:$S$109,"&lt;"&amp;(S11+IF(L11=1,1000000,IF(L11=2,1000,1))))),G11)))</f>
        <v>1</v>
      </c>
      <c r="P11" s="1">
        <f>IF(OR(A11="",B11="",J11="删除",AE11=0,COUNTIFS($AG$10:$AG$109,"W"&amp;A11)&lt;&gt;1,AND(L11&gt;1,COUNTIFS($AG$10:$AG$109,"W"&amp;V11,$B$10:$B$109,"&lt;&gt;")&lt;&gt;1),AND(L11=3,COUNTIFS($AG$10:$AG$109,"W"&amp;W11,$B$10:$B$109,"&lt;&gt;")&lt;&gt;1),COUNTIFS($AG$10:$AG$109,"W"&amp;V11,$J$10:$J$109,"删除")&gt;0,COUNTIFS($AG$10:$AG$109,"W"&amp;W11,$J$10:$J$109,"删除")&gt;0),0,1)</f>
        <v>1</v>
      </c>
      <c r="Q11" s="1">
        <f>IF(AA11=0,0,IF(I11="里程碑",1,F11))</f>
        <v>2</v>
      </c>
      <c r="R11" s="1">
        <f>IF(AA11=0,0,Q11*G11)</f>
        <v>2</v>
      </c>
      <c r="S11" s="1">
        <f>IF(P11=0,1000000000000000,AB11*1000000+AC11*1000+AD11)</f>
        <v>1001000</v>
      </c>
      <c r="T11" s="1">
        <f>IF(P11=0,0,IF(Timing浏览!$D$5="全部",1,IF(Timing浏览!$D$5="仅里程碑",IF(K11="里程碑",1,0),IF(L11&lt;=VALUE(LEFT(Timing浏览!$D$5,1)),1,0))))</f>
        <v>1</v>
      </c>
      <c r="U11" s="1">
        <f>IF(T11=0,"",COUNTIFS($S$10:$S$109,"&lt;"&amp;S11,$T$10:$T$109,1)+1)</f>
        <v>2</v>
      </c>
      <c r="V11" s="1" t="str">
        <f>IF(OR(A11="",L11=1),"",IF(L11=2,TEXT(AB11,"0"),TEXT(AB11,"0")&amp;"."&amp;TEXT(AC11,"0")))</f>
        <v>1</v>
      </c>
      <c r="W11" s="1" t="str">
        <f>IF(OR(A11="",L11=1),"",TEXT(AB11,"0"))</f>
        <v>1</v>
      </c>
      <c r="X11" s="1" t="str">
        <f>IF(AND(A11="",B11=""),"",IF(OR(A11="",B11=""),"请补编号和名称",IF(AE11=0,"编号需为1至3级正整数",IF(COUNTIFS($AG$10:$AG$109,"W"&amp;A11)&lt;&gt;1,"编号重复",IF(AND(L11&gt;1,COUNTIFS($AG$10:$AG$109,"W"&amp;V11,$B$10:$B$109,"&lt;&gt;")&lt;&gt;1),"缺少父任务",IF(J11="删除","待删除",IF(P11=0,"父任务已删除或无效",IF(K11="汇总",IF(COUNTIFS($S$10:$S$109,"&gt;"&amp;S11,$S$10:$S$109,"&lt;"&amp;(S11+IF(L11=1,1000000,IF(L11=2,1000,1))),$P$10:$P$109,1)=0,"等待子任务","由下级汇总"),IF(OR(D11="",E11=""),"待补日期",IF(E11&lt;D11,"结束早于开始",IF(AND(I11="里程碑",D11&lt;&gt;E11),"里程碑须同日","")))))))))))</f>
        <v/>
      </c>
      <c r="Y11" s="1">
        <f>IF(AA11=1,D11,100000000)</f>
        <v>46321</v>
      </c>
      <c r="Z11" s="1">
        <f>IF(AA11=1,E11,0)</f>
        <v>46322</v>
      </c>
      <c r="AA11" s="1">
        <f>IF(AND(P11=1,K11&lt;&gt;"汇总",ISNUMBER(F11),OR(I11&lt;&gt;"里程碑",D11=E11)),1,0)</f>
        <v>1</v>
      </c>
      <c r="AB11" s="1">
        <f>IF(A11="",0,IFERROR(VALUE(MID(("W"&amp;A11),2,FIND(".",("W"&amp;A11)&amp;".")-2)),-1))</f>
        <v>1</v>
      </c>
      <c r="AC11" s="1">
        <f>IF(OR(A11="",L11&lt;2),0,IFERROR(VALUE(MID(("W"&amp;A11),FIND(".",("W"&amp;A11))+1,FIND(".",("W"&amp;A11)&amp;".",FIND(".",("W"&amp;A11))+1)-FIND(".",("W"&amp;A11))-1)),-1))</f>
        <v>1</v>
      </c>
      <c r="AD11" s="1">
        <f>IF(OR(A11="",L11&lt;3),0,IFERROR(VALUE(RIGHT(("W"&amp;A11),LEN(("W"&amp;A11))-FIND(".",("W"&amp;A11),FIND(".",("W"&amp;A11))+1))),-1))</f>
        <v>0</v>
      </c>
      <c r="AE11" s="1">
        <f>IF(A11="",0,IF(AND(L11&lt;=3,AB11&gt;=1,AB11&lt;=999,AC11&gt;=0,AC11&lt;=999,AD11&gt;=0,AD11&lt;=999,A11=TEXT(AB11,"0")&amp;IF(L11&gt;1,"."&amp;TEXT(AC11,"0"),"")&amp;IF(L11&gt;2,"."&amp;TEXT(AD11,"0"),""),OR(L11&lt;2,AC11&gt;=1),OR(L11&lt;3,AD11&gt;=1)),1,0))</f>
        <v>1</v>
      </c>
      <c r="AF11" s="1"/>
      <c r="AG11" t="str">
        <f>"W"&amp;A11</f>
        <v>W1.1</v>
      </c>
    </row>
    <row r="12" spans="1:33" ht="16.5">
      <c r="A12" s="12" t="str">
        <f>IF(ROW()-9&gt;ROWS(TimingTasks[WBS]),"",IF(AND(INDEX(TimingTasks[WBS],ROW()-9)="",NOT(ISNUMBER(INDEX(TimingTasks[WBS],ROW()-9)))),"",INDEX(TimingTasks[WBS],ROW()-9)))</f>
        <v>1.2</v>
      </c>
      <c r="B12" s="10" t="str">
        <f>IF(ROW()-9&gt;ROWS(TimingTasks[WBS]),"",IF(AND(INDEX(TimingTasks[任务名称],ROW()-9)="",NOT(ISNUMBER(INDEX(TimingTasks[任务名称],ROW()-9)))),"",INDEX(TimingTasks[任务名称],ROW()-9)))</f>
        <v>结构方案及设计评审</v>
      </c>
      <c r="C12" s="10" t="str">
        <f>IF(ROW()-9&gt;ROWS(TimingTasks[WBS]),"",IF(AND(INDEX(TimingTasks[负责人],ROW()-9)="",NOT(ISNUMBER(INDEX(TimingTasks[负责人],ROW()-9)))),"",INDEX(TimingTasks[负责人],ROW()-9)))</f>
        <v>张工</v>
      </c>
      <c r="D12" s="11">
        <f>IF(ROW()-9&gt;ROWS(TimingTasks[WBS]),"",IF(AND(INDEX(TimingTasks[输入开始],ROW()-9)="",NOT(ISNUMBER(INDEX(TimingTasks[输入开始],ROW()-9)))),"",INDEX(TimingTasks[输入开始],ROW()-9)))</f>
        <v>46323</v>
      </c>
      <c r="E12" s="11">
        <f>IF(ROW()-9&gt;ROWS(TimingTasks[WBS]),"",IF(AND(INDEX(TimingTasks[输入结束],ROW()-9)="",NOT(ISNUMBER(INDEX(TimingTasks[输入结束],ROW()-9)))),"",INDEX(TimingTasks[输入结束],ROW()-9)))</f>
        <v>46329</v>
      </c>
      <c r="F12" s="1">
        <f>IF(OR(P12=0,K12="汇总",D12="",E12="",E12&lt;D12),"",IF(I12="里程碑",0,NETWORKDAYS(D12,E12)))</f>
        <v>5</v>
      </c>
      <c r="G12" s="15">
        <f>IF(ROW()-9&gt;ROWS(TimingTasks[WBS]),"",IF(AND(INDEX(TimingTasks[输入完成度],ROW()-9)="",NOT(ISNUMBER(INDEX(TimingTasks[输入完成度],ROW()-9)))),0,INDEX(TimingTasks[输入完成度],ROW()-9)))</f>
        <v>0.25</v>
      </c>
      <c r="H12" s="10" t="str">
        <f>IF(ROW()-9&gt;ROWS(TimingTasks[WBS]),"",IF(AND(INDEX(TimingTasks[前置任务 WBS],ROW()-9)="",NOT(ISNUMBER(INDEX(TimingTasks[前置任务 WBS],ROW()-9)))),"",INDEX(TimingTasks[前置任务 WBS],ROW()-9)))</f>
        <v>1.1</v>
      </c>
      <c r="I12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2" s="10" t="str">
        <f>IF(ROW()-9&gt;ROWS(TimingTasks[WBS]),"",IF(AND(INDEX(TimingTasks[操作],ROW()-9)="",NOT(ISNUMBER(INDEX(TimingTasks[操作],ROW()-9)))),"保留",INDEX(TimingTasks[操作],ROW()-9)))</f>
        <v>保留</v>
      </c>
      <c r="K12" s="1" t="str">
        <f>IF(P12=0,"",IF(OR(AND(L12=1,D12="",E12="",I12&lt;&gt;"里程碑"),COUNTIFS($S$10:$S$109,"&gt;"&amp;S12,$S$10:$S$109,"&lt;"&amp;(S12+IF(L12=1,1000000,IF(L12=2,1000,1))),$P$10:$P$109,1)&gt;0),"汇总",I12))</f>
        <v>普通任务</v>
      </c>
      <c r="L12" s="1">
        <f>IF(A12="","",LEN(("W"&amp;A12))-LEN(SUBSTITUTE(("W"&amp;A12),".",""))+1)</f>
        <v>2</v>
      </c>
      <c r="M12" s="3">
        <f>IF(P12=0,"",IF(K12="汇总",IF(COUNTIFS($S$10:$S$109,"&gt;"&amp;S12,$S$10:$S$109,"&lt;"&amp;(S12+IF(L12=1,1000000,IF(L12=2,1000,1))),$AA$10:$AA$109,1)=0,"",_xlfn.MINIFS($Y$10:$Y$109,$S$10:$S$109,"&gt;"&amp;S12,$S$10:$S$109,"&lt;"&amp;(S12+IF(L12=1,1000000,IF(L12=2,1000,1))),$AA$10:$AA$109,1)),IF(AA12=1,D12,"")))</f>
        <v>46323</v>
      </c>
      <c r="N12" s="3">
        <f>IF(P12=0,"",IF(K12="汇总",IF(COUNTIFS($S$10:$S$109,"&gt;"&amp;S12,$S$10:$S$109,"&lt;"&amp;(S12+IF(L12=1,1000000,IF(L12=2,1000,1))),$AA$10:$AA$109,1)=0,"",_xlfn.MAXIFS($Z$10:$Z$109,$S$10:$S$109,"&gt;"&amp;S12,$S$10:$S$109,"&lt;"&amp;(S12+IF(L12=1,1000000,IF(L12=2,1000,1))),$AA$10:$AA$109,1)),IF(AA12=1,E12,"")))</f>
        <v>46329</v>
      </c>
      <c r="O12" s="7">
        <f>IF(K12="汇总",ROUND((IF(P12=0,"",IF(K12="汇总",IF(SUMIFS($Q$10:$Q$109,$S$10:$S$109,"&gt;"&amp;S12,$S$10:$S$109,"&lt;"&amp;(S12+IF(L12=1,1000000,IF(L12=2,1000,1))))=0,0,SUMIFS($R$10:$R$109,$S$10:$S$109,"&gt;"&amp;S12,$S$10:$S$109,"&lt;"&amp;(S12+IF(L12=1,1000000,IF(L12=2,1000,1))))/SUMIFS($Q$10:$Q$109,$S$10:$S$109,"&gt;"&amp;S12,$S$10:$S$109,"&lt;"&amp;(S12+IF(L12=1,1000000,IF(L12=2,1000,1))))),G12)))*100,0)/100,IF(P12=0,"",IF(K12="汇总",IF(SUMIFS($Q$10:$Q$109,$S$10:$S$109,"&gt;"&amp;S12,$S$10:$S$109,"&lt;"&amp;(S12+IF(L12=1,1000000,IF(L12=2,1000,1))))=0,0,SUMIFS($R$10:$R$109,$S$10:$S$109,"&gt;"&amp;S12,$S$10:$S$109,"&lt;"&amp;(S12+IF(L12=1,1000000,IF(L12=2,1000,1))))/SUMIFS($Q$10:$Q$109,$S$10:$S$109,"&gt;"&amp;S12,$S$10:$S$109,"&lt;"&amp;(S12+IF(L12=1,1000000,IF(L12=2,1000,1))))),G12)))</f>
        <v>0.25</v>
      </c>
      <c r="P12" s="1">
        <f>IF(OR(A12="",B12="",J12="删除",AE12=0,COUNTIFS($AG$10:$AG$109,"W"&amp;A12)&lt;&gt;1,AND(L12&gt;1,COUNTIFS($AG$10:$AG$109,"W"&amp;V12,$B$10:$B$109,"&lt;&gt;")&lt;&gt;1),AND(L12=3,COUNTIFS($AG$10:$AG$109,"W"&amp;W12,$B$10:$B$109,"&lt;&gt;")&lt;&gt;1),COUNTIFS($AG$10:$AG$109,"W"&amp;V12,$J$10:$J$109,"删除")&gt;0,COUNTIFS($AG$10:$AG$109,"W"&amp;W12,$J$10:$J$109,"删除")&gt;0),0,1)</f>
        <v>1</v>
      </c>
      <c r="Q12" s="1">
        <f>IF(AA12=0,0,IF(I12="里程碑",1,F12))</f>
        <v>5</v>
      </c>
      <c r="R12" s="1">
        <f>IF(AA12=0,0,Q12*G12)</f>
        <v>1.25</v>
      </c>
      <c r="S12" s="1">
        <f>IF(P12=0,1000000000000000,AB12*1000000+AC12*1000+AD12)</f>
        <v>1002000</v>
      </c>
      <c r="T12" s="1">
        <f>IF(P12=0,0,IF(Timing浏览!$D$5="全部",1,IF(Timing浏览!$D$5="仅里程碑",IF(K12="里程碑",1,0),IF(L12&lt;=VALUE(LEFT(Timing浏览!$D$5,1)),1,0))))</f>
        <v>1</v>
      </c>
      <c r="U12" s="1">
        <f>IF(T12=0,"",COUNTIFS($S$10:$S$109,"&lt;"&amp;S12,$T$10:$T$109,1)+1)</f>
        <v>3</v>
      </c>
      <c r="V12" s="1" t="str">
        <f>IF(OR(A12="",L12=1),"",IF(L12=2,TEXT(AB12,"0"),TEXT(AB12,"0")&amp;"."&amp;TEXT(AC12,"0")))</f>
        <v>1</v>
      </c>
      <c r="W12" s="1" t="str">
        <f>IF(OR(A12="",L12=1),"",TEXT(AB12,"0"))</f>
        <v>1</v>
      </c>
      <c r="X12" s="1" t="str">
        <f>IF(AND(A12="",B12=""),"",IF(OR(A12="",B12=""),"请补编号和名称",IF(AE12=0,"编号需为1至3级正整数",IF(COUNTIFS($AG$10:$AG$109,"W"&amp;A12)&lt;&gt;1,"编号重复",IF(AND(L12&gt;1,COUNTIFS($AG$10:$AG$109,"W"&amp;V12,$B$10:$B$109,"&lt;&gt;")&lt;&gt;1),"缺少父任务",IF(J12="删除","待删除",IF(P12=0,"父任务已删除或无效",IF(K12="汇总",IF(COUNTIFS($S$10:$S$109,"&gt;"&amp;S12,$S$10:$S$109,"&lt;"&amp;(S12+IF(L12=1,1000000,IF(L12=2,1000,1))),$P$10:$P$109,1)=0,"等待子任务","由下级汇总"),IF(OR(D12="",E12=""),"待补日期",IF(E12&lt;D12,"结束早于开始",IF(AND(I12="里程碑",D12&lt;&gt;E12),"里程碑须同日","")))))))))))</f>
        <v/>
      </c>
      <c r="Y12" s="1">
        <f>IF(AA12=1,D12,100000000)</f>
        <v>46323</v>
      </c>
      <c r="Z12" s="1">
        <f>IF(AA12=1,E12,0)</f>
        <v>46329</v>
      </c>
      <c r="AA12" s="1">
        <f>IF(AND(P12=1,K12&lt;&gt;"汇总",ISNUMBER(F12),OR(I12&lt;&gt;"里程碑",D12=E12)),1,0)</f>
        <v>1</v>
      </c>
      <c r="AB12" s="1">
        <f>IF(A12="",0,IFERROR(VALUE(MID(("W"&amp;A12),2,FIND(".",("W"&amp;A12)&amp;".")-2)),-1))</f>
        <v>1</v>
      </c>
      <c r="AC12" s="1">
        <f>IF(OR(A12="",L12&lt;2),0,IFERROR(VALUE(MID(("W"&amp;A12),FIND(".",("W"&amp;A12))+1,FIND(".",("W"&amp;A12)&amp;".",FIND(".",("W"&amp;A12))+1)-FIND(".",("W"&amp;A12))-1)),-1))</f>
        <v>2</v>
      </c>
      <c r="AD12" s="1">
        <f>IF(OR(A12="",L12&lt;3),0,IFERROR(VALUE(RIGHT(("W"&amp;A12),LEN(("W"&amp;A12))-FIND(".",("W"&amp;A12),FIND(".",("W"&amp;A12))+1))),-1))</f>
        <v>0</v>
      </c>
      <c r="AE12" s="1">
        <f>IF(A12="",0,IF(AND(L12&lt;=3,AB12&gt;=1,AB12&lt;=999,AC12&gt;=0,AC12&lt;=999,AD12&gt;=0,AD12&lt;=999,A12=TEXT(AB12,"0")&amp;IF(L12&gt;1,"."&amp;TEXT(AC12,"0"),"")&amp;IF(L12&gt;2,"."&amp;TEXT(AD12,"0"),""),OR(L12&lt;2,AC12&gt;=1),OR(L12&lt;3,AD12&gt;=1)),1,0))</f>
        <v>1</v>
      </c>
      <c r="AF12" s="1"/>
      <c r="AG12" t="str">
        <f>"W"&amp;A12</f>
        <v>W1.2</v>
      </c>
    </row>
    <row r="13" spans="1:33" ht="16.5">
      <c r="A13" s="12" t="str">
        <f>IF(ROW()-9&gt;ROWS(TimingTasks[WBS]),"",IF(AND(INDEX(TimingTasks[WBS],ROW()-9)="",NOT(ISNUMBER(INDEX(TimingTasks[WBS],ROW()-9)))),"",INDEX(TimingTasks[WBS],ROW()-9)))</f>
        <v>1.3</v>
      </c>
      <c r="B13" s="10" t="str">
        <f>IF(ROW()-9&gt;ROWS(TimingTasks[WBS]),"",IF(AND(INDEX(TimingTasks[任务名称],ROW()-9)="",NOT(ISNUMBER(INDEX(TimingTasks[任务名称],ROW()-9)))),"",INDEX(TimingTasks[任务名称],ROW()-9)))</f>
        <v>客户认可</v>
      </c>
      <c r="C13" s="10" t="str">
        <f>IF(ROW()-9&gt;ROWS(TimingTasks[WBS]),"",IF(AND(INDEX(TimingTasks[负责人],ROW()-9)="",NOT(ISNUMBER(INDEX(TimingTasks[负责人],ROW()-9)))),"",INDEX(TimingTasks[负责人],ROW()-9)))</f>
        <v>张工</v>
      </c>
      <c r="D13" s="11">
        <f>IF(ROW()-9&gt;ROWS(TimingTasks[WBS]),"",IF(AND(INDEX(TimingTasks[输入开始],ROW()-9)="",NOT(ISNUMBER(INDEX(TimingTasks[输入开始],ROW()-9)))),"",INDEX(TimingTasks[输入开始],ROW()-9)))</f>
        <v>46330</v>
      </c>
      <c r="E13" s="11">
        <f>IF(ROW()-9&gt;ROWS(TimingTasks[WBS]),"",IF(AND(INDEX(TimingTasks[输入结束],ROW()-9)="",NOT(ISNUMBER(INDEX(TimingTasks[输入结束],ROW()-9)))),"",INDEX(TimingTasks[输入结束],ROW()-9)))</f>
        <v>46330</v>
      </c>
      <c r="F13" s="1">
        <f>IF(OR(P13=0,K13="汇总",D13="",E13="",E13&lt;D13),"",IF(I13="里程碑",0,NETWORKDAYS(D13,E13)))</f>
        <v>0</v>
      </c>
      <c r="G13" s="15">
        <f>IF(ROW()-9&gt;ROWS(TimingTasks[WBS]),"",IF(AND(INDEX(TimingTasks[输入完成度],ROW()-9)="",NOT(ISNUMBER(INDEX(TimingTasks[输入完成度],ROW()-9)))),0,INDEX(TimingTasks[输入完成度],ROW()-9)))</f>
        <v>0</v>
      </c>
      <c r="H13" s="10" t="str">
        <f>IF(ROW()-9&gt;ROWS(TimingTasks[WBS]),"",IF(AND(INDEX(TimingTasks[前置任务 WBS],ROW()-9)="",NOT(ISNUMBER(INDEX(TimingTasks[前置任务 WBS],ROW()-9)))),"",INDEX(TimingTasks[前置任务 WBS],ROW()-9)))</f>
        <v>1.2</v>
      </c>
      <c r="I13" s="10" t="str">
        <f>IF(ROW()-9&gt;ROWS(TimingTasks[WBS]),"",IF(AND(INDEX(TimingTasks[叶子类型],ROW()-9)="",NOT(ISNUMBER(INDEX(TimingTasks[叶子类型],ROW()-9)))),"普通任务",INDEX(TimingTasks[叶子类型],ROW()-9)))</f>
        <v>里程碑</v>
      </c>
      <c r="J13" s="10" t="str">
        <f>IF(ROW()-9&gt;ROWS(TimingTasks[WBS]),"",IF(AND(INDEX(TimingTasks[操作],ROW()-9)="",NOT(ISNUMBER(INDEX(TimingTasks[操作],ROW()-9)))),"保留",INDEX(TimingTasks[操作],ROW()-9)))</f>
        <v>保留</v>
      </c>
      <c r="K13" s="1" t="str">
        <f>IF(P13=0,"",IF(OR(AND(L13=1,D13="",E13="",I13&lt;&gt;"里程碑"),COUNTIFS($S$10:$S$109,"&gt;"&amp;S13,$S$10:$S$109,"&lt;"&amp;(S13+IF(L13=1,1000000,IF(L13=2,1000,1))),$P$10:$P$109,1)&gt;0),"汇总",I13))</f>
        <v>里程碑</v>
      </c>
      <c r="L13" s="1">
        <f>IF(A13="","",LEN(("W"&amp;A13))-LEN(SUBSTITUTE(("W"&amp;A13),".",""))+1)</f>
        <v>2</v>
      </c>
      <c r="M13" s="3">
        <f>IF(P13=0,"",IF(K13="汇总",IF(COUNTIFS($S$10:$S$109,"&gt;"&amp;S13,$S$10:$S$109,"&lt;"&amp;(S13+IF(L13=1,1000000,IF(L13=2,1000,1))),$AA$10:$AA$109,1)=0,"",_xlfn.MINIFS($Y$10:$Y$109,$S$10:$S$109,"&gt;"&amp;S13,$S$10:$S$109,"&lt;"&amp;(S13+IF(L13=1,1000000,IF(L13=2,1000,1))),$AA$10:$AA$109,1)),IF(AA13=1,D13,"")))</f>
        <v>46330</v>
      </c>
      <c r="N13" s="3">
        <f>IF(P13=0,"",IF(K13="汇总",IF(COUNTIFS($S$10:$S$109,"&gt;"&amp;S13,$S$10:$S$109,"&lt;"&amp;(S13+IF(L13=1,1000000,IF(L13=2,1000,1))),$AA$10:$AA$109,1)=0,"",_xlfn.MAXIFS($Z$10:$Z$109,$S$10:$S$109,"&gt;"&amp;S13,$S$10:$S$109,"&lt;"&amp;(S13+IF(L13=1,1000000,IF(L13=2,1000,1))),$AA$10:$AA$109,1)),IF(AA13=1,E13,"")))</f>
        <v>46330</v>
      </c>
      <c r="O13" s="7">
        <f>IF(K13="汇总",ROUND((IF(P13=0,"",IF(K13="汇总",IF(SUMIFS($Q$10:$Q$109,$S$10:$S$109,"&gt;"&amp;S13,$S$10:$S$109,"&lt;"&amp;(S13+IF(L13=1,1000000,IF(L13=2,1000,1))))=0,0,SUMIFS($R$10:$R$109,$S$10:$S$109,"&gt;"&amp;S13,$S$10:$S$109,"&lt;"&amp;(S13+IF(L13=1,1000000,IF(L13=2,1000,1))))/SUMIFS($Q$10:$Q$109,$S$10:$S$109,"&gt;"&amp;S13,$S$10:$S$109,"&lt;"&amp;(S13+IF(L13=1,1000000,IF(L13=2,1000,1))))),G13)))*100,0)/100,IF(P13=0,"",IF(K13="汇总",IF(SUMIFS($Q$10:$Q$109,$S$10:$S$109,"&gt;"&amp;S13,$S$10:$S$109,"&lt;"&amp;(S13+IF(L13=1,1000000,IF(L13=2,1000,1))))=0,0,SUMIFS($R$10:$R$109,$S$10:$S$109,"&gt;"&amp;S13,$S$10:$S$109,"&lt;"&amp;(S13+IF(L13=1,1000000,IF(L13=2,1000,1))))/SUMIFS($Q$10:$Q$109,$S$10:$S$109,"&gt;"&amp;S13,$S$10:$S$109,"&lt;"&amp;(S13+IF(L13=1,1000000,IF(L13=2,1000,1))))),G13)))</f>
        <v>0</v>
      </c>
      <c r="P13" s="1">
        <f>IF(OR(A13="",B13="",J13="删除",AE13=0,COUNTIFS($AG$10:$AG$109,"W"&amp;A13)&lt;&gt;1,AND(L13&gt;1,COUNTIFS($AG$10:$AG$109,"W"&amp;V13,$B$10:$B$109,"&lt;&gt;")&lt;&gt;1),AND(L13=3,COUNTIFS($AG$10:$AG$109,"W"&amp;W13,$B$10:$B$109,"&lt;&gt;")&lt;&gt;1),COUNTIFS($AG$10:$AG$109,"W"&amp;V13,$J$10:$J$109,"删除")&gt;0,COUNTIFS($AG$10:$AG$109,"W"&amp;W13,$J$10:$J$109,"删除")&gt;0),0,1)</f>
        <v>1</v>
      </c>
      <c r="Q13" s="1">
        <f>IF(AA13=0,0,IF(I13="里程碑",1,F13))</f>
        <v>1</v>
      </c>
      <c r="R13" s="1">
        <f>IF(AA13=0,0,Q13*G13)</f>
        <v>0</v>
      </c>
      <c r="S13" s="1">
        <f>IF(P13=0,1000000000000000,AB13*1000000+AC13*1000+AD13)</f>
        <v>1003000</v>
      </c>
      <c r="T13" s="1">
        <f>IF(P13=0,0,IF(Timing浏览!$D$5="全部",1,IF(Timing浏览!$D$5="仅里程碑",IF(K13="里程碑",1,0),IF(L13&lt;=VALUE(LEFT(Timing浏览!$D$5,1)),1,0))))</f>
        <v>1</v>
      </c>
      <c r="U13" s="1">
        <f>IF(T13=0,"",COUNTIFS($S$10:$S$109,"&lt;"&amp;S13,$T$10:$T$109,1)+1)</f>
        <v>4</v>
      </c>
      <c r="V13" s="1" t="str">
        <f>IF(OR(A13="",L13=1),"",IF(L13=2,TEXT(AB13,"0"),TEXT(AB13,"0")&amp;"."&amp;TEXT(AC13,"0")))</f>
        <v>1</v>
      </c>
      <c r="W13" s="1" t="str">
        <f>IF(OR(A13="",L13=1),"",TEXT(AB13,"0"))</f>
        <v>1</v>
      </c>
      <c r="X13" s="1" t="str">
        <f>IF(AND(A13="",B13=""),"",IF(OR(A13="",B13=""),"请补编号和名称",IF(AE13=0,"编号需为1至3级正整数",IF(COUNTIFS($AG$10:$AG$109,"W"&amp;A13)&lt;&gt;1,"编号重复",IF(AND(L13&gt;1,COUNTIFS($AG$10:$AG$109,"W"&amp;V13,$B$10:$B$109,"&lt;&gt;")&lt;&gt;1),"缺少父任务",IF(J13="删除","待删除",IF(P13=0,"父任务已删除或无效",IF(K13="汇总",IF(COUNTIFS($S$10:$S$109,"&gt;"&amp;S13,$S$10:$S$109,"&lt;"&amp;(S13+IF(L13=1,1000000,IF(L13=2,1000,1))),$P$10:$P$109,1)=0,"等待子任务","由下级汇总"),IF(OR(D13="",E13=""),"待补日期",IF(E13&lt;D13,"结束早于开始",IF(AND(I13="里程碑",D13&lt;&gt;E13),"里程碑须同日","")))))))))))</f>
        <v/>
      </c>
      <c r="Y13" s="1">
        <f>IF(AA13=1,D13,100000000)</f>
        <v>46330</v>
      </c>
      <c r="Z13" s="1">
        <f>IF(AA13=1,E13,0)</f>
        <v>46330</v>
      </c>
      <c r="AA13" s="1">
        <f>IF(AND(P13=1,K13&lt;&gt;"汇总",ISNUMBER(F13),OR(I13&lt;&gt;"里程碑",D13=E13)),1,0)</f>
        <v>1</v>
      </c>
      <c r="AB13" s="1">
        <f>IF(A13="",0,IFERROR(VALUE(MID(("W"&amp;A13),2,FIND(".",("W"&amp;A13)&amp;".")-2)),-1))</f>
        <v>1</v>
      </c>
      <c r="AC13" s="1">
        <f>IF(OR(A13="",L13&lt;2),0,IFERROR(VALUE(MID(("W"&amp;A13),FIND(".",("W"&amp;A13))+1,FIND(".",("W"&amp;A13)&amp;".",FIND(".",("W"&amp;A13))+1)-FIND(".",("W"&amp;A13))-1)),-1))</f>
        <v>3</v>
      </c>
      <c r="AD13" s="1">
        <f>IF(OR(A13="",L13&lt;3),0,IFERROR(VALUE(RIGHT(("W"&amp;A13),LEN(("W"&amp;A13))-FIND(".",("W"&amp;A13),FIND(".",("W"&amp;A13))+1))),-1))</f>
        <v>0</v>
      </c>
      <c r="AE13" s="1">
        <f>IF(A13="",0,IF(AND(L13&lt;=3,AB13&gt;=1,AB13&lt;=999,AC13&gt;=0,AC13&lt;=999,AD13&gt;=0,AD13&lt;=999,A13=TEXT(AB13,"0")&amp;IF(L13&gt;1,"."&amp;TEXT(AC13,"0"),"")&amp;IF(L13&gt;2,"."&amp;TEXT(AD13,"0"),""),OR(L13&lt;2,AC13&gt;=1),OR(L13&lt;3,AD13&gt;=1)),1,0))</f>
        <v>1</v>
      </c>
      <c r="AF13" s="1"/>
      <c r="AG13" t="str">
        <f>"W"&amp;A13</f>
        <v>W1.3</v>
      </c>
    </row>
    <row r="14" spans="1:33" ht="16.5">
      <c r="A14" s="12" t="str">
        <f>IF(ROW()-9&gt;ROWS(TimingTasks[WBS]),"",IF(AND(INDEX(TimingTasks[WBS],ROW()-9)="",NOT(ISNUMBER(INDEX(TimingTasks[WBS],ROW()-9)))),"",INDEX(TimingTasks[WBS],ROW()-9)))</f>
        <v>2</v>
      </c>
      <c r="B14" s="10" t="str">
        <f>IF(ROW()-9&gt;ROWS(TimingTasks[WBS]),"",IF(AND(INDEX(TimingTasks[任务名称],ROW()-9)="",NOT(ISNUMBER(INDEX(TimingTasks[任务名称],ROW()-9)))),"",INDEX(TimingTasks[任务名称],ROW()-9)))</f>
        <v>试制验证</v>
      </c>
      <c r="C14" s="10" t="str">
        <f>IF(ROW()-9&gt;ROWS(TimingTasks[WBS]),"",IF(AND(INDEX(TimingTasks[负责人],ROW()-9)="",NOT(ISNUMBER(INDEX(TimingTasks[负责人],ROW()-9)))),"",INDEX(TimingTasks[负责人],ROW()-9)))</f>
        <v>张工</v>
      </c>
      <c r="D14" s="11" t="str">
        <f>IF(ROW()-9&gt;ROWS(TimingTasks[WBS]),"",IF(AND(INDEX(TimingTasks[输入开始],ROW()-9)="",NOT(ISNUMBER(INDEX(TimingTasks[输入开始],ROW()-9)))),"",INDEX(TimingTasks[输入开始],ROW()-9)))</f>
        <v/>
      </c>
      <c r="E14" s="11" t="str">
        <f>IF(ROW()-9&gt;ROWS(TimingTasks[WBS]),"",IF(AND(INDEX(TimingTasks[输入结束],ROW()-9)="",NOT(ISNUMBER(INDEX(TimingTasks[输入结束],ROW()-9)))),"",INDEX(TimingTasks[输入结束],ROW()-9)))</f>
        <v/>
      </c>
      <c r="F14" s="1" t="str">
        <f>IF(OR(P14=0,K14="汇总",D14="",E14="",E14&lt;D14),"",IF(I14="里程碑",0,NETWORKDAYS(D14,E14)))</f>
        <v/>
      </c>
      <c r="G14" s="15">
        <f>IF(ROW()-9&gt;ROWS(TimingTasks[WBS]),"",IF(AND(INDEX(TimingTasks[输入完成度],ROW()-9)="",NOT(ISNUMBER(INDEX(TimingTasks[输入完成度],ROW()-9)))),0,INDEX(TimingTasks[输入完成度],ROW()-9)))</f>
        <v>0</v>
      </c>
      <c r="H14" s="10" t="str">
        <f>IF(ROW()-9&gt;ROWS(TimingTasks[WBS]),"",IF(AND(INDEX(TimingTasks[前置任务 WBS],ROW()-9)="",NOT(ISNUMBER(INDEX(TimingTasks[前置任务 WBS],ROW()-9)))),"",INDEX(TimingTasks[前置任务 WBS],ROW()-9)))</f>
        <v/>
      </c>
      <c r="I14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4" s="10" t="str">
        <f>IF(ROW()-9&gt;ROWS(TimingTasks[WBS]),"",IF(AND(INDEX(TimingTasks[操作],ROW()-9)="",NOT(ISNUMBER(INDEX(TimingTasks[操作],ROW()-9)))),"保留",INDEX(TimingTasks[操作],ROW()-9)))</f>
        <v>保留</v>
      </c>
      <c r="K14" s="1" t="str">
        <f>IF(P14=0,"",IF(OR(AND(L14=1,D14="",E14="",I14&lt;&gt;"里程碑"),COUNTIFS($S$10:$S$109,"&gt;"&amp;S14,$S$10:$S$109,"&lt;"&amp;(S14+IF(L14=1,1000000,IF(L14=2,1000,1))),$P$10:$P$109,1)&gt;0),"汇总",I14))</f>
        <v>汇总</v>
      </c>
      <c r="L14" s="1">
        <f>IF(A14="","",LEN(("W"&amp;A14))-LEN(SUBSTITUTE(("W"&amp;A14),".",""))+1)</f>
        <v>1</v>
      </c>
      <c r="M14" s="3">
        <f>IF(P14=0,"",IF(K14="汇总",IF(COUNTIFS($S$10:$S$109,"&gt;"&amp;S14,$S$10:$S$109,"&lt;"&amp;(S14+IF(L14=1,1000000,IF(L14=2,1000,1))),$AA$10:$AA$109,1)=0,"",_xlfn.MINIFS($Y$10:$Y$109,$S$10:$S$109,"&gt;"&amp;S14,$S$10:$S$109,"&lt;"&amp;(S14+IF(L14=1,1000000,IF(L14=2,1000,1))),$AA$10:$AA$109,1)),IF(AA14=1,D14,"")))</f>
        <v>46331</v>
      </c>
      <c r="N14" s="3">
        <f>IF(P14=0,"",IF(K14="汇总",IF(COUNTIFS($S$10:$S$109,"&gt;"&amp;S14,$S$10:$S$109,"&lt;"&amp;(S14+IF(L14=1,1000000,IF(L14=2,1000,1))),$AA$10:$AA$109,1)=0,"",_xlfn.MAXIFS($Z$10:$Z$109,$S$10:$S$109,"&gt;"&amp;S14,$S$10:$S$109,"&lt;"&amp;(S14+IF(L14=1,1000000,IF(L14=2,1000,1))),$AA$10:$AA$109,1)),IF(AA14=1,E14,"")))</f>
        <v>46344</v>
      </c>
      <c r="O14" s="7">
        <f>IF(K14="汇总",ROUND((IF(P14=0,"",IF(K14="汇总",IF(SUMIFS($Q$10:$Q$109,$S$10:$S$109,"&gt;"&amp;S14,$S$10:$S$109,"&lt;"&amp;(S14+IF(L14=1,1000000,IF(L14=2,1000,1))))=0,0,SUMIFS($R$10:$R$109,$S$10:$S$109,"&gt;"&amp;S14,$S$10:$S$109,"&lt;"&amp;(S14+IF(L14=1,1000000,IF(L14=2,1000,1))))/SUMIFS($Q$10:$Q$109,$S$10:$S$109,"&gt;"&amp;S14,$S$10:$S$109,"&lt;"&amp;(S14+IF(L14=1,1000000,IF(L14=2,1000,1))))),G14)))*100,0)/100,IF(P14=0,"",IF(K14="汇总",IF(SUMIFS($Q$10:$Q$109,$S$10:$S$109,"&gt;"&amp;S14,$S$10:$S$109,"&lt;"&amp;(S14+IF(L14=1,1000000,IF(L14=2,1000,1))))=0,0,SUMIFS($R$10:$R$109,$S$10:$S$109,"&gt;"&amp;S14,$S$10:$S$109,"&lt;"&amp;(S14+IF(L14=1,1000000,IF(L14=2,1000,1))))/SUMIFS($Q$10:$Q$109,$S$10:$S$109,"&gt;"&amp;S14,$S$10:$S$109,"&lt;"&amp;(S14+IF(L14=1,1000000,IF(L14=2,1000,1))))),G14)))</f>
        <v>0</v>
      </c>
      <c r="P14" s="1">
        <f>IF(OR(A14="",B14="",J14="删除",AE14=0,COUNTIFS($AG$10:$AG$109,"W"&amp;A14)&lt;&gt;1,AND(L14&gt;1,COUNTIFS($AG$10:$AG$109,"W"&amp;V14,$B$10:$B$109,"&lt;&gt;")&lt;&gt;1),AND(L14=3,COUNTIFS($AG$10:$AG$109,"W"&amp;W14,$B$10:$B$109,"&lt;&gt;")&lt;&gt;1),COUNTIFS($AG$10:$AG$109,"W"&amp;V14,$J$10:$J$109,"删除")&gt;0,COUNTIFS($AG$10:$AG$109,"W"&amp;W14,$J$10:$J$109,"删除")&gt;0),0,1)</f>
        <v>1</v>
      </c>
      <c r="Q14" s="1">
        <f>IF(AA14=0,0,IF(I14="里程碑",1,F14))</f>
        <v>0</v>
      </c>
      <c r="R14" s="1">
        <f>IF(AA14=0,0,Q14*G14)</f>
        <v>0</v>
      </c>
      <c r="S14" s="1">
        <f>IF(P14=0,1000000000000000,AB14*1000000+AC14*1000+AD14)</f>
        <v>2000000</v>
      </c>
      <c r="T14" s="1">
        <f>IF(P14=0,0,IF(Timing浏览!$D$5="全部",1,IF(Timing浏览!$D$5="仅里程碑",IF(K14="里程碑",1,0),IF(L14&lt;=VALUE(LEFT(Timing浏览!$D$5,1)),1,0))))</f>
        <v>1</v>
      </c>
      <c r="U14" s="1">
        <f>IF(T14=0,"",COUNTIFS($S$10:$S$109,"&lt;"&amp;S14,$T$10:$T$109,1)+1)</f>
        <v>5</v>
      </c>
      <c r="V14" s="1" t="str">
        <f>IF(OR(A14="",L14=1),"",IF(L14=2,TEXT(AB14,"0"),TEXT(AB14,"0")&amp;"."&amp;TEXT(AC14,"0")))</f>
        <v/>
      </c>
      <c r="W14" s="1" t="str">
        <f>IF(OR(A14="",L14=1),"",TEXT(AB14,"0"))</f>
        <v/>
      </c>
      <c r="X14" s="1" t="str">
        <f>IF(AND(A14="",B14=""),"",IF(OR(A14="",B14=""),"请补编号和名称",IF(AE14=0,"编号需为1至3级正整数",IF(COUNTIFS($AG$10:$AG$109,"W"&amp;A14)&lt;&gt;1,"编号重复",IF(AND(L14&gt;1,COUNTIFS($AG$10:$AG$109,"W"&amp;V14,$B$10:$B$109,"&lt;&gt;")&lt;&gt;1),"缺少父任务",IF(J14="删除","待删除",IF(P14=0,"父任务已删除或无效",IF(K14="汇总",IF(COUNTIFS($S$10:$S$109,"&gt;"&amp;S14,$S$10:$S$109,"&lt;"&amp;(S14+IF(L14=1,1000000,IF(L14=2,1000,1))),$P$10:$P$109,1)=0,"等待子任务","由下级汇总"),IF(OR(D14="",E14=""),"待补日期",IF(E14&lt;D14,"结束早于开始",IF(AND(I14="里程碑",D14&lt;&gt;E14),"里程碑须同日","")))))))))))</f>
        <v>由下级汇总</v>
      </c>
      <c r="Y14" s="1">
        <f>IF(AA14=1,D14,100000000)</f>
        <v>100000000</v>
      </c>
      <c r="Z14" s="1">
        <f>IF(AA14=1,E14,0)</f>
        <v>0</v>
      </c>
      <c r="AA14" s="1">
        <f>IF(AND(P14=1,K14&lt;&gt;"汇总",ISNUMBER(F14),OR(I14&lt;&gt;"里程碑",D14=E14)),1,0)</f>
        <v>0</v>
      </c>
      <c r="AB14" s="1">
        <f>IF(A14="",0,IFERROR(VALUE(MID(("W"&amp;A14),2,FIND(".",("W"&amp;A14)&amp;".")-2)),-1))</f>
        <v>2</v>
      </c>
      <c r="AC14" s="1">
        <f>IF(OR(A14="",L14&lt;2),0,IFERROR(VALUE(MID(("W"&amp;A14),FIND(".",("W"&amp;A14))+1,FIND(".",("W"&amp;A14)&amp;".",FIND(".",("W"&amp;A14))+1)-FIND(".",("W"&amp;A14))-1)),-1))</f>
        <v>0</v>
      </c>
      <c r="AD14" s="1">
        <f>IF(OR(A14="",L14&lt;3),0,IFERROR(VALUE(RIGHT(("W"&amp;A14),LEN(("W"&amp;A14))-FIND(".",("W"&amp;A14),FIND(".",("W"&amp;A14))+1))),-1))</f>
        <v>0</v>
      </c>
      <c r="AE14" s="1">
        <f>IF(A14="",0,IF(AND(L14&lt;=3,AB14&gt;=1,AB14&lt;=999,AC14&gt;=0,AC14&lt;=999,AD14&gt;=0,AD14&lt;=999,A14=TEXT(AB14,"0")&amp;IF(L14&gt;1,"."&amp;TEXT(AC14,"0"),"")&amp;IF(L14&gt;2,"."&amp;TEXT(AD14,"0"),""),OR(L14&lt;2,AC14&gt;=1),OR(L14&lt;3,AD14&gt;=1)),1,0))</f>
        <v>1</v>
      </c>
      <c r="AF14" s="1"/>
      <c r="AG14" t="str">
        <f>"W"&amp;A14</f>
        <v>W2</v>
      </c>
    </row>
    <row r="15" spans="1:33" ht="16.5">
      <c r="A15" s="12" t="str">
        <f>IF(ROW()-9&gt;ROWS(TimingTasks[WBS]),"",IF(AND(INDEX(TimingTasks[WBS],ROW()-9)="",NOT(ISNUMBER(INDEX(TimingTasks[WBS],ROW()-9)))),"",INDEX(TimingTasks[WBS],ROW()-9)))</f>
        <v>2.1</v>
      </c>
      <c r="B15" s="10" t="str">
        <f>IF(ROW()-9&gt;ROWS(TimingTasks[WBS]),"",IF(AND(INDEX(TimingTasks[任务名称],ROW()-9)="",NOT(ISNUMBER(INDEX(TimingTasks[任务名称],ROW()-9)))),"",INDEX(TimingTasks[任务名称],ROW()-9)))</f>
        <v>样件制造与试验</v>
      </c>
      <c r="C15" s="10" t="str">
        <f>IF(ROW()-9&gt;ROWS(TimingTasks[WBS]),"",IF(AND(INDEX(TimingTasks[负责人],ROW()-9)="",NOT(ISNUMBER(INDEX(TimingTasks[负责人],ROW()-9)))),"",INDEX(TimingTasks[负责人],ROW()-9)))</f>
        <v>张工</v>
      </c>
      <c r="D15" s="11">
        <f>IF(ROW()-9&gt;ROWS(TimingTasks[WBS]),"",IF(AND(INDEX(TimingTasks[输入开始],ROW()-9)="",NOT(ISNUMBER(INDEX(TimingTasks[输入开始],ROW()-9)))),"",INDEX(TimingTasks[输入开始],ROW()-9)))</f>
        <v>46331</v>
      </c>
      <c r="E15" s="11">
        <f>IF(ROW()-9&gt;ROWS(TimingTasks[WBS]),"",IF(AND(INDEX(TimingTasks[输入结束],ROW()-9)="",NOT(ISNUMBER(INDEX(TimingTasks[输入结束],ROW()-9)))),"",INDEX(TimingTasks[输入结束],ROW()-9)))</f>
        <v>46344</v>
      </c>
      <c r="F15" s="1">
        <f>IF(OR(P15=0,K15="汇总",D15="",E15="",E15&lt;D15),"",IF(I15="里程碑",0,NETWORKDAYS(D15,E15)))</f>
        <v>10</v>
      </c>
      <c r="G15" s="15">
        <f>IF(ROW()-9&gt;ROWS(TimingTasks[WBS]),"",IF(AND(INDEX(TimingTasks[输入完成度],ROW()-9)="",NOT(ISNUMBER(INDEX(TimingTasks[输入完成度],ROW()-9)))),0,INDEX(TimingTasks[输入完成度],ROW()-9)))</f>
        <v>0</v>
      </c>
      <c r="H15" s="10" t="str">
        <f>IF(ROW()-9&gt;ROWS(TimingTasks[WBS]),"",IF(AND(INDEX(TimingTasks[前置任务 WBS],ROW()-9)="",NOT(ISNUMBER(INDEX(TimingTasks[前置任务 WBS],ROW()-9)))),"",INDEX(TimingTasks[前置任务 WBS],ROW()-9)))</f>
        <v>1.3</v>
      </c>
      <c r="I15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5" s="10" t="str">
        <f>IF(ROW()-9&gt;ROWS(TimingTasks[WBS]),"",IF(AND(INDEX(TimingTasks[操作],ROW()-9)="",NOT(ISNUMBER(INDEX(TimingTasks[操作],ROW()-9)))),"保留",INDEX(TimingTasks[操作],ROW()-9)))</f>
        <v>保留</v>
      </c>
      <c r="K15" s="1" t="str">
        <f>IF(P15=0,"",IF(OR(AND(L15=1,D15="",E15="",I15&lt;&gt;"里程碑"),COUNTIFS($S$10:$S$109,"&gt;"&amp;S15,$S$10:$S$109,"&lt;"&amp;(S15+IF(L15=1,1000000,IF(L15=2,1000,1))),$P$10:$P$109,1)&gt;0),"汇总",I15))</f>
        <v>普通任务</v>
      </c>
      <c r="L15" s="1">
        <f>IF(A15="","",LEN(("W"&amp;A15))-LEN(SUBSTITUTE(("W"&amp;A15),".",""))+1)</f>
        <v>2</v>
      </c>
      <c r="M15" s="3">
        <f>IF(P15=0,"",IF(K15="汇总",IF(COUNTIFS($S$10:$S$109,"&gt;"&amp;S15,$S$10:$S$109,"&lt;"&amp;(S15+IF(L15=1,1000000,IF(L15=2,1000,1))),$AA$10:$AA$109,1)=0,"",_xlfn.MINIFS($Y$10:$Y$109,$S$10:$S$109,"&gt;"&amp;S15,$S$10:$S$109,"&lt;"&amp;(S15+IF(L15=1,1000000,IF(L15=2,1000,1))),$AA$10:$AA$109,1)),IF(AA15=1,D15,"")))</f>
        <v>46331</v>
      </c>
      <c r="N15" s="3">
        <f>IF(P15=0,"",IF(K15="汇总",IF(COUNTIFS($S$10:$S$109,"&gt;"&amp;S15,$S$10:$S$109,"&lt;"&amp;(S15+IF(L15=1,1000000,IF(L15=2,1000,1))),$AA$10:$AA$109,1)=0,"",_xlfn.MAXIFS($Z$10:$Z$109,$S$10:$S$109,"&gt;"&amp;S15,$S$10:$S$109,"&lt;"&amp;(S15+IF(L15=1,1000000,IF(L15=2,1000,1))),$AA$10:$AA$109,1)),IF(AA15=1,E15,"")))</f>
        <v>46344</v>
      </c>
      <c r="O15" s="7">
        <f>IF(K15="汇总",ROUND((IF(P15=0,"",IF(K15="汇总",IF(SUMIFS($Q$10:$Q$109,$S$10:$S$109,"&gt;"&amp;S15,$S$10:$S$109,"&lt;"&amp;(S15+IF(L15=1,1000000,IF(L15=2,1000,1))))=0,0,SUMIFS($R$10:$R$109,$S$10:$S$109,"&gt;"&amp;S15,$S$10:$S$109,"&lt;"&amp;(S15+IF(L15=1,1000000,IF(L15=2,1000,1))))/SUMIFS($Q$10:$Q$109,$S$10:$S$109,"&gt;"&amp;S15,$S$10:$S$109,"&lt;"&amp;(S15+IF(L15=1,1000000,IF(L15=2,1000,1))))),G15)))*100,0)/100,IF(P15=0,"",IF(K15="汇总",IF(SUMIFS($Q$10:$Q$109,$S$10:$S$109,"&gt;"&amp;S15,$S$10:$S$109,"&lt;"&amp;(S15+IF(L15=1,1000000,IF(L15=2,1000,1))))=0,0,SUMIFS($R$10:$R$109,$S$10:$S$109,"&gt;"&amp;S15,$S$10:$S$109,"&lt;"&amp;(S15+IF(L15=1,1000000,IF(L15=2,1000,1))))/SUMIFS($Q$10:$Q$109,$S$10:$S$109,"&gt;"&amp;S15,$S$10:$S$109,"&lt;"&amp;(S15+IF(L15=1,1000000,IF(L15=2,1000,1))))),G15)))</f>
        <v>0</v>
      </c>
      <c r="P15" s="1">
        <f>IF(OR(A15="",B15="",J15="删除",AE15=0,COUNTIFS($AG$10:$AG$109,"W"&amp;A15)&lt;&gt;1,AND(L15&gt;1,COUNTIFS($AG$10:$AG$109,"W"&amp;V15,$B$10:$B$109,"&lt;&gt;")&lt;&gt;1),AND(L15=3,COUNTIFS($AG$10:$AG$109,"W"&amp;W15,$B$10:$B$109,"&lt;&gt;")&lt;&gt;1),COUNTIFS($AG$10:$AG$109,"W"&amp;V15,$J$10:$J$109,"删除")&gt;0,COUNTIFS($AG$10:$AG$109,"W"&amp;W15,$J$10:$J$109,"删除")&gt;0),0,1)</f>
        <v>1</v>
      </c>
      <c r="Q15" s="1">
        <f>IF(AA15=0,0,IF(I15="里程碑",1,F15))</f>
        <v>10</v>
      </c>
      <c r="R15" s="1">
        <f>IF(AA15=0,0,Q15*G15)</f>
        <v>0</v>
      </c>
      <c r="S15" s="1">
        <f>IF(P15=0,1000000000000000,AB15*1000000+AC15*1000+AD15)</f>
        <v>2001000</v>
      </c>
      <c r="T15" s="1">
        <f>IF(P15=0,0,IF(Timing浏览!$D$5="全部",1,IF(Timing浏览!$D$5="仅里程碑",IF(K15="里程碑",1,0),IF(L15&lt;=VALUE(LEFT(Timing浏览!$D$5,1)),1,0))))</f>
        <v>1</v>
      </c>
      <c r="U15" s="1">
        <f>IF(T15=0,"",COUNTIFS($S$10:$S$109,"&lt;"&amp;S15,$T$10:$T$109,1)+1)</f>
        <v>6</v>
      </c>
      <c r="V15" s="1" t="str">
        <f>IF(OR(A15="",L15=1),"",IF(L15=2,TEXT(AB15,"0"),TEXT(AB15,"0")&amp;"."&amp;TEXT(AC15,"0")))</f>
        <v>2</v>
      </c>
      <c r="W15" s="1" t="str">
        <f>IF(OR(A15="",L15=1),"",TEXT(AB15,"0"))</f>
        <v>2</v>
      </c>
      <c r="X15" s="1" t="str">
        <f>IF(AND(A15="",B15=""),"",IF(OR(A15="",B15=""),"请补编号和名称",IF(AE15=0,"编号需为1至3级正整数",IF(COUNTIFS($AG$10:$AG$109,"W"&amp;A15)&lt;&gt;1,"编号重复",IF(AND(L15&gt;1,COUNTIFS($AG$10:$AG$109,"W"&amp;V15,$B$10:$B$109,"&lt;&gt;")&lt;&gt;1),"缺少父任务",IF(J15="删除","待删除",IF(P15=0,"父任务已删除或无效",IF(K15="汇总",IF(COUNTIFS($S$10:$S$109,"&gt;"&amp;S15,$S$10:$S$109,"&lt;"&amp;(S15+IF(L15=1,1000000,IF(L15=2,1000,1))),$P$10:$P$109,1)=0,"等待子任务","由下级汇总"),IF(OR(D15="",E15=""),"待补日期",IF(E15&lt;D15,"结束早于开始",IF(AND(I15="里程碑",D15&lt;&gt;E15),"里程碑须同日","")))))))))))</f>
        <v/>
      </c>
      <c r="Y15" s="1">
        <f>IF(AA15=1,D15,100000000)</f>
        <v>46331</v>
      </c>
      <c r="Z15" s="1">
        <f>IF(AA15=1,E15,0)</f>
        <v>46344</v>
      </c>
      <c r="AA15" s="1">
        <f>IF(AND(P15=1,K15&lt;&gt;"汇总",ISNUMBER(F15),OR(I15&lt;&gt;"里程碑",D15=E15)),1,0)</f>
        <v>1</v>
      </c>
      <c r="AB15" s="1">
        <f>IF(A15="",0,IFERROR(VALUE(MID(("W"&amp;A15),2,FIND(".",("W"&amp;A15)&amp;".")-2)),-1))</f>
        <v>2</v>
      </c>
      <c r="AC15" s="1">
        <f>IF(OR(A15="",L15&lt;2),0,IFERROR(VALUE(MID(("W"&amp;A15),FIND(".",("W"&amp;A15))+1,FIND(".",("W"&amp;A15)&amp;".",FIND(".",("W"&amp;A15))+1)-FIND(".",("W"&amp;A15))-1)),-1))</f>
        <v>1</v>
      </c>
      <c r="AD15" s="1">
        <f>IF(OR(A15="",L15&lt;3),0,IFERROR(VALUE(RIGHT(("W"&amp;A15),LEN(("W"&amp;A15))-FIND(".",("W"&amp;A15),FIND(".",("W"&amp;A15))+1))),-1))</f>
        <v>0</v>
      </c>
      <c r="AE15" s="1">
        <f>IF(A15="",0,IF(AND(L15&lt;=3,AB15&gt;=1,AB15&lt;=999,AC15&gt;=0,AC15&lt;=999,AD15&gt;=0,AD15&lt;=999,A15=TEXT(AB15,"0")&amp;IF(L15&gt;1,"."&amp;TEXT(AC15,"0"),"")&amp;IF(L15&gt;2,"."&amp;TEXT(AD15,"0"),""),OR(L15&lt;2,AC15&gt;=1),OR(L15&lt;3,AD15&gt;=1)),1,0))</f>
        <v>1</v>
      </c>
      <c r="AF15" s="1"/>
      <c r="AG15" t="str">
        <f>"W"&amp;A15</f>
        <v>W2.1</v>
      </c>
    </row>
    <row r="16" spans="1:33" ht="16.5">
      <c r="A16" s="12" t="str">
        <f>IF(ROW()-9&gt;ROWS(TimingTasks[WBS]),"",IF(AND(INDEX(TimingTasks[WBS],ROW()-9)="",NOT(ISNUMBER(INDEX(TimingTasks[WBS],ROW()-9)))),"",INDEX(TimingTasks[WBS],ROW()-9)))</f>
        <v>3</v>
      </c>
      <c r="B16" s="10" t="str">
        <f>IF(ROW()-9&gt;ROWS(TimingTasks[WBS]),"",IF(AND(INDEX(TimingTasks[任务名称],ROW()-9)="",NOT(ISNUMBER(INDEX(TimingTasks[任务名称],ROW()-9)))),"",INDEX(TimingTasks[任务名称],ROW()-9)))</f>
        <v>量产移交</v>
      </c>
      <c r="C16" s="10" t="str">
        <f>IF(ROW()-9&gt;ROWS(TimingTasks[WBS]),"",IF(AND(INDEX(TimingTasks[负责人],ROW()-9)="",NOT(ISNUMBER(INDEX(TimingTasks[负责人],ROW()-9)))),"",INDEX(TimingTasks[负责人],ROW()-9)))</f>
        <v>张工</v>
      </c>
      <c r="D16" s="11">
        <f>IF(ROW()-9&gt;ROWS(TimingTasks[WBS]),"",IF(AND(INDEX(TimingTasks[输入开始],ROW()-9)="",NOT(ISNUMBER(INDEX(TimingTasks[输入开始],ROW()-9)))),"",INDEX(TimingTasks[输入开始],ROW()-9)))</f>
        <v>46345</v>
      </c>
      <c r="E16" s="11">
        <f>IF(ROW()-9&gt;ROWS(TimingTasks[WBS]),"",IF(AND(INDEX(TimingTasks[输入结束],ROW()-9)="",NOT(ISNUMBER(INDEX(TimingTasks[输入结束],ROW()-9)))),"",INDEX(TimingTasks[输入结束],ROW()-9)))</f>
        <v>46345</v>
      </c>
      <c r="F16" s="1">
        <f>IF(OR(P16=0,K16="汇总",D16="",E16="",E16&lt;D16),"",IF(I16="里程碑",0,NETWORKDAYS(D16,E16)))</f>
        <v>0</v>
      </c>
      <c r="G16" s="15">
        <f>IF(ROW()-9&gt;ROWS(TimingTasks[WBS]),"",IF(AND(INDEX(TimingTasks[输入完成度],ROW()-9)="",NOT(ISNUMBER(INDEX(TimingTasks[输入完成度],ROW()-9)))),0,INDEX(TimingTasks[输入完成度],ROW()-9)))</f>
        <v>0</v>
      </c>
      <c r="H16" s="10" t="str">
        <f>IF(ROW()-9&gt;ROWS(TimingTasks[WBS]),"",IF(AND(INDEX(TimingTasks[前置任务 WBS],ROW()-9)="",NOT(ISNUMBER(INDEX(TimingTasks[前置任务 WBS],ROW()-9)))),"",INDEX(TimingTasks[前置任务 WBS],ROW()-9)))</f>
        <v>2.1</v>
      </c>
      <c r="I16" s="10" t="str">
        <f>IF(ROW()-9&gt;ROWS(TimingTasks[WBS]),"",IF(AND(INDEX(TimingTasks[叶子类型],ROW()-9)="",NOT(ISNUMBER(INDEX(TimingTasks[叶子类型],ROW()-9)))),"普通任务",INDEX(TimingTasks[叶子类型],ROW()-9)))</f>
        <v>里程碑</v>
      </c>
      <c r="J16" s="10" t="str">
        <f>IF(ROW()-9&gt;ROWS(TimingTasks[WBS]),"",IF(AND(INDEX(TimingTasks[操作],ROW()-9)="",NOT(ISNUMBER(INDEX(TimingTasks[操作],ROW()-9)))),"保留",INDEX(TimingTasks[操作],ROW()-9)))</f>
        <v>保留</v>
      </c>
      <c r="K16" s="1" t="str">
        <f>IF(P16=0,"",IF(OR(AND(L16=1,D16="",E16="",I16&lt;&gt;"里程碑"),COUNTIFS($S$10:$S$109,"&gt;"&amp;S16,$S$10:$S$109,"&lt;"&amp;(S16+IF(L16=1,1000000,IF(L16=2,1000,1))),$P$10:$P$109,1)&gt;0),"汇总",I16))</f>
        <v>里程碑</v>
      </c>
      <c r="L16" s="1">
        <f>IF(A16="","",LEN(("W"&amp;A16))-LEN(SUBSTITUTE(("W"&amp;A16),".",""))+1)</f>
        <v>1</v>
      </c>
      <c r="M16" s="3">
        <f>IF(P16=0,"",IF(K16="汇总",IF(COUNTIFS($S$10:$S$109,"&gt;"&amp;S16,$S$10:$S$109,"&lt;"&amp;(S16+IF(L16=1,1000000,IF(L16=2,1000,1))),$AA$10:$AA$109,1)=0,"",_xlfn.MINIFS($Y$10:$Y$109,$S$10:$S$109,"&gt;"&amp;S16,$S$10:$S$109,"&lt;"&amp;(S16+IF(L16=1,1000000,IF(L16=2,1000,1))),$AA$10:$AA$109,1)),IF(AA16=1,D16,"")))</f>
        <v>46345</v>
      </c>
      <c r="N16" s="3">
        <f>IF(P16=0,"",IF(K16="汇总",IF(COUNTIFS($S$10:$S$109,"&gt;"&amp;S16,$S$10:$S$109,"&lt;"&amp;(S16+IF(L16=1,1000000,IF(L16=2,1000,1))),$AA$10:$AA$109,1)=0,"",_xlfn.MAXIFS($Z$10:$Z$109,$S$10:$S$109,"&gt;"&amp;S16,$S$10:$S$109,"&lt;"&amp;(S16+IF(L16=1,1000000,IF(L16=2,1000,1))),$AA$10:$AA$109,1)),IF(AA16=1,E16,"")))</f>
        <v>46345</v>
      </c>
      <c r="O16" s="7">
        <f>IF(K16="汇总",ROUND((IF(P16=0,"",IF(K16="汇总",IF(SUMIFS($Q$10:$Q$109,$S$10:$S$109,"&gt;"&amp;S16,$S$10:$S$109,"&lt;"&amp;(S16+IF(L16=1,1000000,IF(L16=2,1000,1))))=0,0,SUMIFS($R$10:$R$109,$S$10:$S$109,"&gt;"&amp;S16,$S$10:$S$109,"&lt;"&amp;(S16+IF(L16=1,1000000,IF(L16=2,1000,1))))/SUMIFS($Q$10:$Q$109,$S$10:$S$109,"&gt;"&amp;S16,$S$10:$S$109,"&lt;"&amp;(S16+IF(L16=1,1000000,IF(L16=2,1000,1))))),G16)))*100,0)/100,IF(P16=0,"",IF(K16="汇总",IF(SUMIFS($Q$10:$Q$109,$S$10:$S$109,"&gt;"&amp;S16,$S$10:$S$109,"&lt;"&amp;(S16+IF(L16=1,1000000,IF(L16=2,1000,1))))=0,0,SUMIFS($R$10:$R$109,$S$10:$S$109,"&gt;"&amp;S16,$S$10:$S$109,"&lt;"&amp;(S16+IF(L16=1,1000000,IF(L16=2,1000,1))))/SUMIFS($Q$10:$Q$109,$S$10:$S$109,"&gt;"&amp;S16,$S$10:$S$109,"&lt;"&amp;(S16+IF(L16=1,1000000,IF(L16=2,1000,1))))),G16)))</f>
        <v>0</v>
      </c>
      <c r="P16" s="1">
        <f>IF(OR(A16="",B16="",J16="删除",AE16=0,COUNTIFS($AG$10:$AG$109,"W"&amp;A16)&lt;&gt;1,AND(L16&gt;1,COUNTIFS($AG$10:$AG$109,"W"&amp;V16,$B$10:$B$109,"&lt;&gt;")&lt;&gt;1),AND(L16=3,COUNTIFS($AG$10:$AG$109,"W"&amp;W16,$B$10:$B$109,"&lt;&gt;")&lt;&gt;1),COUNTIFS($AG$10:$AG$109,"W"&amp;V16,$J$10:$J$109,"删除")&gt;0,COUNTIFS($AG$10:$AG$109,"W"&amp;W16,$J$10:$J$109,"删除")&gt;0),0,1)</f>
        <v>1</v>
      </c>
      <c r="Q16" s="1">
        <f>IF(AA16=0,0,IF(I16="里程碑",1,F16))</f>
        <v>1</v>
      </c>
      <c r="R16" s="1">
        <f>IF(AA16=0,0,Q16*G16)</f>
        <v>0</v>
      </c>
      <c r="S16" s="1">
        <f>IF(P16=0,1000000000000000,AB16*1000000+AC16*1000+AD16)</f>
        <v>3000000</v>
      </c>
      <c r="T16" s="1">
        <f>IF(P16=0,0,IF(Timing浏览!$D$5="全部",1,IF(Timing浏览!$D$5="仅里程碑",IF(K16="里程碑",1,0),IF(L16&lt;=VALUE(LEFT(Timing浏览!$D$5,1)),1,0))))</f>
        <v>1</v>
      </c>
      <c r="U16" s="1">
        <f>IF(T16=0,"",COUNTIFS($S$10:$S$109,"&lt;"&amp;S16,$T$10:$T$109,1)+1)</f>
        <v>7</v>
      </c>
      <c r="V16" s="1" t="str">
        <f>IF(OR(A16="",L16=1),"",IF(L16=2,TEXT(AB16,"0"),TEXT(AB16,"0")&amp;"."&amp;TEXT(AC16,"0")))</f>
        <v/>
      </c>
      <c r="W16" s="1" t="str">
        <f>IF(OR(A16="",L16=1),"",TEXT(AB16,"0"))</f>
        <v/>
      </c>
      <c r="X16" s="1" t="str">
        <f>IF(AND(A16="",B16=""),"",IF(OR(A16="",B16=""),"请补编号和名称",IF(AE16=0,"编号需为1至3级正整数",IF(COUNTIFS($AG$10:$AG$109,"W"&amp;A16)&lt;&gt;1,"编号重复",IF(AND(L16&gt;1,COUNTIFS($AG$10:$AG$109,"W"&amp;V16,$B$10:$B$109,"&lt;&gt;")&lt;&gt;1),"缺少父任务",IF(J16="删除","待删除",IF(P16=0,"父任务已删除或无效",IF(K16="汇总",IF(COUNTIFS($S$10:$S$109,"&gt;"&amp;S16,$S$10:$S$109,"&lt;"&amp;(S16+IF(L16=1,1000000,IF(L16=2,1000,1))),$P$10:$P$109,1)=0,"等待子任务","由下级汇总"),IF(OR(D16="",E16=""),"待补日期",IF(E16&lt;D16,"结束早于开始",IF(AND(I16="里程碑",D16&lt;&gt;E16),"里程碑须同日","")))))))))))</f>
        <v/>
      </c>
      <c r="Y16" s="1">
        <f>IF(AA16=1,D16,100000000)</f>
        <v>46345</v>
      </c>
      <c r="Z16" s="1">
        <f>IF(AA16=1,E16,0)</f>
        <v>46345</v>
      </c>
      <c r="AA16" s="1">
        <f>IF(AND(P16=1,K16&lt;&gt;"汇总",ISNUMBER(F16),OR(I16&lt;&gt;"里程碑",D16=E16)),1,0)</f>
        <v>1</v>
      </c>
      <c r="AB16" s="1">
        <f>IF(A16="",0,IFERROR(VALUE(MID(("W"&amp;A16),2,FIND(".",("W"&amp;A16)&amp;".")-2)),-1))</f>
        <v>3</v>
      </c>
      <c r="AC16" s="1">
        <f>IF(OR(A16="",L16&lt;2),0,IFERROR(VALUE(MID(("W"&amp;A16),FIND(".",("W"&amp;A16))+1,FIND(".",("W"&amp;A16)&amp;".",FIND(".",("W"&amp;A16))+1)-FIND(".",("W"&amp;A16))-1)),-1))</f>
        <v>0</v>
      </c>
      <c r="AD16" s="1">
        <f>IF(OR(A16="",L16&lt;3),0,IFERROR(VALUE(RIGHT(("W"&amp;A16),LEN(("W"&amp;A16))-FIND(".",("W"&amp;A16),FIND(".",("W"&amp;A16))+1))),-1))</f>
        <v>0</v>
      </c>
      <c r="AE16" s="1">
        <f>IF(A16="",0,IF(AND(L16&lt;=3,AB16&gt;=1,AB16&lt;=999,AC16&gt;=0,AC16&lt;=999,AD16&gt;=0,AD16&lt;=999,A16=TEXT(AB16,"0")&amp;IF(L16&gt;1,"."&amp;TEXT(AC16,"0"),"")&amp;IF(L16&gt;2,"."&amp;TEXT(AD16,"0"),""),OR(L16&lt;2,AC16&gt;=1),OR(L16&lt;3,AD16&gt;=1)),1,0))</f>
        <v>1</v>
      </c>
      <c r="AF16" s="1"/>
      <c r="AG16" t="str">
        <f>"W"&amp;A16</f>
        <v>W3</v>
      </c>
    </row>
    <row r="17" spans="1:33" ht="16.5">
      <c r="A17" s="12" t="str">
        <f>IF(ROW()-9&gt;ROWS(TimingTasks[WBS]),"",IF(AND(INDEX(TimingTasks[WBS],ROW()-9)="",NOT(ISNUMBER(INDEX(TimingTasks[WBS],ROW()-9)))),"",INDEX(TimingTasks[WBS],ROW()-9)))</f>
        <v/>
      </c>
      <c r="B17" s="10" t="str">
        <f>IF(ROW()-9&gt;ROWS(TimingTasks[WBS]),"",IF(AND(INDEX(TimingTasks[任务名称],ROW()-9)="",NOT(ISNUMBER(INDEX(TimingTasks[任务名称],ROW()-9)))),"",INDEX(TimingTasks[任务名称],ROW()-9)))</f>
        <v/>
      </c>
      <c r="C17" s="10" t="str">
        <f>IF(ROW()-9&gt;ROWS(TimingTasks[WBS]),"",IF(AND(INDEX(TimingTasks[负责人],ROW()-9)="",NOT(ISNUMBER(INDEX(TimingTasks[负责人],ROW()-9)))),"",INDEX(TimingTasks[负责人],ROW()-9)))</f>
        <v/>
      </c>
      <c r="D17" s="11" t="str">
        <f>IF(ROW()-9&gt;ROWS(TimingTasks[WBS]),"",IF(AND(INDEX(TimingTasks[输入开始],ROW()-9)="",NOT(ISNUMBER(INDEX(TimingTasks[输入开始],ROW()-9)))),"",INDEX(TimingTasks[输入开始],ROW()-9)))</f>
        <v/>
      </c>
      <c r="E17" s="11" t="str">
        <f>IF(ROW()-9&gt;ROWS(TimingTasks[WBS]),"",IF(AND(INDEX(TimingTasks[输入结束],ROW()-9)="",NOT(ISNUMBER(INDEX(TimingTasks[输入结束],ROW()-9)))),"",INDEX(TimingTasks[输入结束],ROW()-9)))</f>
        <v/>
      </c>
      <c r="F17" s="1" t="str">
        <f>IF(OR(P17=0,K17="汇总",D17="",E17="",E17&lt;D17),"",IF(I17="里程碑",0,NETWORKDAYS(D17,E17)))</f>
        <v/>
      </c>
      <c r="G17" s="15">
        <f>IF(ROW()-9&gt;ROWS(TimingTasks[WBS]),"",IF(AND(INDEX(TimingTasks[输入完成度],ROW()-9)="",NOT(ISNUMBER(INDEX(TimingTasks[输入完成度],ROW()-9)))),0,INDEX(TimingTasks[输入完成度],ROW()-9)))</f>
        <v>0</v>
      </c>
      <c r="H17" s="10" t="str">
        <f>IF(ROW()-9&gt;ROWS(TimingTasks[WBS]),"",IF(AND(INDEX(TimingTasks[前置任务 WBS],ROW()-9)="",NOT(ISNUMBER(INDEX(TimingTasks[前置任务 WBS],ROW()-9)))),"",INDEX(TimingTasks[前置任务 WBS],ROW()-9)))</f>
        <v/>
      </c>
      <c r="I17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7" s="10" t="str">
        <f>IF(ROW()-9&gt;ROWS(TimingTasks[WBS]),"",IF(AND(INDEX(TimingTasks[操作],ROW()-9)="",NOT(ISNUMBER(INDEX(TimingTasks[操作],ROW()-9)))),"保留",INDEX(TimingTasks[操作],ROW()-9)))</f>
        <v>保留</v>
      </c>
      <c r="K17" s="1" t="str">
        <f>IF(P17=0,"",IF(OR(AND(L17=1,D17="",E17="",I17&lt;&gt;"里程碑"),COUNTIFS($S$10:$S$109,"&gt;"&amp;S17,$S$10:$S$109,"&lt;"&amp;(S17+IF(L17=1,1000000,IF(L17=2,1000,1))),$P$10:$P$109,1)&gt;0),"汇总",I17))</f>
        <v/>
      </c>
      <c r="L17" s="1" t="str">
        <f>IF(A17="","",LEN(("W"&amp;A17))-LEN(SUBSTITUTE(("W"&amp;A17),".",""))+1)</f>
        <v/>
      </c>
      <c r="M17" s="3" t="str">
        <f>IF(P17=0,"",IF(K17="汇总",IF(COUNTIFS($S$10:$S$109,"&gt;"&amp;S17,$S$10:$S$109,"&lt;"&amp;(S17+IF(L17=1,1000000,IF(L17=2,1000,1))),$AA$10:$AA$109,1)=0,"",_xlfn.MINIFS($Y$10:$Y$109,$S$10:$S$109,"&gt;"&amp;S17,$S$10:$S$109,"&lt;"&amp;(S17+IF(L17=1,1000000,IF(L17=2,1000,1))),$AA$10:$AA$109,1)),IF(AA17=1,D17,"")))</f>
        <v/>
      </c>
      <c r="N17" s="3" t="str">
        <f>IF(P17=0,"",IF(K17="汇总",IF(COUNTIFS($S$10:$S$109,"&gt;"&amp;S17,$S$10:$S$109,"&lt;"&amp;(S17+IF(L17=1,1000000,IF(L17=2,1000,1))),$AA$10:$AA$109,1)=0,"",_xlfn.MAXIFS($Z$10:$Z$109,$S$10:$S$109,"&gt;"&amp;S17,$S$10:$S$109,"&lt;"&amp;(S17+IF(L17=1,1000000,IF(L17=2,1000,1))),$AA$10:$AA$109,1)),IF(AA17=1,E17,"")))</f>
        <v/>
      </c>
      <c r="O17" s="7" t="str">
        <f>IF(K17="汇总",ROUND((IF(P17=0,"",IF(K17="汇总",IF(SUMIFS($Q$10:$Q$109,$S$10:$S$109,"&gt;"&amp;S17,$S$10:$S$109,"&lt;"&amp;(S17+IF(L17=1,1000000,IF(L17=2,1000,1))))=0,0,SUMIFS($R$10:$R$109,$S$10:$S$109,"&gt;"&amp;S17,$S$10:$S$109,"&lt;"&amp;(S17+IF(L17=1,1000000,IF(L17=2,1000,1))))/SUMIFS($Q$10:$Q$109,$S$10:$S$109,"&gt;"&amp;S17,$S$10:$S$109,"&lt;"&amp;(S17+IF(L17=1,1000000,IF(L17=2,1000,1))))),G17)))*100,0)/100,IF(P17=0,"",IF(K17="汇总",IF(SUMIFS($Q$10:$Q$109,$S$10:$S$109,"&gt;"&amp;S17,$S$10:$S$109,"&lt;"&amp;(S17+IF(L17=1,1000000,IF(L17=2,1000,1))))=0,0,SUMIFS($R$10:$R$109,$S$10:$S$109,"&gt;"&amp;S17,$S$10:$S$109,"&lt;"&amp;(S17+IF(L17=1,1000000,IF(L17=2,1000,1))))/SUMIFS($Q$10:$Q$109,$S$10:$S$109,"&gt;"&amp;S17,$S$10:$S$109,"&lt;"&amp;(S17+IF(L17=1,1000000,IF(L17=2,1000,1))))),G17)))</f>
        <v/>
      </c>
      <c r="P17" s="1">
        <f>IF(OR(A17="",B17="",J17="删除",AE17=0,COUNTIFS($AG$10:$AG$109,"W"&amp;A17)&lt;&gt;1,AND(L17&gt;1,COUNTIFS($AG$10:$AG$109,"W"&amp;V17,$B$10:$B$109,"&lt;&gt;")&lt;&gt;1),AND(L17=3,COUNTIFS($AG$10:$AG$109,"W"&amp;W17,$B$10:$B$109,"&lt;&gt;")&lt;&gt;1),COUNTIFS($AG$10:$AG$109,"W"&amp;V17,$J$10:$J$109,"删除")&gt;0,COUNTIFS($AG$10:$AG$109,"W"&amp;W17,$J$10:$J$109,"删除")&gt;0),0,1)</f>
        <v>0</v>
      </c>
      <c r="Q17" s="1">
        <f>IF(AA17=0,0,IF(I17="里程碑",1,F17))</f>
        <v>0</v>
      </c>
      <c r="R17" s="1">
        <f>IF(AA17=0,0,Q17*G17)</f>
        <v>0</v>
      </c>
      <c r="S17" s="1">
        <f>IF(P17=0,1000000000000000,AB17*1000000+AC17*1000+AD17)</f>
        <v>1000000000000000</v>
      </c>
      <c r="T17" s="1">
        <f>IF(P17=0,0,IF(Timing浏览!$D$5="全部",1,IF(Timing浏览!$D$5="仅里程碑",IF(K17="里程碑",1,0),IF(L17&lt;=VALUE(LEFT(Timing浏览!$D$5,1)),1,0))))</f>
        <v>0</v>
      </c>
      <c r="U17" s="1" t="str">
        <f>IF(T17=0,"",COUNTIFS($S$10:$S$109,"&lt;"&amp;S17,$T$10:$T$109,1)+1)</f>
        <v/>
      </c>
      <c r="V17" s="1" t="str">
        <f>IF(OR(A17="",L17=1),"",IF(L17=2,TEXT(AB17,"0"),TEXT(AB17,"0")&amp;"."&amp;TEXT(AC17,"0")))</f>
        <v/>
      </c>
      <c r="W17" s="1" t="str">
        <f>IF(OR(A17="",L17=1),"",TEXT(AB17,"0"))</f>
        <v/>
      </c>
      <c r="X17" s="1" t="str">
        <f>IF(AND(A17="",B17=""),"",IF(OR(A17="",B17=""),"请补编号和名称",IF(AE17=0,"编号需为1至3级正整数",IF(COUNTIFS($AG$10:$AG$109,"W"&amp;A17)&lt;&gt;1,"编号重复",IF(AND(L17&gt;1,COUNTIFS($AG$10:$AG$109,"W"&amp;V17,$B$10:$B$109,"&lt;&gt;")&lt;&gt;1),"缺少父任务",IF(J17="删除","待删除",IF(P17=0,"父任务已删除或无效",IF(K17="汇总",IF(COUNTIFS($S$10:$S$109,"&gt;"&amp;S17,$S$10:$S$109,"&lt;"&amp;(S17+IF(L17=1,1000000,IF(L17=2,1000,1))),$P$10:$P$109,1)=0,"等待子任务","由下级汇总"),IF(OR(D17="",E17=""),"待补日期",IF(E17&lt;D17,"结束早于开始",IF(AND(I17="里程碑",D17&lt;&gt;E17),"里程碑须同日","")))))))))))</f>
        <v/>
      </c>
      <c r="Y17" s="1">
        <f>IF(AA17=1,D17,100000000)</f>
        <v>100000000</v>
      </c>
      <c r="Z17" s="1">
        <f>IF(AA17=1,E17,0)</f>
        <v>0</v>
      </c>
      <c r="AA17" s="1">
        <f>IF(AND(P17=1,K17&lt;&gt;"汇总",ISNUMBER(F17),OR(I17&lt;&gt;"里程碑",D17=E17)),1,0)</f>
        <v>0</v>
      </c>
      <c r="AB17" s="1">
        <f>IF(A17="",0,IFERROR(VALUE(MID(("W"&amp;A17),2,FIND(".",("W"&amp;A17)&amp;".")-2)),-1))</f>
        <v>0</v>
      </c>
      <c r="AC17" s="1">
        <f>IF(OR(A17="",L17&lt;2),0,IFERROR(VALUE(MID(("W"&amp;A17),FIND(".",("W"&amp;A17))+1,FIND(".",("W"&amp;A17)&amp;".",FIND(".",("W"&amp;A17))+1)-FIND(".",("W"&amp;A17))-1)),-1))</f>
        <v>0</v>
      </c>
      <c r="AD17" s="1">
        <f>IF(OR(A17="",L17&lt;3),0,IFERROR(VALUE(RIGHT(("W"&amp;A17),LEN(("W"&amp;A17))-FIND(".",("W"&amp;A17),FIND(".",("W"&amp;A17))+1))),-1))</f>
        <v>0</v>
      </c>
      <c r="AE17" s="1">
        <f>IF(A17="",0,IF(AND(L17&lt;=3,AB17&gt;=1,AB17&lt;=999,AC17&gt;=0,AC17&lt;=999,AD17&gt;=0,AD17&lt;=999,A17=TEXT(AB17,"0")&amp;IF(L17&gt;1,"."&amp;TEXT(AC17,"0"),"")&amp;IF(L17&gt;2,"."&amp;TEXT(AD17,"0"),""),OR(L17&lt;2,AC17&gt;=1),OR(L17&lt;3,AD17&gt;=1)),1,0))</f>
        <v>0</v>
      </c>
      <c r="AF17" s="1"/>
      <c r="AG17" t="str">
        <f>"W"&amp;A17</f>
        <v>W</v>
      </c>
    </row>
    <row r="18" spans="1:33" ht="16.5">
      <c r="A18" s="12" t="str">
        <f>IF(ROW()-9&gt;ROWS(TimingTasks[WBS]),"",IF(AND(INDEX(TimingTasks[WBS],ROW()-9)="",NOT(ISNUMBER(INDEX(TimingTasks[WBS],ROW()-9)))),"",INDEX(TimingTasks[WBS],ROW()-9)))</f>
        <v/>
      </c>
      <c r="B18" s="10" t="str">
        <f>IF(ROW()-9&gt;ROWS(TimingTasks[WBS]),"",IF(AND(INDEX(TimingTasks[任务名称],ROW()-9)="",NOT(ISNUMBER(INDEX(TimingTasks[任务名称],ROW()-9)))),"",INDEX(TimingTasks[任务名称],ROW()-9)))</f>
        <v/>
      </c>
      <c r="C18" s="10" t="str">
        <f>IF(ROW()-9&gt;ROWS(TimingTasks[WBS]),"",IF(AND(INDEX(TimingTasks[负责人],ROW()-9)="",NOT(ISNUMBER(INDEX(TimingTasks[负责人],ROW()-9)))),"",INDEX(TimingTasks[负责人],ROW()-9)))</f>
        <v/>
      </c>
      <c r="D18" s="11" t="str">
        <f>IF(ROW()-9&gt;ROWS(TimingTasks[WBS]),"",IF(AND(INDEX(TimingTasks[输入开始],ROW()-9)="",NOT(ISNUMBER(INDEX(TimingTasks[输入开始],ROW()-9)))),"",INDEX(TimingTasks[输入开始],ROW()-9)))</f>
        <v/>
      </c>
      <c r="E18" s="11" t="str">
        <f>IF(ROW()-9&gt;ROWS(TimingTasks[WBS]),"",IF(AND(INDEX(TimingTasks[输入结束],ROW()-9)="",NOT(ISNUMBER(INDEX(TimingTasks[输入结束],ROW()-9)))),"",INDEX(TimingTasks[输入结束],ROW()-9)))</f>
        <v/>
      </c>
      <c r="F18" s="1" t="str">
        <f>IF(OR(P18=0,K18="汇总",D18="",E18="",E18&lt;D18),"",IF(I18="里程碑",0,NETWORKDAYS(D18,E18)))</f>
        <v/>
      </c>
      <c r="G18" s="15">
        <f>IF(ROW()-9&gt;ROWS(TimingTasks[WBS]),"",IF(AND(INDEX(TimingTasks[输入完成度],ROW()-9)="",NOT(ISNUMBER(INDEX(TimingTasks[输入完成度],ROW()-9)))),0,INDEX(TimingTasks[输入完成度],ROW()-9)))</f>
        <v>0</v>
      </c>
      <c r="H18" s="10" t="str">
        <f>IF(ROW()-9&gt;ROWS(TimingTasks[WBS]),"",IF(AND(INDEX(TimingTasks[前置任务 WBS],ROW()-9)="",NOT(ISNUMBER(INDEX(TimingTasks[前置任务 WBS],ROW()-9)))),"",INDEX(TimingTasks[前置任务 WBS],ROW()-9)))</f>
        <v/>
      </c>
      <c r="I18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8" s="10" t="str">
        <f>IF(ROW()-9&gt;ROWS(TimingTasks[WBS]),"",IF(AND(INDEX(TimingTasks[操作],ROW()-9)="",NOT(ISNUMBER(INDEX(TimingTasks[操作],ROW()-9)))),"保留",INDEX(TimingTasks[操作],ROW()-9)))</f>
        <v>保留</v>
      </c>
      <c r="K18" s="1" t="str">
        <f>IF(P18=0,"",IF(OR(AND(L18=1,D18="",E18="",I18&lt;&gt;"里程碑"),COUNTIFS($S$10:$S$109,"&gt;"&amp;S18,$S$10:$S$109,"&lt;"&amp;(S18+IF(L18=1,1000000,IF(L18=2,1000,1))),$P$10:$P$109,1)&gt;0),"汇总",I18))</f>
        <v/>
      </c>
      <c r="L18" s="1" t="str">
        <f>IF(A18="","",LEN(("W"&amp;A18))-LEN(SUBSTITUTE(("W"&amp;A18),".",""))+1)</f>
        <v/>
      </c>
      <c r="M18" s="3" t="str">
        <f>IF(P18=0,"",IF(K18="汇总",IF(COUNTIFS($S$10:$S$109,"&gt;"&amp;S18,$S$10:$S$109,"&lt;"&amp;(S18+IF(L18=1,1000000,IF(L18=2,1000,1))),$AA$10:$AA$109,1)=0,"",_xlfn.MINIFS($Y$10:$Y$109,$S$10:$S$109,"&gt;"&amp;S18,$S$10:$S$109,"&lt;"&amp;(S18+IF(L18=1,1000000,IF(L18=2,1000,1))),$AA$10:$AA$109,1)),IF(AA18=1,D18,"")))</f>
        <v/>
      </c>
      <c r="N18" s="3" t="str">
        <f>IF(P18=0,"",IF(K18="汇总",IF(COUNTIFS($S$10:$S$109,"&gt;"&amp;S18,$S$10:$S$109,"&lt;"&amp;(S18+IF(L18=1,1000000,IF(L18=2,1000,1))),$AA$10:$AA$109,1)=0,"",_xlfn.MAXIFS($Z$10:$Z$109,$S$10:$S$109,"&gt;"&amp;S18,$S$10:$S$109,"&lt;"&amp;(S18+IF(L18=1,1000000,IF(L18=2,1000,1))),$AA$10:$AA$109,1)),IF(AA18=1,E18,"")))</f>
        <v/>
      </c>
      <c r="O18" s="7" t="str">
        <f>IF(K18="汇总",ROUND((IF(P18=0,"",IF(K18="汇总",IF(SUMIFS($Q$10:$Q$109,$S$10:$S$109,"&gt;"&amp;S18,$S$10:$S$109,"&lt;"&amp;(S18+IF(L18=1,1000000,IF(L18=2,1000,1))))=0,0,SUMIFS($R$10:$R$109,$S$10:$S$109,"&gt;"&amp;S18,$S$10:$S$109,"&lt;"&amp;(S18+IF(L18=1,1000000,IF(L18=2,1000,1))))/SUMIFS($Q$10:$Q$109,$S$10:$S$109,"&gt;"&amp;S18,$S$10:$S$109,"&lt;"&amp;(S18+IF(L18=1,1000000,IF(L18=2,1000,1))))),G18)))*100,0)/100,IF(P18=0,"",IF(K18="汇总",IF(SUMIFS($Q$10:$Q$109,$S$10:$S$109,"&gt;"&amp;S18,$S$10:$S$109,"&lt;"&amp;(S18+IF(L18=1,1000000,IF(L18=2,1000,1))))=0,0,SUMIFS($R$10:$R$109,$S$10:$S$109,"&gt;"&amp;S18,$S$10:$S$109,"&lt;"&amp;(S18+IF(L18=1,1000000,IF(L18=2,1000,1))))/SUMIFS($Q$10:$Q$109,$S$10:$S$109,"&gt;"&amp;S18,$S$10:$S$109,"&lt;"&amp;(S18+IF(L18=1,1000000,IF(L18=2,1000,1))))),G18)))</f>
        <v/>
      </c>
      <c r="P18" s="1">
        <f>IF(OR(A18="",B18="",J18="删除",AE18=0,COUNTIFS($AG$10:$AG$109,"W"&amp;A18)&lt;&gt;1,AND(L18&gt;1,COUNTIFS($AG$10:$AG$109,"W"&amp;V18,$B$10:$B$109,"&lt;&gt;")&lt;&gt;1),AND(L18=3,COUNTIFS($AG$10:$AG$109,"W"&amp;W18,$B$10:$B$109,"&lt;&gt;")&lt;&gt;1),COUNTIFS($AG$10:$AG$109,"W"&amp;V18,$J$10:$J$109,"删除")&gt;0,COUNTIFS($AG$10:$AG$109,"W"&amp;W18,$J$10:$J$109,"删除")&gt;0),0,1)</f>
        <v>0</v>
      </c>
      <c r="Q18" s="1">
        <f>IF(AA18=0,0,IF(I18="里程碑",1,F18))</f>
        <v>0</v>
      </c>
      <c r="R18" s="1">
        <f>IF(AA18=0,0,Q18*G18)</f>
        <v>0</v>
      </c>
      <c r="S18" s="1">
        <f>IF(P18=0,1000000000000000,AB18*1000000+AC18*1000+AD18)</f>
        <v>1000000000000000</v>
      </c>
      <c r="T18" s="1">
        <f>IF(P18=0,0,IF(Timing浏览!$D$5="全部",1,IF(Timing浏览!$D$5="仅里程碑",IF(K18="里程碑",1,0),IF(L18&lt;=VALUE(LEFT(Timing浏览!$D$5,1)),1,0))))</f>
        <v>0</v>
      </c>
      <c r="U18" s="1" t="str">
        <f>IF(T18=0,"",COUNTIFS($S$10:$S$109,"&lt;"&amp;S18,$T$10:$T$109,1)+1)</f>
        <v/>
      </c>
      <c r="V18" s="1" t="str">
        <f>IF(OR(A18="",L18=1),"",IF(L18=2,TEXT(AB18,"0"),TEXT(AB18,"0")&amp;"."&amp;TEXT(AC18,"0")))</f>
        <v/>
      </c>
      <c r="W18" s="1" t="str">
        <f>IF(OR(A18="",L18=1),"",TEXT(AB18,"0"))</f>
        <v/>
      </c>
      <c r="X18" s="1" t="str">
        <f>IF(AND(A18="",B18=""),"",IF(OR(A18="",B18=""),"请补编号和名称",IF(AE18=0,"编号需为1至3级正整数",IF(COUNTIFS($AG$10:$AG$109,"W"&amp;A18)&lt;&gt;1,"编号重复",IF(AND(L18&gt;1,COUNTIFS($AG$10:$AG$109,"W"&amp;V18,$B$10:$B$109,"&lt;&gt;")&lt;&gt;1),"缺少父任务",IF(J18="删除","待删除",IF(P18=0,"父任务已删除或无效",IF(K18="汇总",IF(COUNTIFS($S$10:$S$109,"&gt;"&amp;S18,$S$10:$S$109,"&lt;"&amp;(S18+IF(L18=1,1000000,IF(L18=2,1000,1))),$P$10:$P$109,1)=0,"等待子任务","由下级汇总"),IF(OR(D18="",E18=""),"待补日期",IF(E18&lt;D18,"结束早于开始",IF(AND(I18="里程碑",D18&lt;&gt;E18),"里程碑须同日","")))))))))))</f>
        <v/>
      </c>
      <c r="Y18" s="1">
        <f>IF(AA18=1,D18,100000000)</f>
        <v>100000000</v>
      </c>
      <c r="Z18" s="1">
        <f>IF(AA18=1,E18,0)</f>
        <v>0</v>
      </c>
      <c r="AA18" s="1">
        <f>IF(AND(P18=1,K18&lt;&gt;"汇总",ISNUMBER(F18),OR(I18&lt;&gt;"里程碑",D18=E18)),1,0)</f>
        <v>0</v>
      </c>
      <c r="AB18" s="1">
        <f>IF(A18="",0,IFERROR(VALUE(MID(("W"&amp;A18),2,FIND(".",("W"&amp;A18)&amp;".")-2)),-1))</f>
        <v>0</v>
      </c>
      <c r="AC18" s="1">
        <f>IF(OR(A18="",L18&lt;2),0,IFERROR(VALUE(MID(("W"&amp;A18),FIND(".",("W"&amp;A18))+1,FIND(".",("W"&amp;A18)&amp;".",FIND(".",("W"&amp;A18))+1)-FIND(".",("W"&amp;A18))-1)),-1))</f>
        <v>0</v>
      </c>
      <c r="AD18" s="1">
        <f>IF(OR(A18="",L18&lt;3),0,IFERROR(VALUE(RIGHT(("W"&amp;A18),LEN(("W"&amp;A18))-FIND(".",("W"&amp;A18),FIND(".",("W"&amp;A18))+1))),-1))</f>
        <v>0</v>
      </c>
      <c r="AE18" s="1">
        <f>IF(A18="",0,IF(AND(L18&lt;=3,AB18&gt;=1,AB18&lt;=999,AC18&gt;=0,AC18&lt;=999,AD18&gt;=0,AD18&lt;=999,A18=TEXT(AB18,"0")&amp;IF(L18&gt;1,"."&amp;TEXT(AC18,"0"),"")&amp;IF(L18&gt;2,"."&amp;TEXT(AD18,"0"),""),OR(L18&lt;2,AC18&gt;=1),OR(L18&lt;3,AD18&gt;=1)),1,0))</f>
        <v>0</v>
      </c>
      <c r="AF18" s="1"/>
      <c r="AG18" t="str">
        <f>"W"&amp;A18</f>
        <v>W</v>
      </c>
    </row>
    <row r="19" spans="1:33" ht="16.5">
      <c r="A19" s="12" t="str">
        <f>IF(ROW()-9&gt;ROWS(TimingTasks[WBS]),"",IF(AND(INDEX(TimingTasks[WBS],ROW()-9)="",NOT(ISNUMBER(INDEX(TimingTasks[WBS],ROW()-9)))),"",INDEX(TimingTasks[WBS],ROW()-9)))</f>
        <v/>
      </c>
      <c r="B19" s="10" t="str">
        <f>IF(ROW()-9&gt;ROWS(TimingTasks[WBS]),"",IF(AND(INDEX(TimingTasks[任务名称],ROW()-9)="",NOT(ISNUMBER(INDEX(TimingTasks[任务名称],ROW()-9)))),"",INDEX(TimingTasks[任务名称],ROW()-9)))</f>
        <v/>
      </c>
      <c r="C19" s="10" t="str">
        <f>IF(ROW()-9&gt;ROWS(TimingTasks[WBS]),"",IF(AND(INDEX(TimingTasks[负责人],ROW()-9)="",NOT(ISNUMBER(INDEX(TimingTasks[负责人],ROW()-9)))),"",INDEX(TimingTasks[负责人],ROW()-9)))</f>
        <v/>
      </c>
      <c r="D19" s="11" t="str">
        <f>IF(ROW()-9&gt;ROWS(TimingTasks[WBS]),"",IF(AND(INDEX(TimingTasks[输入开始],ROW()-9)="",NOT(ISNUMBER(INDEX(TimingTasks[输入开始],ROW()-9)))),"",INDEX(TimingTasks[输入开始],ROW()-9)))</f>
        <v/>
      </c>
      <c r="E19" s="11" t="str">
        <f>IF(ROW()-9&gt;ROWS(TimingTasks[WBS]),"",IF(AND(INDEX(TimingTasks[输入结束],ROW()-9)="",NOT(ISNUMBER(INDEX(TimingTasks[输入结束],ROW()-9)))),"",INDEX(TimingTasks[输入结束],ROW()-9)))</f>
        <v/>
      </c>
      <c r="F19" s="1" t="str">
        <f>IF(OR(P19=0,K19="汇总",D19="",E19="",E19&lt;D19),"",IF(I19="里程碑",0,NETWORKDAYS(D19,E19)))</f>
        <v/>
      </c>
      <c r="G19" s="15">
        <f>IF(ROW()-9&gt;ROWS(TimingTasks[WBS]),"",IF(AND(INDEX(TimingTasks[输入完成度],ROW()-9)="",NOT(ISNUMBER(INDEX(TimingTasks[输入完成度],ROW()-9)))),0,INDEX(TimingTasks[输入完成度],ROW()-9)))</f>
        <v>0</v>
      </c>
      <c r="H19" s="10" t="str">
        <f>IF(ROW()-9&gt;ROWS(TimingTasks[WBS]),"",IF(AND(INDEX(TimingTasks[前置任务 WBS],ROW()-9)="",NOT(ISNUMBER(INDEX(TimingTasks[前置任务 WBS],ROW()-9)))),"",INDEX(TimingTasks[前置任务 WBS],ROW()-9)))</f>
        <v/>
      </c>
      <c r="I19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9" s="10" t="str">
        <f>IF(ROW()-9&gt;ROWS(TimingTasks[WBS]),"",IF(AND(INDEX(TimingTasks[操作],ROW()-9)="",NOT(ISNUMBER(INDEX(TimingTasks[操作],ROW()-9)))),"保留",INDEX(TimingTasks[操作],ROW()-9)))</f>
        <v>保留</v>
      </c>
      <c r="K19" s="1" t="str">
        <f>IF(P19=0,"",IF(OR(AND(L19=1,D19="",E19="",I19&lt;&gt;"里程碑"),COUNTIFS($S$10:$S$109,"&gt;"&amp;S19,$S$10:$S$109,"&lt;"&amp;(S19+IF(L19=1,1000000,IF(L19=2,1000,1))),$P$10:$P$109,1)&gt;0),"汇总",I19))</f>
        <v/>
      </c>
      <c r="L19" s="1" t="str">
        <f>IF(A19="","",LEN(("W"&amp;A19))-LEN(SUBSTITUTE(("W"&amp;A19),".",""))+1)</f>
        <v/>
      </c>
      <c r="M19" s="3" t="str">
        <f>IF(P19=0,"",IF(K19="汇总",IF(COUNTIFS($S$10:$S$109,"&gt;"&amp;S19,$S$10:$S$109,"&lt;"&amp;(S19+IF(L19=1,1000000,IF(L19=2,1000,1))),$AA$10:$AA$109,1)=0,"",_xlfn.MINIFS($Y$10:$Y$109,$S$10:$S$109,"&gt;"&amp;S19,$S$10:$S$109,"&lt;"&amp;(S19+IF(L19=1,1000000,IF(L19=2,1000,1))),$AA$10:$AA$109,1)),IF(AA19=1,D19,"")))</f>
        <v/>
      </c>
      <c r="N19" s="3" t="str">
        <f>IF(P19=0,"",IF(K19="汇总",IF(COUNTIFS($S$10:$S$109,"&gt;"&amp;S19,$S$10:$S$109,"&lt;"&amp;(S19+IF(L19=1,1000000,IF(L19=2,1000,1))),$AA$10:$AA$109,1)=0,"",_xlfn.MAXIFS($Z$10:$Z$109,$S$10:$S$109,"&gt;"&amp;S19,$S$10:$S$109,"&lt;"&amp;(S19+IF(L19=1,1000000,IF(L19=2,1000,1))),$AA$10:$AA$109,1)),IF(AA19=1,E19,"")))</f>
        <v/>
      </c>
      <c r="O19" s="7" t="str">
        <f>IF(K19="汇总",ROUND((IF(P19=0,"",IF(K19="汇总",IF(SUMIFS($Q$10:$Q$109,$S$10:$S$109,"&gt;"&amp;S19,$S$10:$S$109,"&lt;"&amp;(S19+IF(L19=1,1000000,IF(L19=2,1000,1))))=0,0,SUMIFS($R$10:$R$109,$S$10:$S$109,"&gt;"&amp;S19,$S$10:$S$109,"&lt;"&amp;(S19+IF(L19=1,1000000,IF(L19=2,1000,1))))/SUMIFS($Q$10:$Q$109,$S$10:$S$109,"&gt;"&amp;S19,$S$10:$S$109,"&lt;"&amp;(S19+IF(L19=1,1000000,IF(L19=2,1000,1))))),G19)))*100,0)/100,IF(P19=0,"",IF(K19="汇总",IF(SUMIFS($Q$10:$Q$109,$S$10:$S$109,"&gt;"&amp;S19,$S$10:$S$109,"&lt;"&amp;(S19+IF(L19=1,1000000,IF(L19=2,1000,1))))=0,0,SUMIFS($R$10:$R$109,$S$10:$S$109,"&gt;"&amp;S19,$S$10:$S$109,"&lt;"&amp;(S19+IF(L19=1,1000000,IF(L19=2,1000,1))))/SUMIFS($Q$10:$Q$109,$S$10:$S$109,"&gt;"&amp;S19,$S$10:$S$109,"&lt;"&amp;(S19+IF(L19=1,1000000,IF(L19=2,1000,1))))),G19)))</f>
        <v/>
      </c>
      <c r="P19" s="1">
        <f>IF(OR(A19="",B19="",J19="删除",AE19=0,COUNTIFS($AG$10:$AG$109,"W"&amp;A19)&lt;&gt;1,AND(L19&gt;1,COUNTIFS($AG$10:$AG$109,"W"&amp;V19,$B$10:$B$109,"&lt;&gt;")&lt;&gt;1),AND(L19=3,COUNTIFS($AG$10:$AG$109,"W"&amp;W19,$B$10:$B$109,"&lt;&gt;")&lt;&gt;1),COUNTIFS($AG$10:$AG$109,"W"&amp;V19,$J$10:$J$109,"删除")&gt;0,COUNTIFS($AG$10:$AG$109,"W"&amp;W19,$J$10:$J$109,"删除")&gt;0),0,1)</f>
        <v>0</v>
      </c>
      <c r="Q19" s="1">
        <f>IF(AA19=0,0,IF(I19="里程碑",1,F19))</f>
        <v>0</v>
      </c>
      <c r="R19" s="1">
        <f>IF(AA19=0,0,Q19*G19)</f>
        <v>0</v>
      </c>
      <c r="S19" s="1">
        <f>IF(P19=0,1000000000000000,AB19*1000000+AC19*1000+AD19)</f>
        <v>1000000000000000</v>
      </c>
      <c r="T19" s="1">
        <f>IF(P19=0,0,IF(Timing浏览!$D$5="全部",1,IF(Timing浏览!$D$5="仅里程碑",IF(K19="里程碑",1,0),IF(L19&lt;=VALUE(LEFT(Timing浏览!$D$5,1)),1,0))))</f>
        <v>0</v>
      </c>
      <c r="U19" s="1" t="str">
        <f>IF(T19=0,"",COUNTIFS($S$10:$S$109,"&lt;"&amp;S19,$T$10:$T$109,1)+1)</f>
        <v/>
      </c>
      <c r="V19" s="1" t="str">
        <f>IF(OR(A19="",L19=1),"",IF(L19=2,TEXT(AB19,"0"),TEXT(AB19,"0")&amp;"."&amp;TEXT(AC19,"0")))</f>
        <v/>
      </c>
      <c r="W19" s="1" t="str">
        <f>IF(OR(A19="",L19=1),"",TEXT(AB19,"0"))</f>
        <v/>
      </c>
      <c r="X19" s="1" t="str">
        <f>IF(AND(A19="",B19=""),"",IF(OR(A19="",B19=""),"请补编号和名称",IF(AE19=0,"编号需为1至3级正整数",IF(COUNTIFS($AG$10:$AG$109,"W"&amp;A19)&lt;&gt;1,"编号重复",IF(AND(L19&gt;1,COUNTIFS($AG$10:$AG$109,"W"&amp;V19,$B$10:$B$109,"&lt;&gt;")&lt;&gt;1),"缺少父任务",IF(J19="删除","待删除",IF(P19=0,"父任务已删除或无效",IF(K19="汇总",IF(COUNTIFS($S$10:$S$109,"&gt;"&amp;S19,$S$10:$S$109,"&lt;"&amp;(S19+IF(L19=1,1000000,IF(L19=2,1000,1))),$P$10:$P$109,1)=0,"等待子任务","由下级汇总"),IF(OR(D19="",E19=""),"待补日期",IF(E19&lt;D19,"结束早于开始",IF(AND(I19="里程碑",D19&lt;&gt;E19),"里程碑须同日","")))))))))))</f>
        <v/>
      </c>
      <c r="Y19" s="1">
        <f>IF(AA19=1,D19,100000000)</f>
        <v>100000000</v>
      </c>
      <c r="Z19" s="1">
        <f>IF(AA19=1,E19,0)</f>
        <v>0</v>
      </c>
      <c r="AA19" s="1">
        <f>IF(AND(P19=1,K19&lt;&gt;"汇总",ISNUMBER(F19),OR(I19&lt;&gt;"里程碑",D19=E19)),1,0)</f>
        <v>0</v>
      </c>
      <c r="AB19" s="1">
        <f>IF(A19="",0,IFERROR(VALUE(MID(("W"&amp;A19),2,FIND(".",("W"&amp;A19)&amp;".")-2)),-1))</f>
        <v>0</v>
      </c>
      <c r="AC19" s="1">
        <f>IF(OR(A19="",L19&lt;2),0,IFERROR(VALUE(MID(("W"&amp;A19),FIND(".",("W"&amp;A19))+1,FIND(".",("W"&amp;A19)&amp;".",FIND(".",("W"&amp;A19))+1)-FIND(".",("W"&amp;A19))-1)),-1))</f>
        <v>0</v>
      </c>
      <c r="AD19" s="1">
        <f>IF(OR(A19="",L19&lt;3),0,IFERROR(VALUE(RIGHT(("W"&amp;A19),LEN(("W"&amp;A19))-FIND(".",("W"&amp;A19),FIND(".",("W"&amp;A19))+1))),-1))</f>
        <v>0</v>
      </c>
      <c r="AE19" s="1">
        <f>IF(A19="",0,IF(AND(L19&lt;=3,AB19&gt;=1,AB19&lt;=999,AC19&gt;=0,AC19&lt;=999,AD19&gt;=0,AD19&lt;=999,A19=TEXT(AB19,"0")&amp;IF(L19&gt;1,"."&amp;TEXT(AC19,"0"),"")&amp;IF(L19&gt;2,"."&amp;TEXT(AD19,"0"),""),OR(L19&lt;2,AC19&gt;=1),OR(L19&lt;3,AD19&gt;=1)),1,0))</f>
        <v>0</v>
      </c>
      <c r="AF19" s="1"/>
      <c r="AG19" t="str">
        <f>"W"&amp;A19</f>
        <v>W</v>
      </c>
    </row>
    <row r="20" spans="1:33" ht="16.5">
      <c r="A20" s="12" t="str">
        <f>IF(ROW()-9&gt;ROWS(TimingTasks[WBS]),"",IF(AND(INDEX(TimingTasks[WBS],ROW()-9)="",NOT(ISNUMBER(INDEX(TimingTasks[WBS],ROW()-9)))),"",INDEX(TimingTasks[WBS],ROW()-9)))</f>
        <v/>
      </c>
      <c r="B20" s="10" t="str">
        <f>IF(ROW()-9&gt;ROWS(TimingTasks[WBS]),"",IF(AND(INDEX(TimingTasks[任务名称],ROW()-9)="",NOT(ISNUMBER(INDEX(TimingTasks[任务名称],ROW()-9)))),"",INDEX(TimingTasks[任务名称],ROW()-9)))</f>
        <v/>
      </c>
      <c r="C20" s="10" t="str">
        <f>IF(ROW()-9&gt;ROWS(TimingTasks[WBS]),"",IF(AND(INDEX(TimingTasks[负责人],ROW()-9)="",NOT(ISNUMBER(INDEX(TimingTasks[负责人],ROW()-9)))),"",INDEX(TimingTasks[负责人],ROW()-9)))</f>
        <v/>
      </c>
      <c r="D20" s="11" t="str">
        <f>IF(ROW()-9&gt;ROWS(TimingTasks[WBS]),"",IF(AND(INDEX(TimingTasks[输入开始],ROW()-9)="",NOT(ISNUMBER(INDEX(TimingTasks[输入开始],ROW()-9)))),"",INDEX(TimingTasks[输入开始],ROW()-9)))</f>
        <v/>
      </c>
      <c r="E20" s="11" t="str">
        <f>IF(ROW()-9&gt;ROWS(TimingTasks[WBS]),"",IF(AND(INDEX(TimingTasks[输入结束],ROW()-9)="",NOT(ISNUMBER(INDEX(TimingTasks[输入结束],ROW()-9)))),"",INDEX(TimingTasks[输入结束],ROW()-9)))</f>
        <v/>
      </c>
      <c r="F20" s="1" t="str">
        <f>IF(OR(P20=0,K20="汇总",D20="",E20="",E20&lt;D20),"",IF(I20="里程碑",0,NETWORKDAYS(D20,E20)))</f>
        <v/>
      </c>
      <c r="G20" s="15">
        <f>IF(ROW()-9&gt;ROWS(TimingTasks[WBS]),"",IF(AND(INDEX(TimingTasks[输入完成度],ROW()-9)="",NOT(ISNUMBER(INDEX(TimingTasks[输入完成度],ROW()-9)))),0,INDEX(TimingTasks[输入完成度],ROW()-9)))</f>
        <v>0</v>
      </c>
      <c r="H20" s="10" t="str">
        <f>IF(ROW()-9&gt;ROWS(TimingTasks[WBS]),"",IF(AND(INDEX(TimingTasks[前置任务 WBS],ROW()-9)="",NOT(ISNUMBER(INDEX(TimingTasks[前置任务 WBS],ROW()-9)))),"",INDEX(TimingTasks[前置任务 WBS],ROW()-9)))</f>
        <v/>
      </c>
      <c r="I20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0" s="10" t="str">
        <f>IF(ROW()-9&gt;ROWS(TimingTasks[WBS]),"",IF(AND(INDEX(TimingTasks[操作],ROW()-9)="",NOT(ISNUMBER(INDEX(TimingTasks[操作],ROW()-9)))),"保留",INDEX(TimingTasks[操作],ROW()-9)))</f>
        <v>保留</v>
      </c>
      <c r="K20" s="1" t="str">
        <f>IF(P20=0,"",IF(OR(AND(L20=1,D20="",E20="",I20&lt;&gt;"里程碑"),COUNTIFS($S$10:$S$109,"&gt;"&amp;S20,$S$10:$S$109,"&lt;"&amp;(S20+IF(L20=1,1000000,IF(L20=2,1000,1))),$P$10:$P$109,1)&gt;0),"汇总",I20))</f>
        <v/>
      </c>
      <c r="L20" s="1" t="str">
        <f>IF(A20="","",LEN(("W"&amp;A20))-LEN(SUBSTITUTE(("W"&amp;A20),".",""))+1)</f>
        <v/>
      </c>
      <c r="M20" s="3" t="str">
        <f>IF(P20=0,"",IF(K20="汇总",IF(COUNTIFS($S$10:$S$109,"&gt;"&amp;S20,$S$10:$S$109,"&lt;"&amp;(S20+IF(L20=1,1000000,IF(L20=2,1000,1))),$AA$10:$AA$109,1)=0,"",_xlfn.MINIFS($Y$10:$Y$109,$S$10:$S$109,"&gt;"&amp;S20,$S$10:$S$109,"&lt;"&amp;(S20+IF(L20=1,1000000,IF(L20=2,1000,1))),$AA$10:$AA$109,1)),IF(AA20=1,D20,"")))</f>
        <v/>
      </c>
      <c r="N20" s="3" t="str">
        <f>IF(P20=0,"",IF(K20="汇总",IF(COUNTIFS($S$10:$S$109,"&gt;"&amp;S20,$S$10:$S$109,"&lt;"&amp;(S20+IF(L20=1,1000000,IF(L20=2,1000,1))),$AA$10:$AA$109,1)=0,"",_xlfn.MAXIFS($Z$10:$Z$109,$S$10:$S$109,"&gt;"&amp;S20,$S$10:$S$109,"&lt;"&amp;(S20+IF(L20=1,1000000,IF(L20=2,1000,1))),$AA$10:$AA$109,1)),IF(AA20=1,E20,"")))</f>
        <v/>
      </c>
      <c r="O20" s="7" t="str">
        <f>IF(K20="汇总",ROUND((IF(P20=0,"",IF(K20="汇总",IF(SUMIFS($Q$10:$Q$109,$S$10:$S$109,"&gt;"&amp;S20,$S$10:$S$109,"&lt;"&amp;(S20+IF(L20=1,1000000,IF(L20=2,1000,1))))=0,0,SUMIFS($R$10:$R$109,$S$10:$S$109,"&gt;"&amp;S20,$S$10:$S$109,"&lt;"&amp;(S20+IF(L20=1,1000000,IF(L20=2,1000,1))))/SUMIFS($Q$10:$Q$109,$S$10:$S$109,"&gt;"&amp;S20,$S$10:$S$109,"&lt;"&amp;(S20+IF(L20=1,1000000,IF(L20=2,1000,1))))),G20)))*100,0)/100,IF(P20=0,"",IF(K20="汇总",IF(SUMIFS($Q$10:$Q$109,$S$10:$S$109,"&gt;"&amp;S20,$S$10:$S$109,"&lt;"&amp;(S20+IF(L20=1,1000000,IF(L20=2,1000,1))))=0,0,SUMIFS($R$10:$R$109,$S$10:$S$109,"&gt;"&amp;S20,$S$10:$S$109,"&lt;"&amp;(S20+IF(L20=1,1000000,IF(L20=2,1000,1))))/SUMIFS($Q$10:$Q$109,$S$10:$S$109,"&gt;"&amp;S20,$S$10:$S$109,"&lt;"&amp;(S20+IF(L20=1,1000000,IF(L20=2,1000,1))))),G20)))</f>
        <v/>
      </c>
      <c r="P20" s="1">
        <f>IF(OR(A20="",B20="",J20="删除",AE20=0,COUNTIFS($AG$10:$AG$109,"W"&amp;A20)&lt;&gt;1,AND(L20&gt;1,COUNTIFS($AG$10:$AG$109,"W"&amp;V20,$B$10:$B$109,"&lt;&gt;")&lt;&gt;1),AND(L20=3,COUNTIFS($AG$10:$AG$109,"W"&amp;W20,$B$10:$B$109,"&lt;&gt;")&lt;&gt;1),COUNTIFS($AG$10:$AG$109,"W"&amp;V20,$J$10:$J$109,"删除")&gt;0,COUNTIFS($AG$10:$AG$109,"W"&amp;W20,$J$10:$J$109,"删除")&gt;0),0,1)</f>
        <v>0</v>
      </c>
      <c r="Q20" s="1">
        <f>IF(AA20=0,0,IF(I20="里程碑",1,F20))</f>
        <v>0</v>
      </c>
      <c r="R20" s="1">
        <f>IF(AA20=0,0,Q20*G20)</f>
        <v>0</v>
      </c>
      <c r="S20" s="1">
        <f>IF(P20=0,1000000000000000,AB20*1000000+AC20*1000+AD20)</f>
        <v>1000000000000000</v>
      </c>
      <c r="T20" s="1">
        <f>IF(P20=0,0,IF(Timing浏览!$D$5="全部",1,IF(Timing浏览!$D$5="仅里程碑",IF(K20="里程碑",1,0),IF(L20&lt;=VALUE(LEFT(Timing浏览!$D$5,1)),1,0))))</f>
        <v>0</v>
      </c>
      <c r="U20" s="1" t="str">
        <f>IF(T20=0,"",COUNTIFS($S$10:$S$109,"&lt;"&amp;S20,$T$10:$T$109,1)+1)</f>
        <v/>
      </c>
      <c r="V20" s="1" t="str">
        <f>IF(OR(A20="",L20=1),"",IF(L20=2,TEXT(AB20,"0"),TEXT(AB20,"0")&amp;"."&amp;TEXT(AC20,"0")))</f>
        <v/>
      </c>
      <c r="W20" s="1" t="str">
        <f>IF(OR(A20="",L20=1),"",TEXT(AB20,"0"))</f>
        <v/>
      </c>
      <c r="X20" s="1" t="str">
        <f>IF(AND(A20="",B20=""),"",IF(OR(A20="",B20=""),"请补编号和名称",IF(AE20=0,"编号需为1至3级正整数",IF(COUNTIFS($AG$10:$AG$109,"W"&amp;A20)&lt;&gt;1,"编号重复",IF(AND(L20&gt;1,COUNTIFS($AG$10:$AG$109,"W"&amp;V20,$B$10:$B$109,"&lt;&gt;")&lt;&gt;1),"缺少父任务",IF(J20="删除","待删除",IF(P20=0,"父任务已删除或无效",IF(K20="汇总",IF(COUNTIFS($S$10:$S$109,"&gt;"&amp;S20,$S$10:$S$109,"&lt;"&amp;(S20+IF(L20=1,1000000,IF(L20=2,1000,1))),$P$10:$P$109,1)=0,"等待子任务","由下级汇总"),IF(OR(D20="",E20=""),"待补日期",IF(E20&lt;D20,"结束早于开始",IF(AND(I20="里程碑",D20&lt;&gt;E20),"里程碑须同日","")))))))))))</f>
        <v/>
      </c>
      <c r="Y20" s="1">
        <f>IF(AA20=1,D20,100000000)</f>
        <v>100000000</v>
      </c>
      <c r="Z20" s="1">
        <f>IF(AA20=1,E20,0)</f>
        <v>0</v>
      </c>
      <c r="AA20" s="1">
        <f>IF(AND(P20=1,K20&lt;&gt;"汇总",ISNUMBER(F20),OR(I20&lt;&gt;"里程碑",D20=E20)),1,0)</f>
        <v>0</v>
      </c>
      <c r="AB20" s="1">
        <f>IF(A20="",0,IFERROR(VALUE(MID(("W"&amp;A20),2,FIND(".",("W"&amp;A20)&amp;".")-2)),-1))</f>
        <v>0</v>
      </c>
      <c r="AC20" s="1">
        <f>IF(OR(A20="",L20&lt;2),0,IFERROR(VALUE(MID(("W"&amp;A20),FIND(".",("W"&amp;A20))+1,FIND(".",("W"&amp;A20)&amp;".",FIND(".",("W"&amp;A20))+1)-FIND(".",("W"&amp;A20))-1)),-1))</f>
        <v>0</v>
      </c>
      <c r="AD20" s="1">
        <f>IF(OR(A20="",L20&lt;3),0,IFERROR(VALUE(RIGHT(("W"&amp;A20),LEN(("W"&amp;A20))-FIND(".",("W"&amp;A20),FIND(".",("W"&amp;A20))+1))),-1))</f>
        <v>0</v>
      </c>
      <c r="AE20" s="1">
        <f>IF(A20="",0,IF(AND(L20&lt;=3,AB20&gt;=1,AB20&lt;=999,AC20&gt;=0,AC20&lt;=999,AD20&gt;=0,AD20&lt;=999,A20=TEXT(AB20,"0")&amp;IF(L20&gt;1,"."&amp;TEXT(AC20,"0"),"")&amp;IF(L20&gt;2,"."&amp;TEXT(AD20,"0"),""),OR(L20&lt;2,AC20&gt;=1),OR(L20&lt;3,AD20&gt;=1)),1,0))</f>
        <v>0</v>
      </c>
      <c r="AF20" s="1"/>
      <c r="AG20" t="str">
        <f>"W"&amp;A20</f>
        <v>W</v>
      </c>
    </row>
    <row r="21" spans="1:33" ht="16.5">
      <c r="A21" s="12" t="str">
        <f>IF(ROW()-9&gt;ROWS(TimingTasks[WBS]),"",IF(AND(INDEX(TimingTasks[WBS],ROW()-9)="",NOT(ISNUMBER(INDEX(TimingTasks[WBS],ROW()-9)))),"",INDEX(TimingTasks[WBS],ROW()-9)))</f>
        <v/>
      </c>
      <c r="B21" s="10" t="str">
        <f>IF(ROW()-9&gt;ROWS(TimingTasks[WBS]),"",IF(AND(INDEX(TimingTasks[任务名称],ROW()-9)="",NOT(ISNUMBER(INDEX(TimingTasks[任务名称],ROW()-9)))),"",INDEX(TimingTasks[任务名称],ROW()-9)))</f>
        <v/>
      </c>
      <c r="C21" s="10" t="str">
        <f>IF(ROW()-9&gt;ROWS(TimingTasks[WBS]),"",IF(AND(INDEX(TimingTasks[负责人],ROW()-9)="",NOT(ISNUMBER(INDEX(TimingTasks[负责人],ROW()-9)))),"",INDEX(TimingTasks[负责人],ROW()-9)))</f>
        <v/>
      </c>
      <c r="D21" s="11" t="str">
        <f>IF(ROW()-9&gt;ROWS(TimingTasks[WBS]),"",IF(AND(INDEX(TimingTasks[输入开始],ROW()-9)="",NOT(ISNUMBER(INDEX(TimingTasks[输入开始],ROW()-9)))),"",INDEX(TimingTasks[输入开始],ROW()-9)))</f>
        <v/>
      </c>
      <c r="E21" s="11" t="str">
        <f>IF(ROW()-9&gt;ROWS(TimingTasks[WBS]),"",IF(AND(INDEX(TimingTasks[输入结束],ROW()-9)="",NOT(ISNUMBER(INDEX(TimingTasks[输入结束],ROW()-9)))),"",INDEX(TimingTasks[输入结束],ROW()-9)))</f>
        <v/>
      </c>
      <c r="F21" s="1" t="str">
        <f>IF(OR(P21=0,K21="汇总",D21="",E21="",E21&lt;D21),"",IF(I21="里程碑",0,NETWORKDAYS(D21,E21)))</f>
        <v/>
      </c>
      <c r="G21" s="15">
        <f>IF(ROW()-9&gt;ROWS(TimingTasks[WBS]),"",IF(AND(INDEX(TimingTasks[输入完成度],ROW()-9)="",NOT(ISNUMBER(INDEX(TimingTasks[输入完成度],ROW()-9)))),0,INDEX(TimingTasks[输入完成度],ROW()-9)))</f>
        <v>0</v>
      </c>
      <c r="H21" s="10" t="str">
        <f>IF(ROW()-9&gt;ROWS(TimingTasks[WBS]),"",IF(AND(INDEX(TimingTasks[前置任务 WBS],ROW()-9)="",NOT(ISNUMBER(INDEX(TimingTasks[前置任务 WBS],ROW()-9)))),"",INDEX(TimingTasks[前置任务 WBS],ROW()-9)))</f>
        <v/>
      </c>
      <c r="I21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1" s="10" t="str">
        <f>IF(ROW()-9&gt;ROWS(TimingTasks[WBS]),"",IF(AND(INDEX(TimingTasks[操作],ROW()-9)="",NOT(ISNUMBER(INDEX(TimingTasks[操作],ROW()-9)))),"保留",INDEX(TimingTasks[操作],ROW()-9)))</f>
        <v>保留</v>
      </c>
      <c r="K21" s="1" t="str">
        <f>IF(P21=0,"",IF(OR(AND(L21=1,D21="",E21="",I21&lt;&gt;"里程碑"),COUNTIFS($S$10:$S$109,"&gt;"&amp;S21,$S$10:$S$109,"&lt;"&amp;(S21+IF(L21=1,1000000,IF(L21=2,1000,1))),$P$10:$P$109,1)&gt;0),"汇总",I21))</f>
        <v/>
      </c>
      <c r="L21" s="1" t="str">
        <f>IF(A21="","",LEN(("W"&amp;A21))-LEN(SUBSTITUTE(("W"&amp;A21),".",""))+1)</f>
        <v/>
      </c>
      <c r="M21" s="3" t="str">
        <f>IF(P21=0,"",IF(K21="汇总",IF(COUNTIFS($S$10:$S$109,"&gt;"&amp;S21,$S$10:$S$109,"&lt;"&amp;(S21+IF(L21=1,1000000,IF(L21=2,1000,1))),$AA$10:$AA$109,1)=0,"",_xlfn.MINIFS($Y$10:$Y$109,$S$10:$S$109,"&gt;"&amp;S21,$S$10:$S$109,"&lt;"&amp;(S21+IF(L21=1,1000000,IF(L21=2,1000,1))),$AA$10:$AA$109,1)),IF(AA21=1,D21,"")))</f>
        <v/>
      </c>
      <c r="N21" s="3" t="str">
        <f>IF(P21=0,"",IF(K21="汇总",IF(COUNTIFS($S$10:$S$109,"&gt;"&amp;S21,$S$10:$S$109,"&lt;"&amp;(S21+IF(L21=1,1000000,IF(L21=2,1000,1))),$AA$10:$AA$109,1)=0,"",_xlfn.MAXIFS($Z$10:$Z$109,$S$10:$S$109,"&gt;"&amp;S21,$S$10:$S$109,"&lt;"&amp;(S21+IF(L21=1,1000000,IF(L21=2,1000,1))),$AA$10:$AA$109,1)),IF(AA21=1,E21,"")))</f>
        <v/>
      </c>
      <c r="O21" s="7" t="str">
        <f>IF(K21="汇总",ROUND((IF(P21=0,"",IF(K21="汇总",IF(SUMIFS($Q$10:$Q$109,$S$10:$S$109,"&gt;"&amp;S21,$S$10:$S$109,"&lt;"&amp;(S21+IF(L21=1,1000000,IF(L21=2,1000,1))))=0,0,SUMIFS($R$10:$R$109,$S$10:$S$109,"&gt;"&amp;S21,$S$10:$S$109,"&lt;"&amp;(S21+IF(L21=1,1000000,IF(L21=2,1000,1))))/SUMIFS($Q$10:$Q$109,$S$10:$S$109,"&gt;"&amp;S21,$S$10:$S$109,"&lt;"&amp;(S21+IF(L21=1,1000000,IF(L21=2,1000,1))))),G21)))*100,0)/100,IF(P21=0,"",IF(K21="汇总",IF(SUMIFS($Q$10:$Q$109,$S$10:$S$109,"&gt;"&amp;S21,$S$10:$S$109,"&lt;"&amp;(S21+IF(L21=1,1000000,IF(L21=2,1000,1))))=0,0,SUMIFS($R$10:$R$109,$S$10:$S$109,"&gt;"&amp;S21,$S$10:$S$109,"&lt;"&amp;(S21+IF(L21=1,1000000,IF(L21=2,1000,1))))/SUMIFS($Q$10:$Q$109,$S$10:$S$109,"&gt;"&amp;S21,$S$10:$S$109,"&lt;"&amp;(S21+IF(L21=1,1000000,IF(L21=2,1000,1))))),G21)))</f>
        <v/>
      </c>
      <c r="P21" s="1">
        <f>IF(OR(A21="",B21="",J21="删除",AE21=0,COUNTIFS($AG$10:$AG$109,"W"&amp;A21)&lt;&gt;1,AND(L21&gt;1,COUNTIFS($AG$10:$AG$109,"W"&amp;V21,$B$10:$B$109,"&lt;&gt;")&lt;&gt;1),AND(L21=3,COUNTIFS($AG$10:$AG$109,"W"&amp;W21,$B$10:$B$109,"&lt;&gt;")&lt;&gt;1),COUNTIFS($AG$10:$AG$109,"W"&amp;V21,$J$10:$J$109,"删除")&gt;0,COUNTIFS($AG$10:$AG$109,"W"&amp;W21,$J$10:$J$109,"删除")&gt;0),0,1)</f>
        <v>0</v>
      </c>
      <c r="Q21" s="1">
        <f>IF(AA21=0,0,IF(I21="里程碑",1,F21))</f>
        <v>0</v>
      </c>
      <c r="R21" s="1">
        <f>IF(AA21=0,0,Q21*G21)</f>
        <v>0</v>
      </c>
      <c r="S21" s="1">
        <f>IF(P21=0,1000000000000000,AB21*1000000+AC21*1000+AD21)</f>
        <v>1000000000000000</v>
      </c>
      <c r="T21" s="1">
        <f>IF(P21=0,0,IF(Timing浏览!$D$5="全部",1,IF(Timing浏览!$D$5="仅里程碑",IF(K21="里程碑",1,0),IF(L21&lt;=VALUE(LEFT(Timing浏览!$D$5,1)),1,0))))</f>
        <v>0</v>
      </c>
      <c r="U21" s="1" t="str">
        <f>IF(T21=0,"",COUNTIFS($S$10:$S$109,"&lt;"&amp;S21,$T$10:$T$109,1)+1)</f>
        <v/>
      </c>
      <c r="V21" s="1" t="str">
        <f>IF(OR(A21="",L21=1),"",IF(L21=2,TEXT(AB21,"0"),TEXT(AB21,"0")&amp;"."&amp;TEXT(AC21,"0")))</f>
        <v/>
      </c>
      <c r="W21" s="1" t="str">
        <f>IF(OR(A21="",L21=1),"",TEXT(AB21,"0"))</f>
        <v/>
      </c>
      <c r="X21" s="1" t="str">
        <f>IF(AND(A21="",B21=""),"",IF(OR(A21="",B21=""),"请补编号和名称",IF(AE21=0,"编号需为1至3级正整数",IF(COUNTIFS($AG$10:$AG$109,"W"&amp;A21)&lt;&gt;1,"编号重复",IF(AND(L21&gt;1,COUNTIFS($AG$10:$AG$109,"W"&amp;V21,$B$10:$B$109,"&lt;&gt;")&lt;&gt;1),"缺少父任务",IF(J21="删除","待删除",IF(P21=0,"父任务已删除或无效",IF(K21="汇总",IF(COUNTIFS($S$10:$S$109,"&gt;"&amp;S21,$S$10:$S$109,"&lt;"&amp;(S21+IF(L21=1,1000000,IF(L21=2,1000,1))),$P$10:$P$109,1)=0,"等待子任务","由下级汇总"),IF(OR(D21="",E21=""),"待补日期",IF(E21&lt;D21,"结束早于开始",IF(AND(I21="里程碑",D21&lt;&gt;E21),"里程碑须同日","")))))))))))</f>
        <v/>
      </c>
      <c r="Y21" s="1">
        <f>IF(AA21=1,D21,100000000)</f>
        <v>100000000</v>
      </c>
      <c r="Z21" s="1">
        <f>IF(AA21=1,E21,0)</f>
        <v>0</v>
      </c>
      <c r="AA21" s="1">
        <f>IF(AND(P21=1,K21&lt;&gt;"汇总",ISNUMBER(F21),OR(I21&lt;&gt;"里程碑",D21=E21)),1,0)</f>
        <v>0</v>
      </c>
      <c r="AB21" s="1">
        <f>IF(A21="",0,IFERROR(VALUE(MID(("W"&amp;A21),2,FIND(".",("W"&amp;A21)&amp;".")-2)),-1))</f>
        <v>0</v>
      </c>
      <c r="AC21" s="1">
        <f>IF(OR(A21="",L21&lt;2),0,IFERROR(VALUE(MID(("W"&amp;A21),FIND(".",("W"&amp;A21))+1,FIND(".",("W"&amp;A21)&amp;".",FIND(".",("W"&amp;A21))+1)-FIND(".",("W"&amp;A21))-1)),-1))</f>
        <v>0</v>
      </c>
      <c r="AD21" s="1">
        <f>IF(OR(A21="",L21&lt;3),0,IFERROR(VALUE(RIGHT(("W"&amp;A21),LEN(("W"&amp;A21))-FIND(".",("W"&amp;A21),FIND(".",("W"&amp;A21))+1))),-1))</f>
        <v>0</v>
      </c>
      <c r="AE21" s="1">
        <f>IF(A21="",0,IF(AND(L21&lt;=3,AB21&gt;=1,AB21&lt;=999,AC21&gt;=0,AC21&lt;=999,AD21&gt;=0,AD21&lt;=999,A21=TEXT(AB21,"0")&amp;IF(L21&gt;1,"."&amp;TEXT(AC21,"0"),"")&amp;IF(L21&gt;2,"."&amp;TEXT(AD21,"0"),""),OR(L21&lt;2,AC21&gt;=1),OR(L21&lt;3,AD21&gt;=1)),1,0))</f>
        <v>0</v>
      </c>
      <c r="AF21" s="1"/>
      <c r="AG21" t="str">
        <f>"W"&amp;A21</f>
        <v>W</v>
      </c>
    </row>
    <row r="22" spans="1:33" ht="16.5">
      <c r="A22" s="12" t="str">
        <f>IF(ROW()-9&gt;ROWS(TimingTasks[WBS]),"",IF(AND(INDEX(TimingTasks[WBS],ROW()-9)="",NOT(ISNUMBER(INDEX(TimingTasks[WBS],ROW()-9)))),"",INDEX(TimingTasks[WBS],ROW()-9)))</f>
        <v/>
      </c>
      <c r="B22" s="10" t="str">
        <f>IF(ROW()-9&gt;ROWS(TimingTasks[WBS]),"",IF(AND(INDEX(TimingTasks[任务名称],ROW()-9)="",NOT(ISNUMBER(INDEX(TimingTasks[任务名称],ROW()-9)))),"",INDEX(TimingTasks[任务名称],ROW()-9)))</f>
        <v/>
      </c>
      <c r="C22" s="10" t="str">
        <f>IF(ROW()-9&gt;ROWS(TimingTasks[WBS]),"",IF(AND(INDEX(TimingTasks[负责人],ROW()-9)="",NOT(ISNUMBER(INDEX(TimingTasks[负责人],ROW()-9)))),"",INDEX(TimingTasks[负责人],ROW()-9)))</f>
        <v/>
      </c>
      <c r="D22" s="11" t="str">
        <f>IF(ROW()-9&gt;ROWS(TimingTasks[WBS]),"",IF(AND(INDEX(TimingTasks[输入开始],ROW()-9)="",NOT(ISNUMBER(INDEX(TimingTasks[输入开始],ROW()-9)))),"",INDEX(TimingTasks[输入开始],ROW()-9)))</f>
        <v/>
      </c>
      <c r="E22" s="11" t="str">
        <f>IF(ROW()-9&gt;ROWS(TimingTasks[WBS]),"",IF(AND(INDEX(TimingTasks[输入结束],ROW()-9)="",NOT(ISNUMBER(INDEX(TimingTasks[输入结束],ROW()-9)))),"",INDEX(TimingTasks[输入结束],ROW()-9)))</f>
        <v/>
      </c>
      <c r="F22" s="1" t="str">
        <f>IF(OR(P22=0,K22="汇总",D22="",E22="",E22&lt;D22),"",IF(I22="里程碑",0,NETWORKDAYS(D22,E22)))</f>
        <v/>
      </c>
      <c r="G22" s="15">
        <f>IF(ROW()-9&gt;ROWS(TimingTasks[WBS]),"",IF(AND(INDEX(TimingTasks[输入完成度],ROW()-9)="",NOT(ISNUMBER(INDEX(TimingTasks[输入完成度],ROW()-9)))),0,INDEX(TimingTasks[输入完成度],ROW()-9)))</f>
        <v>0</v>
      </c>
      <c r="H22" s="10" t="str">
        <f>IF(ROW()-9&gt;ROWS(TimingTasks[WBS]),"",IF(AND(INDEX(TimingTasks[前置任务 WBS],ROW()-9)="",NOT(ISNUMBER(INDEX(TimingTasks[前置任务 WBS],ROW()-9)))),"",INDEX(TimingTasks[前置任务 WBS],ROW()-9)))</f>
        <v/>
      </c>
      <c r="I22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2" s="10" t="str">
        <f>IF(ROW()-9&gt;ROWS(TimingTasks[WBS]),"",IF(AND(INDEX(TimingTasks[操作],ROW()-9)="",NOT(ISNUMBER(INDEX(TimingTasks[操作],ROW()-9)))),"保留",INDEX(TimingTasks[操作],ROW()-9)))</f>
        <v>保留</v>
      </c>
      <c r="K22" s="1" t="str">
        <f>IF(P22=0,"",IF(OR(AND(L22=1,D22="",E22="",I22&lt;&gt;"里程碑"),COUNTIFS($S$10:$S$109,"&gt;"&amp;S22,$S$10:$S$109,"&lt;"&amp;(S22+IF(L22=1,1000000,IF(L22=2,1000,1))),$P$10:$P$109,1)&gt;0),"汇总",I22))</f>
        <v/>
      </c>
      <c r="L22" s="1" t="str">
        <f>IF(A22="","",LEN(("W"&amp;A22))-LEN(SUBSTITUTE(("W"&amp;A22),".",""))+1)</f>
        <v/>
      </c>
      <c r="M22" s="3" t="str">
        <f>IF(P22=0,"",IF(K22="汇总",IF(COUNTIFS($S$10:$S$109,"&gt;"&amp;S22,$S$10:$S$109,"&lt;"&amp;(S22+IF(L22=1,1000000,IF(L22=2,1000,1))),$AA$10:$AA$109,1)=0,"",_xlfn.MINIFS($Y$10:$Y$109,$S$10:$S$109,"&gt;"&amp;S22,$S$10:$S$109,"&lt;"&amp;(S22+IF(L22=1,1000000,IF(L22=2,1000,1))),$AA$10:$AA$109,1)),IF(AA22=1,D22,"")))</f>
        <v/>
      </c>
      <c r="N22" s="3" t="str">
        <f>IF(P22=0,"",IF(K22="汇总",IF(COUNTIFS($S$10:$S$109,"&gt;"&amp;S22,$S$10:$S$109,"&lt;"&amp;(S22+IF(L22=1,1000000,IF(L22=2,1000,1))),$AA$10:$AA$109,1)=0,"",_xlfn.MAXIFS($Z$10:$Z$109,$S$10:$S$109,"&gt;"&amp;S22,$S$10:$S$109,"&lt;"&amp;(S22+IF(L22=1,1000000,IF(L22=2,1000,1))),$AA$10:$AA$109,1)),IF(AA22=1,E22,"")))</f>
        <v/>
      </c>
      <c r="O22" s="7" t="str">
        <f>IF(K22="汇总",ROUND((IF(P22=0,"",IF(K22="汇总",IF(SUMIFS($Q$10:$Q$109,$S$10:$S$109,"&gt;"&amp;S22,$S$10:$S$109,"&lt;"&amp;(S22+IF(L22=1,1000000,IF(L22=2,1000,1))))=0,0,SUMIFS($R$10:$R$109,$S$10:$S$109,"&gt;"&amp;S22,$S$10:$S$109,"&lt;"&amp;(S22+IF(L22=1,1000000,IF(L22=2,1000,1))))/SUMIFS($Q$10:$Q$109,$S$10:$S$109,"&gt;"&amp;S22,$S$10:$S$109,"&lt;"&amp;(S22+IF(L22=1,1000000,IF(L22=2,1000,1))))),G22)))*100,0)/100,IF(P22=0,"",IF(K22="汇总",IF(SUMIFS($Q$10:$Q$109,$S$10:$S$109,"&gt;"&amp;S22,$S$10:$S$109,"&lt;"&amp;(S22+IF(L22=1,1000000,IF(L22=2,1000,1))))=0,0,SUMIFS($R$10:$R$109,$S$10:$S$109,"&gt;"&amp;S22,$S$10:$S$109,"&lt;"&amp;(S22+IF(L22=1,1000000,IF(L22=2,1000,1))))/SUMIFS($Q$10:$Q$109,$S$10:$S$109,"&gt;"&amp;S22,$S$10:$S$109,"&lt;"&amp;(S22+IF(L22=1,1000000,IF(L22=2,1000,1))))),G22)))</f>
        <v/>
      </c>
      <c r="P22" s="1">
        <f>IF(OR(A22="",B22="",J22="删除",AE22=0,COUNTIFS($AG$10:$AG$109,"W"&amp;A22)&lt;&gt;1,AND(L22&gt;1,COUNTIFS($AG$10:$AG$109,"W"&amp;V22,$B$10:$B$109,"&lt;&gt;")&lt;&gt;1),AND(L22=3,COUNTIFS($AG$10:$AG$109,"W"&amp;W22,$B$10:$B$109,"&lt;&gt;")&lt;&gt;1),COUNTIFS($AG$10:$AG$109,"W"&amp;V22,$J$10:$J$109,"删除")&gt;0,COUNTIFS($AG$10:$AG$109,"W"&amp;W22,$J$10:$J$109,"删除")&gt;0),0,1)</f>
        <v>0</v>
      </c>
      <c r="Q22" s="1">
        <f>IF(AA22=0,0,IF(I22="里程碑",1,F22))</f>
        <v>0</v>
      </c>
      <c r="R22" s="1">
        <f>IF(AA22=0,0,Q22*G22)</f>
        <v>0</v>
      </c>
      <c r="S22" s="1">
        <f>IF(P22=0,1000000000000000,AB22*1000000+AC22*1000+AD22)</f>
        <v>1000000000000000</v>
      </c>
      <c r="T22" s="1">
        <f>IF(P22=0,0,IF(Timing浏览!$D$5="全部",1,IF(Timing浏览!$D$5="仅里程碑",IF(K22="里程碑",1,0),IF(L22&lt;=VALUE(LEFT(Timing浏览!$D$5,1)),1,0))))</f>
        <v>0</v>
      </c>
      <c r="U22" s="1" t="str">
        <f>IF(T22=0,"",COUNTIFS($S$10:$S$109,"&lt;"&amp;S22,$T$10:$T$109,1)+1)</f>
        <v/>
      </c>
      <c r="V22" s="1" t="str">
        <f>IF(OR(A22="",L22=1),"",IF(L22=2,TEXT(AB22,"0"),TEXT(AB22,"0")&amp;"."&amp;TEXT(AC22,"0")))</f>
        <v/>
      </c>
      <c r="W22" s="1" t="str">
        <f>IF(OR(A22="",L22=1),"",TEXT(AB22,"0"))</f>
        <v/>
      </c>
      <c r="X22" s="1" t="str">
        <f>IF(AND(A22="",B22=""),"",IF(OR(A22="",B22=""),"请补编号和名称",IF(AE22=0,"编号需为1至3级正整数",IF(COUNTIFS($AG$10:$AG$109,"W"&amp;A22)&lt;&gt;1,"编号重复",IF(AND(L22&gt;1,COUNTIFS($AG$10:$AG$109,"W"&amp;V22,$B$10:$B$109,"&lt;&gt;")&lt;&gt;1),"缺少父任务",IF(J22="删除","待删除",IF(P22=0,"父任务已删除或无效",IF(K22="汇总",IF(COUNTIFS($S$10:$S$109,"&gt;"&amp;S22,$S$10:$S$109,"&lt;"&amp;(S22+IF(L22=1,1000000,IF(L22=2,1000,1))),$P$10:$P$109,1)=0,"等待子任务","由下级汇总"),IF(OR(D22="",E22=""),"待补日期",IF(E22&lt;D22,"结束早于开始",IF(AND(I22="里程碑",D22&lt;&gt;E22),"里程碑须同日","")))))))))))</f>
        <v/>
      </c>
      <c r="Y22" s="1">
        <f>IF(AA22=1,D22,100000000)</f>
        <v>100000000</v>
      </c>
      <c r="Z22" s="1">
        <f>IF(AA22=1,E22,0)</f>
        <v>0</v>
      </c>
      <c r="AA22" s="1">
        <f>IF(AND(P22=1,K22&lt;&gt;"汇总",ISNUMBER(F22),OR(I22&lt;&gt;"里程碑",D22=E22)),1,0)</f>
        <v>0</v>
      </c>
      <c r="AB22" s="1">
        <f>IF(A22="",0,IFERROR(VALUE(MID(("W"&amp;A22),2,FIND(".",("W"&amp;A22)&amp;".")-2)),-1))</f>
        <v>0</v>
      </c>
      <c r="AC22" s="1">
        <f>IF(OR(A22="",L22&lt;2),0,IFERROR(VALUE(MID(("W"&amp;A22),FIND(".",("W"&amp;A22))+1,FIND(".",("W"&amp;A22)&amp;".",FIND(".",("W"&amp;A22))+1)-FIND(".",("W"&amp;A22))-1)),-1))</f>
        <v>0</v>
      </c>
      <c r="AD22" s="1">
        <f>IF(OR(A22="",L22&lt;3),0,IFERROR(VALUE(RIGHT(("W"&amp;A22),LEN(("W"&amp;A22))-FIND(".",("W"&amp;A22),FIND(".",("W"&amp;A22))+1))),-1))</f>
        <v>0</v>
      </c>
      <c r="AE22" s="1">
        <f>IF(A22="",0,IF(AND(L22&lt;=3,AB22&gt;=1,AB22&lt;=999,AC22&gt;=0,AC22&lt;=999,AD22&gt;=0,AD22&lt;=999,A22=TEXT(AB22,"0")&amp;IF(L22&gt;1,"."&amp;TEXT(AC22,"0"),"")&amp;IF(L22&gt;2,"."&amp;TEXT(AD22,"0"),""),OR(L22&lt;2,AC22&gt;=1),OR(L22&lt;3,AD22&gt;=1)),1,0))</f>
        <v>0</v>
      </c>
      <c r="AF22" s="1"/>
      <c r="AG22" t="str">
        <f>"W"&amp;A22</f>
        <v>W</v>
      </c>
    </row>
    <row r="23" spans="1:33" ht="16.5">
      <c r="A23" s="12" t="str">
        <f>IF(ROW()-9&gt;ROWS(TimingTasks[WBS]),"",IF(AND(INDEX(TimingTasks[WBS],ROW()-9)="",NOT(ISNUMBER(INDEX(TimingTasks[WBS],ROW()-9)))),"",INDEX(TimingTasks[WBS],ROW()-9)))</f>
        <v/>
      </c>
      <c r="B23" s="10" t="str">
        <f>IF(ROW()-9&gt;ROWS(TimingTasks[WBS]),"",IF(AND(INDEX(TimingTasks[任务名称],ROW()-9)="",NOT(ISNUMBER(INDEX(TimingTasks[任务名称],ROW()-9)))),"",INDEX(TimingTasks[任务名称],ROW()-9)))</f>
        <v/>
      </c>
      <c r="C23" s="10" t="str">
        <f>IF(ROW()-9&gt;ROWS(TimingTasks[WBS]),"",IF(AND(INDEX(TimingTasks[负责人],ROW()-9)="",NOT(ISNUMBER(INDEX(TimingTasks[负责人],ROW()-9)))),"",INDEX(TimingTasks[负责人],ROW()-9)))</f>
        <v/>
      </c>
      <c r="D23" s="11" t="str">
        <f>IF(ROW()-9&gt;ROWS(TimingTasks[WBS]),"",IF(AND(INDEX(TimingTasks[输入开始],ROW()-9)="",NOT(ISNUMBER(INDEX(TimingTasks[输入开始],ROW()-9)))),"",INDEX(TimingTasks[输入开始],ROW()-9)))</f>
        <v/>
      </c>
      <c r="E23" s="11" t="str">
        <f>IF(ROW()-9&gt;ROWS(TimingTasks[WBS]),"",IF(AND(INDEX(TimingTasks[输入结束],ROW()-9)="",NOT(ISNUMBER(INDEX(TimingTasks[输入结束],ROW()-9)))),"",INDEX(TimingTasks[输入结束],ROW()-9)))</f>
        <v/>
      </c>
      <c r="F23" s="1" t="str">
        <f>IF(OR(P23=0,K23="汇总",D23="",E23="",E23&lt;D23),"",IF(I23="里程碑",0,NETWORKDAYS(D23,E23)))</f>
        <v/>
      </c>
      <c r="G23" s="15">
        <f>IF(ROW()-9&gt;ROWS(TimingTasks[WBS]),"",IF(AND(INDEX(TimingTasks[输入完成度],ROW()-9)="",NOT(ISNUMBER(INDEX(TimingTasks[输入完成度],ROW()-9)))),0,INDEX(TimingTasks[输入完成度],ROW()-9)))</f>
        <v>0</v>
      </c>
      <c r="H23" s="10" t="str">
        <f>IF(ROW()-9&gt;ROWS(TimingTasks[WBS]),"",IF(AND(INDEX(TimingTasks[前置任务 WBS],ROW()-9)="",NOT(ISNUMBER(INDEX(TimingTasks[前置任务 WBS],ROW()-9)))),"",INDEX(TimingTasks[前置任务 WBS],ROW()-9)))</f>
        <v/>
      </c>
      <c r="I23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3" s="10" t="str">
        <f>IF(ROW()-9&gt;ROWS(TimingTasks[WBS]),"",IF(AND(INDEX(TimingTasks[操作],ROW()-9)="",NOT(ISNUMBER(INDEX(TimingTasks[操作],ROW()-9)))),"保留",INDEX(TimingTasks[操作],ROW()-9)))</f>
        <v>保留</v>
      </c>
      <c r="K23" s="1" t="str">
        <f>IF(P23=0,"",IF(OR(AND(L23=1,D23="",E23="",I23&lt;&gt;"里程碑"),COUNTIFS($S$10:$S$109,"&gt;"&amp;S23,$S$10:$S$109,"&lt;"&amp;(S23+IF(L23=1,1000000,IF(L23=2,1000,1))),$P$10:$P$109,1)&gt;0),"汇总",I23))</f>
        <v/>
      </c>
      <c r="L23" s="1" t="str">
        <f>IF(A23="","",LEN(("W"&amp;A23))-LEN(SUBSTITUTE(("W"&amp;A23),".",""))+1)</f>
        <v/>
      </c>
      <c r="M23" s="3" t="str">
        <f>IF(P23=0,"",IF(K23="汇总",IF(COUNTIFS($S$10:$S$109,"&gt;"&amp;S23,$S$10:$S$109,"&lt;"&amp;(S23+IF(L23=1,1000000,IF(L23=2,1000,1))),$AA$10:$AA$109,1)=0,"",_xlfn.MINIFS($Y$10:$Y$109,$S$10:$S$109,"&gt;"&amp;S23,$S$10:$S$109,"&lt;"&amp;(S23+IF(L23=1,1000000,IF(L23=2,1000,1))),$AA$10:$AA$109,1)),IF(AA23=1,D23,"")))</f>
        <v/>
      </c>
      <c r="N23" s="3" t="str">
        <f>IF(P23=0,"",IF(K23="汇总",IF(COUNTIFS($S$10:$S$109,"&gt;"&amp;S23,$S$10:$S$109,"&lt;"&amp;(S23+IF(L23=1,1000000,IF(L23=2,1000,1))),$AA$10:$AA$109,1)=0,"",_xlfn.MAXIFS($Z$10:$Z$109,$S$10:$S$109,"&gt;"&amp;S23,$S$10:$S$109,"&lt;"&amp;(S23+IF(L23=1,1000000,IF(L23=2,1000,1))),$AA$10:$AA$109,1)),IF(AA23=1,E23,"")))</f>
        <v/>
      </c>
      <c r="O23" s="7" t="str">
        <f>IF(K23="汇总",ROUND((IF(P23=0,"",IF(K23="汇总",IF(SUMIFS($Q$10:$Q$109,$S$10:$S$109,"&gt;"&amp;S23,$S$10:$S$109,"&lt;"&amp;(S23+IF(L23=1,1000000,IF(L23=2,1000,1))))=0,0,SUMIFS($R$10:$R$109,$S$10:$S$109,"&gt;"&amp;S23,$S$10:$S$109,"&lt;"&amp;(S23+IF(L23=1,1000000,IF(L23=2,1000,1))))/SUMIFS($Q$10:$Q$109,$S$10:$S$109,"&gt;"&amp;S23,$S$10:$S$109,"&lt;"&amp;(S23+IF(L23=1,1000000,IF(L23=2,1000,1))))),G23)))*100,0)/100,IF(P23=0,"",IF(K23="汇总",IF(SUMIFS($Q$10:$Q$109,$S$10:$S$109,"&gt;"&amp;S23,$S$10:$S$109,"&lt;"&amp;(S23+IF(L23=1,1000000,IF(L23=2,1000,1))))=0,0,SUMIFS($R$10:$R$109,$S$10:$S$109,"&gt;"&amp;S23,$S$10:$S$109,"&lt;"&amp;(S23+IF(L23=1,1000000,IF(L23=2,1000,1))))/SUMIFS($Q$10:$Q$109,$S$10:$S$109,"&gt;"&amp;S23,$S$10:$S$109,"&lt;"&amp;(S23+IF(L23=1,1000000,IF(L23=2,1000,1))))),G23)))</f>
        <v/>
      </c>
      <c r="P23" s="1">
        <f>IF(OR(A23="",B23="",J23="删除",AE23=0,COUNTIFS($AG$10:$AG$109,"W"&amp;A23)&lt;&gt;1,AND(L23&gt;1,COUNTIFS($AG$10:$AG$109,"W"&amp;V23,$B$10:$B$109,"&lt;&gt;")&lt;&gt;1),AND(L23=3,COUNTIFS($AG$10:$AG$109,"W"&amp;W23,$B$10:$B$109,"&lt;&gt;")&lt;&gt;1),COUNTIFS($AG$10:$AG$109,"W"&amp;V23,$J$10:$J$109,"删除")&gt;0,COUNTIFS($AG$10:$AG$109,"W"&amp;W23,$J$10:$J$109,"删除")&gt;0),0,1)</f>
        <v>0</v>
      </c>
      <c r="Q23" s="1">
        <f>IF(AA23=0,0,IF(I23="里程碑",1,F23))</f>
        <v>0</v>
      </c>
      <c r="R23" s="1">
        <f>IF(AA23=0,0,Q23*G23)</f>
        <v>0</v>
      </c>
      <c r="S23" s="1">
        <f>IF(P23=0,1000000000000000,AB23*1000000+AC23*1000+AD23)</f>
        <v>1000000000000000</v>
      </c>
      <c r="T23" s="1">
        <f>IF(P23=0,0,IF(Timing浏览!$D$5="全部",1,IF(Timing浏览!$D$5="仅里程碑",IF(K23="里程碑",1,0),IF(L23&lt;=VALUE(LEFT(Timing浏览!$D$5,1)),1,0))))</f>
        <v>0</v>
      </c>
      <c r="U23" s="1" t="str">
        <f>IF(T23=0,"",COUNTIFS($S$10:$S$109,"&lt;"&amp;S23,$T$10:$T$109,1)+1)</f>
        <v/>
      </c>
      <c r="V23" s="1" t="str">
        <f>IF(OR(A23="",L23=1),"",IF(L23=2,TEXT(AB23,"0"),TEXT(AB23,"0")&amp;"."&amp;TEXT(AC23,"0")))</f>
        <v/>
      </c>
      <c r="W23" s="1" t="str">
        <f>IF(OR(A23="",L23=1),"",TEXT(AB23,"0"))</f>
        <v/>
      </c>
      <c r="X23" s="1" t="str">
        <f>IF(AND(A23="",B23=""),"",IF(OR(A23="",B23=""),"请补编号和名称",IF(AE23=0,"编号需为1至3级正整数",IF(COUNTIFS($AG$10:$AG$109,"W"&amp;A23)&lt;&gt;1,"编号重复",IF(AND(L23&gt;1,COUNTIFS($AG$10:$AG$109,"W"&amp;V23,$B$10:$B$109,"&lt;&gt;")&lt;&gt;1),"缺少父任务",IF(J23="删除","待删除",IF(P23=0,"父任务已删除或无效",IF(K23="汇总",IF(COUNTIFS($S$10:$S$109,"&gt;"&amp;S23,$S$10:$S$109,"&lt;"&amp;(S23+IF(L23=1,1000000,IF(L23=2,1000,1))),$P$10:$P$109,1)=0,"等待子任务","由下级汇总"),IF(OR(D23="",E23=""),"待补日期",IF(E23&lt;D23,"结束早于开始",IF(AND(I23="里程碑",D23&lt;&gt;E23),"里程碑须同日","")))))))))))</f>
        <v/>
      </c>
      <c r="Y23" s="1">
        <f>IF(AA23=1,D23,100000000)</f>
        <v>100000000</v>
      </c>
      <c r="Z23" s="1">
        <f>IF(AA23=1,E23,0)</f>
        <v>0</v>
      </c>
      <c r="AA23" s="1">
        <f>IF(AND(P23=1,K23&lt;&gt;"汇总",ISNUMBER(F23),OR(I23&lt;&gt;"里程碑",D23=E23)),1,0)</f>
        <v>0</v>
      </c>
      <c r="AB23" s="1">
        <f>IF(A23="",0,IFERROR(VALUE(MID(("W"&amp;A23),2,FIND(".",("W"&amp;A23)&amp;".")-2)),-1))</f>
        <v>0</v>
      </c>
      <c r="AC23" s="1">
        <f>IF(OR(A23="",L23&lt;2),0,IFERROR(VALUE(MID(("W"&amp;A23),FIND(".",("W"&amp;A23))+1,FIND(".",("W"&amp;A23)&amp;".",FIND(".",("W"&amp;A23))+1)-FIND(".",("W"&amp;A23))-1)),-1))</f>
        <v>0</v>
      </c>
      <c r="AD23" s="1">
        <f>IF(OR(A23="",L23&lt;3),0,IFERROR(VALUE(RIGHT(("W"&amp;A23),LEN(("W"&amp;A23))-FIND(".",("W"&amp;A23),FIND(".",("W"&amp;A23))+1))),-1))</f>
        <v>0</v>
      </c>
      <c r="AE23" s="1">
        <f>IF(A23="",0,IF(AND(L23&lt;=3,AB23&gt;=1,AB23&lt;=999,AC23&gt;=0,AC23&lt;=999,AD23&gt;=0,AD23&lt;=999,A23=TEXT(AB23,"0")&amp;IF(L23&gt;1,"."&amp;TEXT(AC23,"0"),"")&amp;IF(L23&gt;2,"."&amp;TEXT(AD23,"0"),""),OR(L23&lt;2,AC23&gt;=1),OR(L23&lt;3,AD23&gt;=1)),1,0))</f>
        <v>0</v>
      </c>
      <c r="AF23" s="1"/>
      <c r="AG23" t="str">
        <f>"W"&amp;A23</f>
        <v>W</v>
      </c>
    </row>
    <row r="24" spans="1:33" ht="16.5">
      <c r="A24" s="12" t="str">
        <f>IF(ROW()-9&gt;ROWS(TimingTasks[WBS]),"",IF(AND(INDEX(TimingTasks[WBS],ROW()-9)="",NOT(ISNUMBER(INDEX(TimingTasks[WBS],ROW()-9)))),"",INDEX(TimingTasks[WBS],ROW()-9)))</f>
        <v/>
      </c>
      <c r="B24" s="10" t="str">
        <f>IF(ROW()-9&gt;ROWS(TimingTasks[WBS]),"",IF(AND(INDEX(TimingTasks[任务名称],ROW()-9)="",NOT(ISNUMBER(INDEX(TimingTasks[任务名称],ROW()-9)))),"",INDEX(TimingTasks[任务名称],ROW()-9)))</f>
        <v/>
      </c>
      <c r="C24" s="10" t="str">
        <f>IF(ROW()-9&gt;ROWS(TimingTasks[WBS]),"",IF(AND(INDEX(TimingTasks[负责人],ROW()-9)="",NOT(ISNUMBER(INDEX(TimingTasks[负责人],ROW()-9)))),"",INDEX(TimingTasks[负责人],ROW()-9)))</f>
        <v/>
      </c>
      <c r="D24" s="11" t="str">
        <f>IF(ROW()-9&gt;ROWS(TimingTasks[WBS]),"",IF(AND(INDEX(TimingTasks[输入开始],ROW()-9)="",NOT(ISNUMBER(INDEX(TimingTasks[输入开始],ROW()-9)))),"",INDEX(TimingTasks[输入开始],ROW()-9)))</f>
        <v/>
      </c>
      <c r="E24" s="11" t="str">
        <f>IF(ROW()-9&gt;ROWS(TimingTasks[WBS]),"",IF(AND(INDEX(TimingTasks[输入结束],ROW()-9)="",NOT(ISNUMBER(INDEX(TimingTasks[输入结束],ROW()-9)))),"",INDEX(TimingTasks[输入结束],ROW()-9)))</f>
        <v/>
      </c>
      <c r="F24" s="1" t="str">
        <f>IF(OR(P24=0,K24="汇总",D24="",E24="",E24&lt;D24),"",IF(I24="里程碑",0,NETWORKDAYS(D24,E24)))</f>
        <v/>
      </c>
      <c r="G24" s="15">
        <f>IF(ROW()-9&gt;ROWS(TimingTasks[WBS]),"",IF(AND(INDEX(TimingTasks[输入完成度],ROW()-9)="",NOT(ISNUMBER(INDEX(TimingTasks[输入完成度],ROW()-9)))),0,INDEX(TimingTasks[输入完成度],ROW()-9)))</f>
        <v>0</v>
      </c>
      <c r="H24" s="10" t="str">
        <f>IF(ROW()-9&gt;ROWS(TimingTasks[WBS]),"",IF(AND(INDEX(TimingTasks[前置任务 WBS],ROW()-9)="",NOT(ISNUMBER(INDEX(TimingTasks[前置任务 WBS],ROW()-9)))),"",INDEX(TimingTasks[前置任务 WBS],ROW()-9)))</f>
        <v/>
      </c>
      <c r="I24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4" s="10" t="str">
        <f>IF(ROW()-9&gt;ROWS(TimingTasks[WBS]),"",IF(AND(INDEX(TimingTasks[操作],ROW()-9)="",NOT(ISNUMBER(INDEX(TimingTasks[操作],ROW()-9)))),"保留",INDEX(TimingTasks[操作],ROW()-9)))</f>
        <v>保留</v>
      </c>
      <c r="K24" s="1" t="str">
        <f>IF(P24=0,"",IF(OR(AND(L24=1,D24="",E24="",I24&lt;&gt;"里程碑"),COUNTIFS($S$10:$S$109,"&gt;"&amp;S24,$S$10:$S$109,"&lt;"&amp;(S24+IF(L24=1,1000000,IF(L24=2,1000,1))),$P$10:$P$109,1)&gt;0),"汇总",I24))</f>
        <v/>
      </c>
      <c r="L24" s="1" t="str">
        <f>IF(A24="","",LEN(("W"&amp;A24))-LEN(SUBSTITUTE(("W"&amp;A24),".",""))+1)</f>
        <v/>
      </c>
      <c r="M24" s="3" t="str">
        <f>IF(P24=0,"",IF(K24="汇总",IF(COUNTIFS($S$10:$S$109,"&gt;"&amp;S24,$S$10:$S$109,"&lt;"&amp;(S24+IF(L24=1,1000000,IF(L24=2,1000,1))),$AA$10:$AA$109,1)=0,"",_xlfn.MINIFS($Y$10:$Y$109,$S$10:$S$109,"&gt;"&amp;S24,$S$10:$S$109,"&lt;"&amp;(S24+IF(L24=1,1000000,IF(L24=2,1000,1))),$AA$10:$AA$109,1)),IF(AA24=1,D24,"")))</f>
        <v/>
      </c>
      <c r="N24" s="3" t="str">
        <f>IF(P24=0,"",IF(K24="汇总",IF(COUNTIFS($S$10:$S$109,"&gt;"&amp;S24,$S$10:$S$109,"&lt;"&amp;(S24+IF(L24=1,1000000,IF(L24=2,1000,1))),$AA$10:$AA$109,1)=0,"",_xlfn.MAXIFS($Z$10:$Z$109,$S$10:$S$109,"&gt;"&amp;S24,$S$10:$S$109,"&lt;"&amp;(S24+IF(L24=1,1000000,IF(L24=2,1000,1))),$AA$10:$AA$109,1)),IF(AA24=1,E24,"")))</f>
        <v/>
      </c>
      <c r="O24" s="7" t="str">
        <f>IF(K24="汇总",ROUND((IF(P24=0,"",IF(K24="汇总",IF(SUMIFS($Q$10:$Q$109,$S$10:$S$109,"&gt;"&amp;S24,$S$10:$S$109,"&lt;"&amp;(S24+IF(L24=1,1000000,IF(L24=2,1000,1))))=0,0,SUMIFS($R$10:$R$109,$S$10:$S$109,"&gt;"&amp;S24,$S$10:$S$109,"&lt;"&amp;(S24+IF(L24=1,1000000,IF(L24=2,1000,1))))/SUMIFS($Q$10:$Q$109,$S$10:$S$109,"&gt;"&amp;S24,$S$10:$S$109,"&lt;"&amp;(S24+IF(L24=1,1000000,IF(L24=2,1000,1))))),G24)))*100,0)/100,IF(P24=0,"",IF(K24="汇总",IF(SUMIFS($Q$10:$Q$109,$S$10:$S$109,"&gt;"&amp;S24,$S$10:$S$109,"&lt;"&amp;(S24+IF(L24=1,1000000,IF(L24=2,1000,1))))=0,0,SUMIFS($R$10:$R$109,$S$10:$S$109,"&gt;"&amp;S24,$S$10:$S$109,"&lt;"&amp;(S24+IF(L24=1,1000000,IF(L24=2,1000,1))))/SUMIFS($Q$10:$Q$109,$S$10:$S$109,"&gt;"&amp;S24,$S$10:$S$109,"&lt;"&amp;(S24+IF(L24=1,1000000,IF(L24=2,1000,1))))),G24)))</f>
        <v/>
      </c>
      <c r="P24" s="1">
        <f>IF(OR(A24="",B24="",J24="删除",AE24=0,COUNTIFS($AG$10:$AG$109,"W"&amp;A24)&lt;&gt;1,AND(L24&gt;1,COUNTIFS($AG$10:$AG$109,"W"&amp;V24,$B$10:$B$109,"&lt;&gt;")&lt;&gt;1),AND(L24=3,COUNTIFS($AG$10:$AG$109,"W"&amp;W24,$B$10:$B$109,"&lt;&gt;")&lt;&gt;1),COUNTIFS($AG$10:$AG$109,"W"&amp;V24,$J$10:$J$109,"删除")&gt;0,COUNTIFS($AG$10:$AG$109,"W"&amp;W24,$J$10:$J$109,"删除")&gt;0),0,1)</f>
        <v>0</v>
      </c>
      <c r="Q24" s="1">
        <f>IF(AA24=0,0,IF(I24="里程碑",1,F24))</f>
        <v>0</v>
      </c>
      <c r="R24" s="1">
        <f>IF(AA24=0,0,Q24*G24)</f>
        <v>0</v>
      </c>
      <c r="S24" s="1">
        <f>IF(P24=0,1000000000000000,AB24*1000000+AC24*1000+AD24)</f>
        <v>1000000000000000</v>
      </c>
      <c r="T24" s="1">
        <f>IF(P24=0,0,IF(Timing浏览!$D$5="全部",1,IF(Timing浏览!$D$5="仅里程碑",IF(K24="里程碑",1,0),IF(L24&lt;=VALUE(LEFT(Timing浏览!$D$5,1)),1,0))))</f>
        <v>0</v>
      </c>
      <c r="U24" s="1" t="str">
        <f>IF(T24=0,"",COUNTIFS($S$10:$S$109,"&lt;"&amp;S24,$T$10:$T$109,1)+1)</f>
        <v/>
      </c>
      <c r="V24" s="1" t="str">
        <f>IF(OR(A24="",L24=1),"",IF(L24=2,TEXT(AB24,"0"),TEXT(AB24,"0")&amp;"."&amp;TEXT(AC24,"0")))</f>
        <v/>
      </c>
      <c r="W24" s="1" t="str">
        <f>IF(OR(A24="",L24=1),"",TEXT(AB24,"0"))</f>
        <v/>
      </c>
      <c r="X24" s="1" t="str">
        <f>IF(AND(A24="",B24=""),"",IF(OR(A24="",B24=""),"请补编号和名称",IF(AE24=0,"编号需为1至3级正整数",IF(COUNTIFS($AG$10:$AG$109,"W"&amp;A24)&lt;&gt;1,"编号重复",IF(AND(L24&gt;1,COUNTIFS($AG$10:$AG$109,"W"&amp;V24,$B$10:$B$109,"&lt;&gt;")&lt;&gt;1),"缺少父任务",IF(J24="删除","待删除",IF(P24=0,"父任务已删除或无效",IF(K24="汇总",IF(COUNTIFS($S$10:$S$109,"&gt;"&amp;S24,$S$10:$S$109,"&lt;"&amp;(S24+IF(L24=1,1000000,IF(L24=2,1000,1))),$P$10:$P$109,1)=0,"等待子任务","由下级汇总"),IF(OR(D24="",E24=""),"待补日期",IF(E24&lt;D24,"结束早于开始",IF(AND(I24="里程碑",D24&lt;&gt;E24),"里程碑须同日","")))))))))))</f>
        <v/>
      </c>
      <c r="Y24" s="1">
        <f>IF(AA24=1,D24,100000000)</f>
        <v>100000000</v>
      </c>
      <c r="Z24" s="1">
        <f>IF(AA24=1,E24,0)</f>
        <v>0</v>
      </c>
      <c r="AA24" s="1">
        <f>IF(AND(P24=1,K24&lt;&gt;"汇总",ISNUMBER(F24),OR(I24&lt;&gt;"里程碑",D24=E24)),1,0)</f>
        <v>0</v>
      </c>
      <c r="AB24" s="1">
        <f>IF(A24="",0,IFERROR(VALUE(MID(("W"&amp;A24),2,FIND(".",("W"&amp;A24)&amp;".")-2)),-1))</f>
        <v>0</v>
      </c>
      <c r="AC24" s="1">
        <f>IF(OR(A24="",L24&lt;2),0,IFERROR(VALUE(MID(("W"&amp;A24),FIND(".",("W"&amp;A24))+1,FIND(".",("W"&amp;A24)&amp;".",FIND(".",("W"&amp;A24))+1)-FIND(".",("W"&amp;A24))-1)),-1))</f>
        <v>0</v>
      </c>
      <c r="AD24" s="1">
        <f>IF(OR(A24="",L24&lt;3),0,IFERROR(VALUE(RIGHT(("W"&amp;A24),LEN(("W"&amp;A24))-FIND(".",("W"&amp;A24),FIND(".",("W"&amp;A24))+1))),-1))</f>
        <v>0</v>
      </c>
      <c r="AE24" s="1">
        <f>IF(A24="",0,IF(AND(L24&lt;=3,AB24&gt;=1,AB24&lt;=999,AC24&gt;=0,AC24&lt;=999,AD24&gt;=0,AD24&lt;=999,A24=TEXT(AB24,"0")&amp;IF(L24&gt;1,"."&amp;TEXT(AC24,"0"),"")&amp;IF(L24&gt;2,"."&amp;TEXT(AD24,"0"),""),OR(L24&lt;2,AC24&gt;=1),OR(L24&lt;3,AD24&gt;=1)),1,0))</f>
        <v>0</v>
      </c>
      <c r="AF24" s="1"/>
      <c r="AG24" t="str">
        <f>"W"&amp;A24</f>
        <v>W</v>
      </c>
    </row>
    <row r="25" spans="1:33" ht="16.5">
      <c r="A25" s="12" t="str">
        <f>IF(ROW()-9&gt;ROWS(TimingTasks[WBS]),"",IF(AND(INDEX(TimingTasks[WBS],ROW()-9)="",NOT(ISNUMBER(INDEX(TimingTasks[WBS],ROW()-9)))),"",INDEX(TimingTasks[WBS],ROW()-9)))</f>
        <v/>
      </c>
      <c r="B25" s="10" t="str">
        <f>IF(ROW()-9&gt;ROWS(TimingTasks[WBS]),"",IF(AND(INDEX(TimingTasks[任务名称],ROW()-9)="",NOT(ISNUMBER(INDEX(TimingTasks[任务名称],ROW()-9)))),"",INDEX(TimingTasks[任务名称],ROW()-9)))</f>
        <v/>
      </c>
      <c r="C25" s="10" t="str">
        <f>IF(ROW()-9&gt;ROWS(TimingTasks[WBS]),"",IF(AND(INDEX(TimingTasks[负责人],ROW()-9)="",NOT(ISNUMBER(INDEX(TimingTasks[负责人],ROW()-9)))),"",INDEX(TimingTasks[负责人],ROW()-9)))</f>
        <v/>
      </c>
      <c r="D25" s="11" t="str">
        <f>IF(ROW()-9&gt;ROWS(TimingTasks[WBS]),"",IF(AND(INDEX(TimingTasks[输入开始],ROW()-9)="",NOT(ISNUMBER(INDEX(TimingTasks[输入开始],ROW()-9)))),"",INDEX(TimingTasks[输入开始],ROW()-9)))</f>
        <v/>
      </c>
      <c r="E25" s="11" t="str">
        <f>IF(ROW()-9&gt;ROWS(TimingTasks[WBS]),"",IF(AND(INDEX(TimingTasks[输入结束],ROW()-9)="",NOT(ISNUMBER(INDEX(TimingTasks[输入结束],ROW()-9)))),"",INDEX(TimingTasks[输入结束],ROW()-9)))</f>
        <v/>
      </c>
      <c r="F25" s="1" t="str">
        <f>IF(OR(P25=0,K25="汇总",D25="",E25="",E25&lt;D25),"",IF(I25="里程碑",0,NETWORKDAYS(D25,E25)))</f>
        <v/>
      </c>
      <c r="G25" s="15">
        <f>IF(ROW()-9&gt;ROWS(TimingTasks[WBS]),"",IF(AND(INDEX(TimingTasks[输入完成度],ROW()-9)="",NOT(ISNUMBER(INDEX(TimingTasks[输入完成度],ROW()-9)))),0,INDEX(TimingTasks[输入完成度],ROW()-9)))</f>
        <v>0</v>
      </c>
      <c r="H25" s="10" t="str">
        <f>IF(ROW()-9&gt;ROWS(TimingTasks[WBS]),"",IF(AND(INDEX(TimingTasks[前置任务 WBS],ROW()-9)="",NOT(ISNUMBER(INDEX(TimingTasks[前置任务 WBS],ROW()-9)))),"",INDEX(TimingTasks[前置任务 WBS],ROW()-9)))</f>
        <v/>
      </c>
      <c r="I25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5" s="10" t="str">
        <f>IF(ROW()-9&gt;ROWS(TimingTasks[WBS]),"",IF(AND(INDEX(TimingTasks[操作],ROW()-9)="",NOT(ISNUMBER(INDEX(TimingTasks[操作],ROW()-9)))),"保留",INDEX(TimingTasks[操作],ROW()-9)))</f>
        <v>保留</v>
      </c>
      <c r="K25" s="1" t="str">
        <f>IF(P25=0,"",IF(OR(AND(L25=1,D25="",E25="",I25&lt;&gt;"里程碑"),COUNTIFS($S$10:$S$109,"&gt;"&amp;S25,$S$10:$S$109,"&lt;"&amp;(S25+IF(L25=1,1000000,IF(L25=2,1000,1))),$P$10:$P$109,1)&gt;0),"汇总",I25))</f>
        <v/>
      </c>
      <c r="L25" s="1" t="str">
        <f>IF(A25="","",LEN(("W"&amp;A25))-LEN(SUBSTITUTE(("W"&amp;A25),".",""))+1)</f>
        <v/>
      </c>
      <c r="M25" s="3" t="str">
        <f>IF(P25=0,"",IF(K25="汇总",IF(COUNTIFS($S$10:$S$109,"&gt;"&amp;S25,$S$10:$S$109,"&lt;"&amp;(S25+IF(L25=1,1000000,IF(L25=2,1000,1))),$AA$10:$AA$109,1)=0,"",_xlfn.MINIFS($Y$10:$Y$109,$S$10:$S$109,"&gt;"&amp;S25,$S$10:$S$109,"&lt;"&amp;(S25+IF(L25=1,1000000,IF(L25=2,1000,1))),$AA$10:$AA$109,1)),IF(AA25=1,D25,"")))</f>
        <v/>
      </c>
      <c r="N25" s="3" t="str">
        <f>IF(P25=0,"",IF(K25="汇总",IF(COUNTIFS($S$10:$S$109,"&gt;"&amp;S25,$S$10:$S$109,"&lt;"&amp;(S25+IF(L25=1,1000000,IF(L25=2,1000,1))),$AA$10:$AA$109,1)=0,"",_xlfn.MAXIFS($Z$10:$Z$109,$S$10:$S$109,"&gt;"&amp;S25,$S$10:$S$109,"&lt;"&amp;(S25+IF(L25=1,1000000,IF(L25=2,1000,1))),$AA$10:$AA$109,1)),IF(AA25=1,E25,"")))</f>
        <v/>
      </c>
      <c r="O25" s="7" t="str">
        <f>IF(K25="汇总",ROUND((IF(P25=0,"",IF(K25="汇总",IF(SUMIFS($Q$10:$Q$109,$S$10:$S$109,"&gt;"&amp;S25,$S$10:$S$109,"&lt;"&amp;(S25+IF(L25=1,1000000,IF(L25=2,1000,1))))=0,0,SUMIFS($R$10:$R$109,$S$10:$S$109,"&gt;"&amp;S25,$S$10:$S$109,"&lt;"&amp;(S25+IF(L25=1,1000000,IF(L25=2,1000,1))))/SUMIFS($Q$10:$Q$109,$S$10:$S$109,"&gt;"&amp;S25,$S$10:$S$109,"&lt;"&amp;(S25+IF(L25=1,1000000,IF(L25=2,1000,1))))),G25)))*100,0)/100,IF(P25=0,"",IF(K25="汇总",IF(SUMIFS($Q$10:$Q$109,$S$10:$S$109,"&gt;"&amp;S25,$S$10:$S$109,"&lt;"&amp;(S25+IF(L25=1,1000000,IF(L25=2,1000,1))))=0,0,SUMIFS($R$10:$R$109,$S$10:$S$109,"&gt;"&amp;S25,$S$10:$S$109,"&lt;"&amp;(S25+IF(L25=1,1000000,IF(L25=2,1000,1))))/SUMIFS($Q$10:$Q$109,$S$10:$S$109,"&gt;"&amp;S25,$S$10:$S$109,"&lt;"&amp;(S25+IF(L25=1,1000000,IF(L25=2,1000,1))))),G25)))</f>
        <v/>
      </c>
      <c r="P25" s="1">
        <f>IF(OR(A25="",B25="",J25="删除",AE25=0,COUNTIFS($AG$10:$AG$109,"W"&amp;A25)&lt;&gt;1,AND(L25&gt;1,COUNTIFS($AG$10:$AG$109,"W"&amp;V25,$B$10:$B$109,"&lt;&gt;")&lt;&gt;1),AND(L25=3,COUNTIFS($AG$10:$AG$109,"W"&amp;W25,$B$10:$B$109,"&lt;&gt;")&lt;&gt;1),COUNTIFS($AG$10:$AG$109,"W"&amp;V25,$J$10:$J$109,"删除")&gt;0,COUNTIFS($AG$10:$AG$109,"W"&amp;W25,$J$10:$J$109,"删除")&gt;0),0,1)</f>
        <v>0</v>
      </c>
      <c r="Q25" s="1">
        <f>IF(AA25=0,0,IF(I25="里程碑",1,F25))</f>
        <v>0</v>
      </c>
      <c r="R25" s="1">
        <f>IF(AA25=0,0,Q25*G25)</f>
        <v>0</v>
      </c>
      <c r="S25" s="1">
        <f>IF(P25=0,1000000000000000,AB25*1000000+AC25*1000+AD25)</f>
        <v>1000000000000000</v>
      </c>
      <c r="T25" s="1">
        <f>IF(P25=0,0,IF(Timing浏览!$D$5="全部",1,IF(Timing浏览!$D$5="仅里程碑",IF(K25="里程碑",1,0),IF(L25&lt;=VALUE(LEFT(Timing浏览!$D$5,1)),1,0))))</f>
        <v>0</v>
      </c>
      <c r="U25" s="1" t="str">
        <f>IF(T25=0,"",COUNTIFS($S$10:$S$109,"&lt;"&amp;S25,$T$10:$T$109,1)+1)</f>
        <v/>
      </c>
      <c r="V25" s="1" t="str">
        <f>IF(OR(A25="",L25=1),"",IF(L25=2,TEXT(AB25,"0"),TEXT(AB25,"0")&amp;"."&amp;TEXT(AC25,"0")))</f>
        <v/>
      </c>
      <c r="W25" s="1" t="str">
        <f>IF(OR(A25="",L25=1),"",TEXT(AB25,"0"))</f>
        <v/>
      </c>
      <c r="X25" s="1" t="str">
        <f>IF(AND(A25="",B25=""),"",IF(OR(A25="",B25=""),"请补编号和名称",IF(AE25=0,"编号需为1至3级正整数",IF(COUNTIFS($AG$10:$AG$109,"W"&amp;A25)&lt;&gt;1,"编号重复",IF(AND(L25&gt;1,COUNTIFS($AG$10:$AG$109,"W"&amp;V25,$B$10:$B$109,"&lt;&gt;")&lt;&gt;1),"缺少父任务",IF(J25="删除","待删除",IF(P25=0,"父任务已删除或无效",IF(K25="汇总",IF(COUNTIFS($S$10:$S$109,"&gt;"&amp;S25,$S$10:$S$109,"&lt;"&amp;(S25+IF(L25=1,1000000,IF(L25=2,1000,1))),$P$10:$P$109,1)=0,"等待子任务","由下级汇总"),IF(OR(D25="",E25=""),"待补日期",IF(E25&lt;D25,"结束早于开始",IF(AND(I25="里程碑",D25&lt;&gt;E25),"里程碑须同日","")))))))))))</f>
        <v/>
      </c>
      <c r="Y25" s="1">
        <f>IF(AA25=1,D25,100000000)</f>
        <v>100000000</v>
      </c>
      <c r="Z25" s="1">
        <f>IF(AA25=1,E25,0)</f>
        <v>0</v>
      </c>
      <c r="AA25" s="1">
        <f>IF(AND(P25=1,K25&lt;&gt;"汇总",ISNUMBER(F25),OR(I25&lt;&gt;"里程碑",D25=E25)),1,0)</f>
        <v>0</v>
      </c>
      <c r="AB25" s="1">
        <f>IF(A25="",0,IFERROR(VALUE(MID(("W"&amp;A25),2,FIND(".",("W"&amp;A25)&amp;".")-2)),-1))</f>
        <v>0</v>
      </c>
      <c r="AC25" s="1">
        <f>IF(OR(A25="",L25&lt;2),0,IFERROR(VALUE(MID(("W"&amp;A25),FIND(".",("W"&amp;A25))+1,FIND(".",("W"&amp;A25)&amp;".",FIND(".",("W"&amp;A25))+1)-FIND(".",("W"&amp;A25))-1)),-1))</f>
        <v>0</v>
      </c>
      <c r="AD25" s="1">
        <f>IF(OR(A25="",L25&lt;3),0,IFERROR(VALUE(RIGHT(("W"&amp;A25),LEN(("W"&amp;A25))-FIND(".",("W"&amp;A25),FIND(".",("W"&amp;A25))+1))),-1))</f>
        <v>0</v>
      </c>
      <c r="AE25" s="1">
        <f>IF(A25="",0,IF(AND(L25&lt;=3,AB25&gt;=1,AB25&lt;=999,AC25&gt;=0,AC25&lt;=999,AD25&gt;=0,AD25&lt;=999,A25=TEXT(AB25,"0")&amp;IF(L25&gt;1,"."&amp;TEXT(AC25,"0"),"")&amp;IF(L25&gt;2,"."&amp;TEXT(AD25,"0"),""),OR(L25&lt;2,AC25&gt;=1),OR(L25&lt;3,AD25&gt;=1)),1,0))</f>
        <v>0</v>
      </c>
      <c r="AF25" s="1"/>
      <c r="AG25" t="str">
        <f>"W"&amp;A25</f>
        <v>W</v>
      </c>
    </row>
    <row r="26" spans="1:33" ht="16.5">
      <c r="A26" s="12" t="str">
        <f>IF(ROW()-9&gt;ROWS(TimingTasks[WBS]),"",IF(AND(INDEX(TimingTasks[WBS],ROW()-9)="",NOT(ISNUMBER(INDEX(TimingTasks[WBS],ROW()-9)))),"",INDEX(TimingTasks[WBS],ROW()-9)))</f>
        <v/>
      </c>
      <c r="B26" s="10" t="str">
        <f>IF(ROW()-9&gt;ROWS(TimingTasks[WBS]),"",IF(AND(INDEX(TimingTasks[任务名称],ROW()-9)="",NOT(ISNUMBER(INDEX(TimingTasks[任务名称],ROW()-9)))),"",INDEX(TimingTasks[任务名称],ROW()-9)))</f>
        <v/>
      </c>
      <c r="C26" s="10" t="str">
        <f>IF(ROW()-9&gt;ROWS(TimingTasks[WBS]),"",IF(AND(INDEX(TimingTasks[负责人],ROW()-9)="",NOT(ISNUMBER(INDEX(TimingTasks[负责人],ROW()-9)))),"",INDEX(TimingTasks[负责人],ROW()-9)))</f>
        <v/>
      </c>
      <c r="D26" s="11" t="str">
        <f>IF(ROW()-9&gt;ROWS(TimingTasks[WBS]),"",IF(AND(INDEX(TimingTasks[输入开始],ROW()-9)="",NOT(ISNUMBER(INDEX(TimingTasks[输入开始],ROW()-9)))),"",INDEX(TimingTasks[输入开始],ROW()-9)))</f>
        <v/>
      </c>
      <c r="E26" s="11" t="str">
        <f>IF(ROW()-9&gt;ROWS(TimingTasks[WBS]),"",IF(AND(INDEX(TimingTasks[输入结束],ROW()-9)="",NOT(ISNUMBER(INDEX(TimingTasks[输入结束],ROW()-9)))),"",INDEX(TimingTasks[输入结束],ROW()-9)))</f>
        <v/>
      </c>
      <c r="F26" s="1" t="str">
        <f>IF(OR(P26=0,K26="汇总",D26="",E26="",E26&lt;D26),"",IF(I26="里程碑",0,NETWORKDAYS(D26,E26)))</f>
        <v/>
      </c>
      <c r="G26" s="15">
        <f>IF(ROW()-9&gt;ROWS(TimingTasks[WBS]),"",IF(AND(INDEX(TimingTasks[输入完成度],ROW()-9)="",NOT(ISNUMBER(INDEX(TimingTasks[输入完成度],ROW()-9)))),0,INDEX(TimingTasks[输入完成度],ROW()-9)))</f>
        <v>0</v>
      </c>
      <c r="H26" s="10" t="str">
        <f>IF(ROW()-9&gt;ROWS(TimingTasks[WBS]),"",IF(AND(INDEX(TimingTasks[前置任务 WBS],ROW()-9)="",NOT(ISNUMBER(INDEX(TimingTasks[前置任务 WBS],ROW()-9)))),"",INDEX(TimingTasks[前置任务 WBS],ROW()-9)))</f>
        <v/>
      </c>
      <c r="I26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6" s="10" t="str">
        <f>IF(ROW()-9&gt;ROWS(TimingTasks[WBS]),"",IF(AND(INDEX(TimingTasks[操作],ROW()-9)="",NOT(ISNUMBER(INDEX(TimingTasks[操作],ROW()-9)))),"保留",INDEX(TimingTasks[操作],ROW()-9)))</f>
        <v>保留</v>
      </c>
      <c r="K26" s="1" t="str">
        <f>IF(P26=0,"",IF(OR(AND(L26=1,D26="",E26="",I26&lt;&gt;"里程碑"),COUNTIFS($S$10:$S$109,"&gt;"&amp;S26,$S$10:$S$109,"&lt;"&amp;(S26+IF(L26=1,1000000,IF(L26=2,1000,1))),$P$10:$P$109,1)&gt;0),"汇总",I26))</f>
        <v/>
      </c>
      <c r="L26" s="1" t="str">
        <f>IF(A26="","",LEN(("W"&amp;A26))-LEN(SUBSTITUTE(("W"&amp;A26),".",""))+1)</f>
        <v/>
      </c>
      <c r="M26" s="3" t="str">
        <f>IF(P26=0,"",IF(K26="汇总",IF(COUNTIFS($S$10:$S$109,"&gt;"&amp;S26,$S$10:$S$109,"&lt;"&amp;(S26+IF(L26=1,1000000,IF(L26=2,1000,1))),$AA$10:$AA$109,1)=0,"",_xlfn.MINIFS($Y$10:$Y$109,$S$10:$S$109,"&gt;"&amp;S26,$S$10:$S$109,"&lt;"&amp;(S26+IF(L26=1,1000000,IF(L26=2,1000,1))),$AA$10:$AA$109,1)),IF(AA26=1,D26,"")))</f>
        <v/>
      </c>
      <c r="N26" s="3" t="str">
        <f>IF(P26=0,"",IF(K26="汇总",IF(COUNTIFS($S$10:$S$109,"&gt;"&amp;S26,$S$10:$S$109,"&lt;"&amp;(S26+IF(L26=1,1000000,IF(L26=2,1000,1))),$AA$10:$AA$109,1)=0,"",_xlfn.MAXIFS($Z$10:$Z$109,$S$10:$S$109,"&gt;"&amp;S26,$S$10:$S$109,"&lt;"&amp;(S26+IF(L26=1,1000000,IF(L26=2,1000,1))),$AA$10:$AA$109,1)),IF(AA26=1,E26,"")))</f>
        <v/>
      </c>
      <c r="O26" s="7" t="str">
        <f>IF(K26="汇总",ROUND((IF(P26=0,"",IF(K26="汇总",IF(SUMIFS($Q$10:$Q$109,$S$10:$S$109,"&gt;"&amp;S26,$S$10:$S$109,"&lt;"&amp;(S26+IF(L26=1,1000000,IF(L26=2,1000,1))))=0,0,SUMIFS($R$10:$R$109,$S$10:$S$109,"&gt;"&amp;S26,$S$10:$S$109,"&lt;"&amp;(S26+IF(L26=1,1000000,IF(L26=2,1000,1))))/SUMIFS($Q$10:$Q$109,$S$10:$S$109,"&gt;"&amp;S26,$S$10:$S$109,"&lt;"&amp;(S26+IF(L26=1,1000000,IF(L26=2,1000,1))))),G26)))*100,0)/100,IF(P26=0,"",IF(K26="汇总",IF(SUMIFS($Q$10:$Q$109,$S$10:$S$109,"&gt;"&amp;S26,$S$10:$S$109,"&lt;"&amp;(S26+IF(L26=1,1000000,IF(L26=2,1000,1))))=0,0,SUMIFS($R$10:$R$109,$S$10:$S$109,"&gt;"&amp;S26,$S$10:$S$109,"&lt;"&amp;(S26+IF(L26=1,1000000,IF(L26=2,1000,1))))/SUMIFS($Q$10:$Q$109,$S$10:$S$109,"&gt;"&amp;S26,$S$10:$S$109,"&lt;"&amp;(S26+IF(L26=1,1000000,IF(L26=2,1000,1))))),G26)))</f>
        <v/>
      </c>
      <c r="P26" s="1">
        <f>IF(OR(A26="",B26="",J26="删除",AE26=0,COUNTIFS($AG$10:$AG$109,"W"&amp;A26)&lt;&gt;1,AND(L26&gt;1,COUNTIFS($AG$10:$AG$109,"W"&amp;V26,$B$10:$B$109,"&lt;&gt;")&lt;&gt;1),AND(L26=3,COUNTIFS($AG$10:$AG$109,"W"&amp;W26,$B$10:$B$109,"&lt;&gt;")&lt;&gt;1),COUNTIFS($AG$10:$AG$109,"W"&amp;V26,$J$10:$J$109,"删除")&gt;0,COUNTIFS($AG$10:$AG$109,"W"&amp;W26,$J$10:$J$109,"删除")&gt;0),0,1)</f>
        <v>0</v>
      </c>
      <c r="Q26" s="1">
        <f>IF(AA26=0,0,IF(I26="里程碑",1,F26))</f>
        <v>0</v>
      </c>
      <c r="R26" s="1">
        <f>IF(AA26=0,0,Q26*G26)</f>
        <v>0</v>
      </c>
      <c r="S26" s="1">
        <f>IF(P26=0,1000000000000000,AB26*1000000+AC26*1000+AD26)</f>
        <v>1000000000000000</v>
      </c>
      <c r="T26" s="1">
        <f>IF(P26=0,0,IF(Timing浏览!$D$5="全部",1,IF(Timing浏览!$D$5="仅里程碑",IF(K26="里程碑",1,0),IF(L26&lt;=VALUE(LEFT(Timing浏览!$D$5,1)),1,0))))</f>
        <v>0</v>
      </c>
      <c r="U26" s="1" t="str">
        <f>IF(T26=0,"",COUNTIFS($S$10:$S$109,"&lt;"&amp;S26,$T$10:$T$109,1)+1)</f>
        <v/>
      </c>
      <c r="V26" s="1" t="str">
        <f>IF(OR(A26="",L26=1),"",IF(L26=2,TEXT(AB26,"0"),TEXT(AB26,"0")&amp;"."&amp;TEXT(AC26,"0")))</f>
        <v/>
      </c>
      <c r="W26" s="1" t="str">
        <f>IF(OR(A26="",L26=1),"",TEXT(AB26,"0"))</f>
        <v/>
      </c>
      <c r="X26" s="1" t="str">
        <f>IF(AND(A26="",B26=""),"",IF(OR(A26="",B26=""),"请补编号和名称",IF(AE26=0,"编号需为1至3级正整数",IF(COUNTIFS($AG$10:$AG$109,"W"&amp;A26)&lt;&gt;1,"编号重复",IF(AND(L26&gt;1,COUNTIFS($AG$10:$AG$109,"W"&amp;V26,$B$10:$B$109,"&lt;&gt;")&lt;&gt;1),"缺少父任务",IF(J26="删除","待删除",IF(P26=0,"父任务已删除或无效",IF(K26="汇总",IF(COUNTIFS($S$10:$S$109,"&gt;"&amp;S26,$S$10:$S$109,"&lt;"&amp;(S26+IF(L26=1,1000000,IF(L26=2,1000,1))),$P$10:$P$109,1)=0,"等待子任务","由下级汇总"),IF(OR(D26="",E26=""),"待补日期",IF(E26&lt;D26,"结束早于开始",IF(AND(I26="里程碑",D26&lt;&gt;E26),"里程碑须同日","")))))))))))</f>
        <v/>
      </c>
      <c r="Y26" s="1">
        <f>IF(AA26=1,D26,100000000)</f>
        <v>100000000</v>
      </c>
      <c r="Z26" s="1">
        <f>IF(AA26=1,E26,0)</f>
        <v>0</v>
      </c>
      <c r="AA26" s="1">
        <f>IF(AND(P26=1,K26&lt;&gt;"汇总",ISNUMBER(F26),OR(I26&lt;&gt;"里程碑",D26=E26)),1,0)</f>
        <v>0</v>
      </c>
      <c r="AB26" s="1">
        <f>IF(A26="",0,IFERROR(VALUE(MID(("W"&amp;A26),2,FIND(".",("W"&amp;A26)&amp;".")-2)),-1))</f>
        <v>0</v>
      </c>
      <c r="AC26" s="1">
        <f>IF(OR(A26="",L26&lt;2),0,IFERROR(VALUE(MID(("W"&amp;A26),FIND(".",("W"&amp;A26))+1,FIND(".",("W"&amp;A26)&amp;".",FIND(".",("W"&amp;A26))+1)-FIND(".",("W"&amp;A26))-1)),-1))</f>
        <v>0</v>
      </c>
      <c r="AD26" s="1">
        <f>IF(OR(A26="",L26&lt;3),0,IFERROR(VALUE(RIGHT(("W"&amp;A26),LEN(("W"&amp;A26))-FIND(".",("W"&amp;A26),FIND(".",("W"&amp;A26))+1))),-1))</f>
        <v>0</v>
      </c>
      <c r="AE26" s="1">
        <f>IF(A26="",0,IF(AND(L26&lt;=3,AB26&gt;=1,AB26&lt;=999,AC26&gt;=0,AC26&lt;=999,AD26&gt;=0,AD26&lt;=999,A26=TEXT(AB26,"0")&amp;IF(L26&gt;1,"."&amp;TEXT(AC26,"0"),"")&amp;IF(L26&gt;2,"."&amp;TEXT(AD26,"0"),""),OR(L26&lt;2,AC26&gt;=1),OR(L26&lt;3,AD26&gt;=1)),1,0))</f>
        <v>0</v>
      </c>
      <c r="AF26" s="1"/>
      <c r="AG26" t="str">
        <f>"W"&amp;A26</f>
        <v>W</v>
      </c>
    </row>
    <row r="27" spans="1:33" ht="16.5">
      <c r="A27" s="12" t="str">
        <f>IF(ROW()-9&gt;ROWS(TimingTasks[WBS]),"",IF(AND(INDEX(TimingTasks[WBS],ROW()-9)="",NOT(ISNUMBER(INDEX(TimingTasks[WBS],ROW()-9)))),"",INDEX(TimingTasks[WBS],ROW()-9)))</f>
        <v/>
      </c>
      <c r="B27" s="10" t="str">
        <f>IF(ROW()-9&gt;ROWS(TimingTasks[WBS]),"",IF(AND(INDEX(TimingTasks[任务名称],ROW()-9)="",NOT(ISNUMBER(INDEX(TimingTasks[任务名称],ROW()-9)))),"",INDEX(TimingTasks[任务名称],ROW()-9)))</f>
        <v/>
      </c>
      <c r="C27" s="10" t="str">
        <f>IF(ROW()-9&gt;ROWS(TimingTasks[WBS]),"",IF(AND(INDEX(TimingTasks[负责人],ROW()-9)="",NOT(ISNUMBER(INDEX(TimingTasks[负责人],ROW()-9)))),"",INDEX(TimingTasks[负责人],ROW()-9)))</f>
        <v/>
      </c>
      <c r="D27" s="11" t="str">
        <f>IF(ROW()-9&gt;ROWS(TimingTasks[WBS]),"",IF(AND(INDEX(TimingTasks[输入开始],ROW()-9)="",NOT(ISNUMBER(INDEX(TimingTasks[输入开始],ROW()-9)))),"",INDEX(TimingTasks[输入开始],ROW()-9)))</f>
        <v/>
      </c>
      <c r="E27" s="11" t="str">
        <f>IF(ROW()-9&gt;ROWS(TimingTasks[WBS]),"",IF(AND(INDEX(TimingTasks[输入结束],ROW()-9)="",NOT(ISNUMBER(INDEX(TimingTasks[输入结束],ROW()-9)))),"",INDEX(TimingTasks[输入结束],ROW()-9)))</f>
        <v/>
      </c>
      <c r="F27" s="1" t="str">
        <f>IF(OR(P27=0,K27="汇总",D27="",E27="",E27&lt;D27),"",IF(I27="里程碑",0,NETWORKDAYS(D27,E27)))</f>
        <v/>
      </c>
      <c r="G27" s="15">
        <f>IF(ROW()-9&gt;ROWS(TimingTasks[WBS]),"",IF(AND(INDEX(TimingTasks[输入完成度],ROW()-9)="",NOT(ISNUMBER(INDEX(TimingTasks[输入完成度],ROW()-9)))),0,INDEX(TimingTasks[输入完成度],ROW()-9)))</f>
        <v>0</v>
      </c>
      <c r="H27" s="10" t="str">
        <f>IF(ROW()-9&gt;ROWS(TimingTasks[WBS]),"",IF(AND(INDEX(TimingTasks[前置任务 WBS],ROW()-9)="",NOT(ISNUMBER(INDEX(TimingTasks[前置任务 WBS],ROW()-9)))),"",INDEX(TimingTasks[前置任务 WBS],ROW()-9)))</f>
        <v/>
      </c>
      <c r="I27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7" s="10" t="str">
        <f>IF(ROW()-9&gt;ROWS(TimingTasks[WBS]),"",IF(AND(INDEX(TimingTasks[操作],ROW()-9)="",NOT(ISNUMBER(INDEX(TimingTasks[操作],ROW()-9)))),"保留",INDEX(TimingTasks[操作],ROW()-9)))</f>
        <v>保留</v>
      </c>
      <c r="K27" s="1" t="str">
        <f>IF(P27=0,"",IF(OR(AND(L27=1,D27="",E27="",I27&lt;&gt;"里程碑"),COUNTIFS($S$10:$S$109,"&gt;"&amp;S27,$S$10:$S$109,"&lt;"&amp;(S27+IF(L27=1,1000000,IF(L27=2,1000,1))),$P$10:$P$109,1)&gt;0),"汇总",I27))</f>
        <v/>
      </c>
      <c r="L27" s="1" t="str">
        <f>IF(A27="","",LEN(("W"&amp;A27))-LEN(SUBSTITUTE(("W"&amp;A27),".",""))+1)</f>
        <v/>
      </c>
      <c r="M27" s="3" t="str">
        <f>IF(P27=0,"",IF(K27="汇总",IF(COUNTIFS($S$10:$S$109,"&gt;"&amp;S27,$S$10:$S$109,"&lt;"&amp;(S27+IF(L27=1,1000000,IF(L27=2,1000,1))),$AA$10:$AA$109,1)=0,"",_xlfn.MINIFS($Y$10:$Y$109,$S$10:$S$109,"&gt;"&amp;S27,$S$10:$S$109,"&lt;"&amp;(S27+IF(L27=1,1000000,IF(L27=2,1000,1))),$AA$10:$AA$109,1)),IF(AA27=1,D27,"")))</f>
        <v/>
      </c>
      <c r="N27" s="3" t="str">
        <f>IF(P27=0,"",IF(K27="汇总",IF(COUNTIFS($S$10:$S$109,"&gt;"&amp;S27,$S$10:$S$109,"&lt;"&amp;(S27+IF(L27=1,1000000,IF(L27=2,1000,1))),$AA$10:$AA$109,1)=0,"",_xlfn.MAXIFS($Z$10:$Z$109,$S$10:$S$109,"&gt;"&amp;S27,$S$10:$S$109,"&lt;"&amp;(S27+IF(L27=1,1000000,IF(L27=2,1000,1))),$AA$10:$AA$109,1)),IF(AA27=1,E27,"")))</f>
        <v/>
      </c>
      <c r="O27" s="7" t="str">
        <f>IF(K27="汇总",ROUND((IF(P27=0,"",IF(K27="汇总",IF(SUMIFS($Q$10:$Q$109,$S$10:$S$109,"&gt;"&amp;S27,$S$10:$S$109,"&lt;"&amp;(S27+IF(L27=1,1000000,IF(L27=2,1000,1))))=0,0,SUMIFS($R$10:$R$109,$S$10:$S$109,"&gt;"&amp;S27,$S$10:$S$109,"&lt;"&amp;(S27+IF(L27=1,1000000,IF(L27=2,1000,1))))/SUMIFS($Q$10:$Q$109,$S$10:$S$109,"&gt;"&amp;S27,$S$10:$S$109,"&lt;"&amp;(S27+IF(L27=1,1000000,IF(L27=2,1000,1))))),G27)))*100,0)/100,IF(P27=0,"",IF(K27="汇总",IF(SUMIFS($Q$10:$Q$109,$S$10:$S$109,"&gt;"&amp;S27,$S$10:$S$109,"&lt;"&amp;(S27+IF(L27=1,1000000,IF(L27=2,1000,1))))=0,0,SUMIFS($R$10:$R$109,$S$10:$S$109,"&gt;"&amp;S27,$S$10:$S$109,"&lt;"&amp;(S27+IF(L27=1,1000000,IF(L27=2,1000,1))))/SUMIFS($Q$10:$Q$109,$S$10:$S$109,"&gt;"&amp;S27,$S$10:$S$109,"&lt;"&amp;(S27+IF(L27=1,1000000,IF(L27=2,1000,1))))),G27)))</f>
        <v/>
      </c>
      <c r="P27" s="1">
        <f>IF(OR(A27="",B27="",J27="删除",AE27=0,COUNTIFS($AG$10:$AG$109,"W"&amp;A27)&lt;&gt;1,AND(L27&gt;1,COUNTIFS($AG$10:$AG$109,"W"&amp;V27,$B$10:$B$109,"&lt;&gt;")&lt;&gt;1),AND(L27=3,COUNTIFS($AG$10:$AG$109,"W"&amp;W27,$B$10:$B$109,"&lt;&gt;")&lt;&gt;1),COUNTIFS($AG$10:$AG$109,"W"&amp;V27,$J$10:$J$109,"删除")&gt;0,COUNTIFS($AG$10:$AG$109,"W"&amp;W27,$J$10:$J$109,"删除")&gt;0),0,1)</f>
        <v>0</v>
      </c>
      <c r="Q27" s="1">
        <f>IF(AA27=0,0,IF(I27="里程碑",1,F27))</f>
        <v>0</v>
      </c>
      <c r="R27" s="1">
        <f>IF(AA27=0,0,Q27*G27)</f>
        <v>0</v>
      </c>
      <c r="S27" s="1">
        <f>IF(P27=0,1000000000000000,AB27*1000000+AC27*1000+AD27)</f>
        <v>1000000000000000</v>
      </c>
      <c r="T27" s="1">
        <f>IF(P27=0,0,IF(Timing浏览!$D$5="全部",1,IF(Timing浏览!$D$5="仅里程碑",IF(K27="里程碑",1,0),IF(L27&lt;=VALUE(LEFT(Timing浏览!$D$5,1)),1,0))))</f>
        <v>0</v>
      </c>
      <c r="U27" s="1" t="str">
        <f>IF(T27=0,"",COUNTIFS($S$10:$S$109,"&lt;"&amp;S27,$T$10:$T$109,1)+1)</f>
        <v/>
      </c>
      <c r="V27" s="1" t="str">
        <f>IF(OR(A27="",L27=1),"",IF(L27=2,TEXT(AB27,"0"),TEXT(AB27,"0")&amp;"."&amp;TEXT(AC27,"0")))</f>
        <v/>
      </c>
      <c r="W27" s="1" t="str">
        <f>IF(OR(A27="",L27=1),"",TEXT(AB27,"0"))</f>
        <v/>
      </c>
      <c r="X27" s="1" t="str">
        <f>IF(AND(A27="",B27=""),"",IF(OR(A27="",B27=""),"请补编号和名称",IF(AE27=0,"编号需为1至3级正整数",IF(COUNTIFS($AG$10:$AG$109,"W"&amp;A27)&lt;&gt;1,"编号重复",IF(AND(L27&gt;1,COUNTIFS($AG$10:$AG$109,"W"&amp;V27,$B$10:$B$109,"&lt;&gt;")&lt;&gt;1),"缺少父任务",IF(J27="删除","待删除",IF(P27=0,"父任务已删除或无效",IF(K27="汇总",IF(COUNTIFS($S$10:$S$109,"&gt;"&amp;S27,$S$10:$S$109,"&lt;"&amp;(S27+IF(L27=1,1000000,IF(L27=2,1000,1))),$P$10:$P$109,1)=0,"等待子任务","由下级汇总"),IF(OR(D27="",E27=""),"待补日期",IF(E27&lt;D27,"结束早于开始",IF(AND(I27="里程碑",D27&lt;&gt;E27),"里程碑须同日","")))))))))))</f>
        <v/>
      </c>
      <c r="Y27" s="1">
        <f>IF(AA27=1,D27,100000000)</f>
        <v>100000000</v>
      </c>
      <c r="Z27" s="1">
        <f>IF(AA27=1,E27,0)</f>
        <v>0</v>
      </c>
      <c r="AA27" s="1">
        <f>IF(AND(P27=1,K27&lt;&gt;"汇总",ISNUMBER(F27),OR(I27&lt;&gt;"里程碑",D27=E27)),1,0)</f>
        <v>0</v>
      </c>
      <c r="AB27" s="1">
        <f>IF(A27="",0,IFERROR(VALUE(MID(("W"&amp;A27),2,FIND(".",("W"&amp;A27)&amp;".")-2)),-1))</f>
        <v>0</v>
      </c>
      <c r="AC27" s="1">
        <f>IF(OR(A27="",L27&lt;2),0,IFERROR(VALUE(MID(("W"&amp;A27),FIND(".",("W"&amp;A27))+1,FIND(".",("W"&amp;A27)&amp;".",FIND(".",("W"&amp;A27))+1)-FIND(".",("W"&amp;A27))-1)),-1))</f>
        <v>0</v>
      </c>
      <c r="AD27" s="1">
        <f>IF(OR(A27="",L27&lt;3),0,IFERROR(VALUE(RIGHT(("W"&amp;A27),LEN(("W"&amp;A27))-FIND(".",("W"&amp;A27),FIND(".",("W"&amp;A27))+1))),-1))</f>
        <v>0</v>
      </c>
      <c r="AE27" s="1">
        <f>IF(A27="",0,IF(AND(L27&lt;=3,AB27&gt;=1,AB27&lt;=999,AC27&gt;=0,AC27&lt;=999,AD27&gt;=0,AD27&lt;=999,A27=TEXT(AB27,"0")&amp;IF(L27&gt;1,"."&amp;TEXT(AC27,"0"),"")&amp;IF(L27&gt;2,"."&amp;TEXT(AD27,"0"),""),OR(L27&lt;2,AC27&gt;=1),OR(L27&lt;3,AD27&gt;=1)),1,0))</f>
        <v>0</v>
      </c>
      <c r="AF27" s="1"/>
      <c r="AG27" t="str">
        <f>"W"&amp;A27</f>
        <v>W</v>
      </c>
    </row>
    <row r="28" spans="1:33" ht="16.5">
      <c r="A28" s="12" t="str">
        <f>IF(ROW()-9&gt;ROWS(TimingTasks[WBS]),"",IF(AND(INDEX(TimingTasks[WBS],ROW()-9)="",NOT(ISNUMBER(INDEX(TimingTasks[WBS],ROW()-9)))),"",INDEX(TimingTasks[WBS],ROW()-9)))</f>
        <v/>
      </c>
      <c r="B28" s="10" t="str">
        <f>IF(ROW()-9&gt;ROWS(TimingTasks[WBS]),"",IF(AND(INDEX(TimingTasks[任务名称],ROW()-9)="",NOT(ISNUMBER(INDEX(TimingTasks[任务名称],ROW()-9)))),"",INDEX(TimingTasks[任务名称],ROW()-9)))</f>
        <v/>
      </c>
      <c r="C28" s="10" t="str">
        <f>IF(ROW()-9&gt;ROWS(TimingTasks[WBS]),"",IF(AND(INDEX(TimingTasks[负责人],ROW()-9)="",NOT(ISNUMBER(INDEX(TimingTasks[负责人],ROW()-9)))),"",INDEX(TimingTasks[负责人],ROW()-9)))</f>
        <v/>
      </c>
      <c r="D28" s="11" t="str">
        <f>IF(ROW()-9&gt;ROWS(TimingTasks[WBS]),"",IF(AND(INDEX(TimingTasks[输入开始],ROW()-9)="",NOT(ISNUMBER(INDEX(TimingTasks[输入开始],ROW()-9)))),"",INDEX(TimingTasks[输入开始],ROW()-9)))</f>
        <v/>
      </c>
      <c r="E28" s="11" t="str">
        <f>IF(ROW()-9&gt;ROWS(TimingTasks[WBS]),"",IF(AND(INDEX(TimingTasks[输入结束],ROW()-9)="",NOT(ISNUMBER(INDEX(TimingTasks[输入结束],ROW()-9)))),"",INDEX(TimingTasks[输入结束],ROW()-9)))</f>
        <v/>
      </c>
      <c r="F28" s="1" t="str">
        <f>IF(OR(P28=0,K28="汇总",D28="",E28="",E28&lt;D28),"",IF(I28="里程碑",0,NETWORKDAYS(D28,E28)))</f>
        <v/>
      </c>
      <c r="G28" s="15">
        <f>IF(ROW()-9&gt;ROWS(TimingTasks[WBS]),"",IF(AND(INDEX(TimingTasks[输入完成度],ROW()-9)="",NOT(ISNUMBER(INDEX(TimingTasks[输入完成度],ROW()-9)))),0,INDEX(TimingTasks[输入完成度],ROW()-9)))</f>
        <v>0</v>
      </c>
      <c r="H28" s="10" t="str">
        <f>IF(ROW()-9&gt;ROWS(TimingTasks[WBS]),"",IF(AND(INDEX(TimingTasks[前置任务 WBS],ROW()-9)="",NOT(ISNUMBER(INDEX(TimingTasks[前置任务 WBS],ROW()-9)))),"",INDEX(TimingTasks[前置任务 WBS],ROW()-9)))</f>
        <v/>
      </c>
      <c r="I28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8" s="10" t="str">
        <f>IF(ROW()-9&gt;ROWS(TimingTasks[WBS]),"",IF(AND(INDEX(TimingTasks[操作],ROW()-9)="",NOT(ISNUMBER(INDEX(TimingTasks[操作],ROW()-9)))),"保留",INDEX(TimingTasks[操作],ROW()-9)))</f>
        <v>保留</v>
      </c>
      <c r="K28" s="1" t="str">
        <f>IF(P28=0,"",IF(OR(AND(L28=1,D28="",E28="",I28&lt;&gt;"里程碑"),COUNTIFS($S$10:$S$109,"&gt;"&amp;S28,$S$10:$S$109,"&lt;"&amp;(S28+IF(L28=1,1000000,IF(L28=2,1000,1))),$P$10:$P$109,1)&gt;0),"汇总",I28))</f>
        <v/>
      </c>
      <c r="L28" s="1" t="str">
        <f>IF(A28="","",LEN(("W"&amp;A28))-LEN(SUBSTITUTE(("W"&amp;A28),".",""))+1)</f>
        <v/>
      </c>
      <c r="M28" s="3" t="str">
        <f>IF(P28=0,"",IF(K28="汇总",IF(COUNTIFS($S$10:$S$109,"&gt;"&amp;S28,$S$10:$S$109,"&lt;"&amp;(S28+IF(L28=1,1000000,IF(L28=2,1000,1))),$AA$10:$AA$109,1)=0,"",_xlfn.MINIFS($Y$10:$Y$109,$S$10:$S$109,"&gt;"&amp;S28,$S$10:$S$109,"&lt;"&amp;(S28+IF(L28=1,1000000,IF(L28=2,1000,1))),$AA$10:$AA$109,1)),IF(AA28=1,D28,"")))</f>
        <v/>
      </c>
      <c r="N28" s="3" t="str">
        <f>IF(P28=0,"",IF(K28="汇总",IF(COUNTIFS($S$10:$S$109,"&gt;"&amp;S28,$S$10:$S$109,"&lt;"&amp;(S28+IF(L28=1,1000000,IF(L28=2,1000,1))),$AA$10:$AA$109,1)=0,"",_xlfn.MAXIFS($Z$10:$Z$109,$S$10:$S$109,"&gt;"&amp;S28,$S$10:$S$109,"&lt;"&amp;(S28+IF(L28=1,1000000,IF(L28=2,1000,1))),$AA$10:$AA$109,1)),IF(AA28=1,E28,"")))</f>
        <v/>
      </c>
      <c r="O28" s="7" t="str">
        <f>IF(K28="汇总",ROUND((IF(P28=0,"",IF(K28="汇总",IF(SUMIFS($Q$10:$Q$109,$S$10:$S$109,"&gt;"&amp;S28,$S$10:$S$109,"&lt;"&amp;(S28+IF(L28=1,1000000,IF(L28=2,1000,1))))=0,0,SUMIFS($R$10:$R$109,$S$10:$S$109,"&gt;"&amp;S28,$S$10:$S$109,"&lt;"&amp;(S28+IF(L28=1,1000000,IF(L28=2,1000,1))))/SUMIFS($Q$10:$Q$109,$S$10:$S$109,"&gt;"&amp;S28,$S$10:$S$109,"&lt;"&amp;(S28+IF(L28=1,1000000,IF(L28=2,1000,1))))),G28)))*100,0)/100,IF(P28=0,"",IF(K28="汇总",IF(SUMIFS($Q$10:$Q$109,$S$10:$S$109,"&gt;"&amp;S28,$S$10:$S$109,"&lt;"&amp;(S28+IF(L28=1,1000000,IF(L28=2,1000,1))))=0,0,SUMIFS($R$10:$R$109,$S$10:$S$109,"&gt;"&amp;S28,$S$10:$S$109,"&lt;"&amp;(S28+IF(L28=1,1000000,IF(L28=2,1000,1))))/SUMIFS($Q$10:$Q$109,$S$10:$S$109,"&gt;"&amp;S28,$S$10:$S$109,"&lt;"&amp;(S28+IF(L28=1,1000000,IF(L28=2,1000,1))))),G28)))</f>
        <v/>
      </c>
      <c r="P28" s="1">
        <f>IF(OR(A28="",B28="",J28="删除",AE28=0,COUNTIFS($AG$10:$AG$109,"W"&amp;A28)&lt;&gt;1,AND(L28&gt;1,COUNTIFS($AG$10:$AG$109,"W"&amp;V28,$B$10:$B$109,"&lt;&gt;")&lt;&gt;1),AND(L28=3,COUNTIFS($AG$10:$AG$109,"W"&amp;W28,$B$10:$B$109,"&lt;&gt;")&lt;&gt;1),COUNTIFS($AG$10:$AG$109,"W"&amp;V28,$J$10:$J$109,"删除")&gt;0,COUNTIFS($AG$10:$AG$109,"W"&amp;W28,$J$10:$J$109,"删除")&gt;0),0,1)</f>
        <v>0</v>
      </c>
      <c r="Q28" s="1">
        <f>IF(AA28=0,0,IF(I28="里程碑",1,F28))</f>
        <v>0</v>
      </c>
      <c r="R28" s="1">
        <f>IF(AA28=0,0,Q28*G28)</f>
        <v>0</v>
      </c>
      <c r="S28" s="1">
        <f>IF(P28=0,1000000000000000,AB28*1000000+AC28*1000+AD28)</f>
        <v>1000000000000000</v>
      </c>
      <c r="T28" s="1">
        <f>IF(P28=0,0,IF(Timing浏览!$D$5="全部",1,IF(Timing浏览!$D$5="仅里程碑",IF(K28="里程碑",1,0),IF(L28&lt;=VALUE(LEFT(Timing浏览!$D$5,1)),1,0))))</f>
        <v>0</v>
      </c>
      <c r="U28" s="1" t="str">
        <f>IF(T28=0,"",COUNTIFS($S$10:$S$109,"&lt;"&amp;S28,$T$10:$T$109,1)+1)</f>
        <v/>
      </c>
      <c r="V28" s="1" t="str">
        <f>IF(OR(A28="",L28=1),"",IF(L28=2,TEXT(AB28,"0"),TEXT(AB28,"0")&amp;"."&amp;TEXT(AC28,"0")))</f>
        <v/>
      </c>
      <c r="W28" s="1" t="str">
        <f>IF(OR(A28="",L28=1),"",TEXT(AB28,"0"))</f>
        <v/>
      </c>
      <c r="X28" s="1" t="str">
        <f>IF(AND(A28="",B28=""),"",IF(OR(A28="",B28=""),"请补编号和名称",IF(AE28=0,"编号需为1至3级正整数",IF(COUNTIFS($AG$10:$AG$109,"W"&amp;A28)&lt;&gt;1,"编号重复",IF(AND(L28&gt;1,COUNTIFS($AG$10:$AG$109,"W"&amp;V28,$B$10:$B$109,"&lt;&gt;")&lt;&gt;1),"缺少父任务",IF(J28="删除","待删除",IF(P28=0,"父任务已删除或无效",IF(K28="汇总",IF(COUNTIFS($S$10:$S$109,"&gt;"&amp;S28,$S$10:$S$109,"&lt;"&amp;(S28+IF(L28=1,1000000,IF(L28=2,1000,1))),$P$10:$P$109,1)=0,"等待子任务","由下级汇总"),IF(OR(D28="",E28=""),"待补日期",IF(E28&lt;D28,"结束早于开始",IF(AND(I28="里程碑",D28&lt;&gt;E28),"里程碑须同日","")))))))))))</f>
        <v/>
      </c>
      <c r="Y28" s="1">
        <f>IF(AA28=1,D28,100000000)</f>
        <v>100000000</v>
      </c>
      <c r="Z28" s="1">
        <f>IF(AA28=1,E28,0)</f>
        <v>0</v>
      </c>
      <c r="AA28" s="1">
        <f>IF(AND(P28=1,K28&lt;&gt;"汇总",ISNUMBER(F28),OR(I28&lt;&gt;"里程碑",D28=E28)),1,0)</f>
        <v>0</v>
      </c>
      <c r="AB28" s="1">
        <f>IF(A28="",0,IFERROR(VALUE(MID(("W"&amp;A28),2,FIND(".",("W"&amp;A28)&amp;".")-2)),-1))</f>
        <v>0</v>
      </c>
      <c r="AC28" s="1">
        <f>IF(OR(A28="",L28&lt;2),0,IFERROR(VALUE(MID(("W"&amp;A28),FIND(".",("W"&amp;A28))+1,FIND(".",("W"&amp;A28)&amp;".",FIND(".",("W"&amp;A28))+1)-FIND(".",("W"&amp;A28))-1)),-1))</f>
        <v>0</v>
      </c>
      <c r="AD28" s="1">
        <f>IF(OR(A28="",L28&lt;3),0,IFERROR(VALUE(RIGHT(("W"&amp;A28),LEN(("W"&amp;A28))-FIND(".",("W"&amp;A28),FIND(".",("W"&amp;A28))+1))),-1))</f>
        <v>0</v>
      </c>
      <c r="AE28" s="1">
        <f>IF(A28="",0,IF(AND(L28&lt;=3,AB28&gt;=1,AB28&lt;=999,AC28&gt;=0,AC28&lt;=999,AD28&gt;=0,AD28&lt;=999,A28=TEXT(AB28,"0")&amp;IF(L28&gt;1,"."&amp;TEXT(AC28,"0"),"")&amp;IF(L28&gt;2,"."&amp;TEXT(AD28,"0"),""),OR(L28&lt;2,AC28&gt;=1),OR(L28&lt;3,AD28&gt;=1)),1,0))</f>
        <v>0</v>
      </c>
      <c r="AF28" s="1"/>
      <c r="AG28" t="str">
        <f>"W"&amp;A28</f>
        <v>W</v>
      </c>
    </row>
    <row r="29" spans="1:33" ht="16.5">
      <c r="A29" s="12" t="str">
        <f>IF(ROW()-9&gt;ROWS(TimingTasks[WBS]),"",IF(AND(INDEX(TimingTasks[WBS],ROW()-9)="",NOT(ISNUMBER(INDEX(TimingTasks[WBS],ROW()-9)))),"",INDEX(TimingTasks[WBS],ROW()-9)))</f>
        <v/>
      </c>
      <c r="B29" s="10" t="str">
        <f>IF(ROW()-9&gt;ROWS(TimingTasks[WBS]),"",IF(AND(INDEX(TimingTasks[任务名称],ROW()-9)="",NOT(ISNUMBER(INDEX(TimingTasks[任务名称],ROW()-9)))),"",INDEX(TimingTasks[任务名称],ROW()-9)))</f>
        <v/>
      </c>
      <c r="C29" s="10" t="str">
        <f>IF(ROW()-9&gt;ROWS(TimingTasks[WBS]),"",IF(AND(INDEX(TimingTasks[负责人],ROW()-9)="",NOT(ISNUMBER(INDEX(TimingTasks[负责人],ROW()-9)))),"",INDEX(TimingTasks[负责人],ROW()-9)))</f>
        <v/>
      </c>
      <c r="D29" s="11" t="str">
        <f>IF(ROW()-9&gt;ROWS(TimingTasks[WBS]),"",IF(AND(INDEX(TimingTasks[输入开始],ROW()-9)="",NOT(ISNUMBER(INDEX(TimingTasks[输入开始],ROW()-9)))),"",INDEX(TimingTasks[输入开始],ROW()-9)))</f>
        <v/>
      </c>
      <c r="E29" s="11" t="str">
        <f>IF(ROW()-9&gt;ROWS(TimingTasks[WBS]),"",IF(AND(INDEX(TimingTasks[输入结束],ROW()-9)="",NOT(ISNUMBER(INDEX(TimingTasks[输入结束],ROW()-9)))),"",INDEX(TimingTasks[输入结束],ROW()-9)))</f>
        <v/>
      </c>
      <c r="F29" s="1" t="str">
        <f>IF(OR(P29=0,K29="汇总",D29="",E29="",E29&lt;D29),"",IF(I29="里程碑",0,NETWORKDAYS(D29,E29)))</f>
        <v/>
      </c>
      <c r="G29" s="15">
        <f>IF(ROW()-9&gt;ROWS(TimingTasks[WBS]),"",IF(AND(INDEX(TimingTasks[输入完成度],ROW()-9)="",NOT(ISNUMBER(INDEX(TimingTasks[输入完成度],ROW()-9)))),0,INDEX(TimingTasks[输入完成度],ROW()-9)))</f>
        <v>0</v>
      </c>
      <c r="H29" s="10" t="str">
        <f>IF(ROW()-9&gt;ROWS(TimingTasks[WBS]),"",IF(AND(INDEX(TimingTasks[前置任务 WBS],ROW()-9)="",NOT(ISNUMBER(INDEX(TimingTasks[前置任务 WBS],ROW()-9)))),"",INDEX(TimingTasks[前置任务 WBS],ROW()-9)))</f>
        <v/>
      </c>
      <c r="I29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9" s="10" t="str">
        <f>IF(ROW()-9&gt;ROWS(TimingTasks[WBS]),"",IF(AND(INDEX(TimingTasks[操作],ROW()-9)="",NOT(ISNUMBER(INDEX(TimingTasks[操作],ROW()-9)))),"保留",INDEX(TimingTasks[操作],ROW()-9)))</f>
        <v>保留</v>
      </c>
      <c r="K29" s="1" t="str">
        <f>IF(P29=0,"",IF(OR(AND(L29=1,D29="",E29="",I29&lt;&gt;"里程碑"),COUNTIFS($S$10:$S$109,"&gt;"&amp;S29,$S$10:$S$109,"&lt;"&amp;(S29+IF(L29=1,1000000,IF(L29=2,1000,1))),$P$10:$P$109,1)&gt;0),"汇总",I29))</f>
        <v/>
      </c>
      <c r="L29" s="1" t="str">
        <f>IF(A29="","",LEN(("W"&amp;A29))-LEN(SUBSTITUTE(("W"&amp;A29),".",""))+1)</f>
        <v/>
      </c>
      <c r="M29" s="3" t="str">
        <f>IF(P29=0,"",IF(K29="汇总",IF(COUNTIFS($S$10:$S$109,"&gt;"&amp;S29,$S$10:$S$109,"&lt;"&amp;(S29+IF(L29=1,1000000,IF(L29=2,1000,1))),$AA$10:$AA$109,1)=0,"",_xlfn.MINIFS($Y$10:$Y$109,$S$10:$S$109,"&gt;"&amp;S29,$S$10:$S$109,"&lt;"&amp;(S29+IF(L29=1,1000000,IF(L29=2,1000,1))),$AA$10:$AA$109,1)),IF(AA29=1,D29,"")))</f>
        <v/>
      </c>
      <c r="N29" s="3" t="str">
        <f>IF(P29=0,"",IF(K29="汇总",IF(COUNTIFS($S$10:$S$109,"&gt;"&amp;S29,$S$10:$S$109,"&lt;"&amp;(S29+IF(L29=1,1000000,IF(L29=2,1000,1))),$AA$10:$AA$109,1)=0,"",_xlfn.MAXIFS($Z$10:$Z$109,$S$10:$S$109,"&gt;"&amp;S29,$S$10:$S$109,"&lt;"&amp;(S29+IF(L29=1,1000000,IF(L29=2,1000,1))),$AA$10:$AA$109,1)),IF(AA29=1,E29,"")))</f>
        <v/>
      </c>
      <c r="O29" s="7" t="str">
        <f>IF(K29="汇总",ROUND((IF(P29=0,"",IF(K29="汇总",IF(SUMIFS($Q$10:$Q$109,$S$10:$S$109,"&gt;"&amp;S29,$S$10:$S$109,"&lt;"&amp;(S29+IF(L29=1,1000000,IF(L29=2,1000,1))))=0,0,SUMIFS($R$10:$R$109,$S$10:$S$109,"&gt;"&amp;S29,$S$10:$S$109,"&lt;"&amp;(S29+IF(L29=1,1000000,IF(L29=2,1000,1))))/SUMIFS($Q$10:$Q$109,$S$10:$S$109,"&gt;"&amp;S29,$S$10:$S$109,"&lt;"&amp;(S29+IF(L29=1,1000000,IF(L29=2,1000,1))))),G29)))*100,0)/100,IF(P29=0,"",IF(K29="汇总",IF(SUMIFS($Q$10:$Q$109,$S$10:$S$109,"&gt;"&amp;S29,$S$10:$S$109,"&lt;"&amp;(S29+IF(L29=1,1000000,IF(L29=2,1000,1))))=0,0,SUMIFS($R$10:$R$109,$S$10:$S$109,"&gt;"&amp;S29,$S$10:$S$109,"&lt;"&amp;(S29+IF(L29=1,1000000,IF(L29=2,1000,1))))/SUMIFS($Q$10:$Q$109,$S$10:$S$109,"&gt;"&amp;S29,$S$10:$S$109,"&lt;"&amp;(S29+IF(L29=1,1000000,IF(L29=2,1000,1))))),G29)))</f>
        <v/>
      </c>
      <c r="P29" s="1">
        <f>IF(OR(A29="",B29="",J29="删除",AE29=0,COUNTIFS($AG$10:$AG$109,"W"&amp;A29)&lt;&gt;1,AND(L29&gt;1,COUNTIFS($AG$10:$AG$109,"W"&amp;V29,$B$10:$B$109,"&lt;&gt;")&lt;&gt;1),AND(L29=3,COUNTIFS($AG$10:$AG$109,"W"&amp;W29,$B$10:$B$109,"&lt;&gt;")&lt;&gt;1),COUNTIFS($AG$10:$AG$109,"W"&amp;V29,$J$10:$J$109,"删除")&gt;0,COUNTIFS($AG$10:$AG$109,"W"&amp;W29,$J$10:$J$109,"删除")&gt;0),0,1)</f>
        <v>0</v>
      </c>
      <c r="Q29" s="1">
        <f>IF(AA29=0,0,IF(I29="里程碑",1,F29))</f>
        <v>0</v>
      </c>
      <c r="R29" s="1">
        <f>IF(AA29=0,0,Q29*G29)</f>
        <v>0</v>
      </c>
      <c r="S29" s="1">
        <f>IF(P29=0,1000000000000000,AB29*1000000+AC29*1000+AD29)</f>
        <v>1000000000000000</v>
      </c>
      <c r="T29" s="1">
        <f>IF(P29=0,0,IF(Timing浏览!$D$5="全部",1,IF(Timing浏览!$D$5="仅里程碑",IF(K29="里程碑",1,0),IF(L29&lt;=VALUE(LEFT(Timing浏览!$D$5,1)),1,0))))</f>
        <v>0</v>
      </c>
      <c r="U29" s="1" t="str">
        <f>IF(T29=0,"",COUNTIFS($S$10:$S$109,"&lt;"&amp;S29,$T$10:$T$109,1)+1)</f>
        <v/>
      </c>
      <c r="V29" s="1" t="str">
        <f>IF(OR(A29="",L29=1),"",IF(L29=2,TEXT(AB29,"0"),TEXT(AB29,"0")&amp;"."&amp;TEXT(AC29,"0")))</f>
        <v/>
      </c>
      <c r="W29" s="1" t="str">
        <f>IF(OR(A29="",L29=1),"",TEXT(AB29,"0"))</f>
        <v/>
      </c>
      <c r="X29" s="1" t="str">
        <f>IF(AND(A29="",B29=""),"",IF(OR(A29="",B29=""),"请补编号和名称",IF(AE29=0,"编号需为1至3级正整数",IF(COUNTIFS($AG$10:$AG$109,"W"&amp;A29)&lt;&gt;1,"编号重复",IF(AND(L29&gt;1,COUNTIFS($AG$10:$AG$109,"W"&amp;V29,$B$10:$B$109,"&lt;&gt;")&lt;&gt;1),"缺少父任务",IF(J29="删除","待删除",IF(P29=0,"父任务已删除或无效",IF(K29="汇总",IF(COUNTIFS($S$10:$S$109,"&gt;"&amp;S29,$S$10:$S$109,"&lt;"&amp;(S29+IF(L29=1,1000000,IF(L29=2,1000,1))),$P$10:$P$109,1)=0,"等待子任务","由下级汇总"),IF(OR(D29="",E29=""),"待补日期",IF(E29&lt;D29,"结束早于开始",IF(AND(I29="里程碑",D29&lt;&gt;E29),"里程碑须同日","")))))))))))</f>
        <v/>
      </c>
      <c r="Y29" s="1">
        <f>IF(AA29=1,D29,100000000)</f>
        <v>100000000</v>
      </c>
      <c r="Z29" s="1">
        <f>IF(AA29=1,E29,0)</f>
        <v>0</v>
      </c>
      <c r="AA29" s="1">
        <f>IF(AND(P29=1,K29&lt;&gt;"汇总",ISNUMBER(F29),OR(I29&lt;&gt;"里程碑",D29=E29)),1,0)</f>
        <v>0</v>
      </c>
      <c r="AB29" s="1">
        <f>IF(A29="",0,IFERROR(VALUE(MID(("W"&amp;A29),2,FIND(".",("W"&amp;A29)&amp;".")-2)),-1))</f>
        <v>0</v>
      </c>
      <c r="AC29" s="1">
        <f>IF(OR(A29="",L29&lt;2),0,IFERROR(VALUE(MID(("W"&amp;A29),FIND(".",("W"&amp;A29))+1,FIND(".",("W"&amp;A29)&amp;".",FIND(".",("W"&amp;A29))+1)-FIND(".",("W"&amp;A29))-1)),-1))</f>
        <v>0</v>
      </c>
      <c r="AD29" s="1">
        <f>IF(OR(A29="",L29&lt;3),0,IFERROR(VALUE(RIGHT(("W"&amp;A29),LEN(("W"&amp;A29))-FIND(".",("W"&amp;A29),FIND(".",("W"&amp;A29))+1))),-1))</f>
        <v>0</v>
      </c>
      <c r="AE29" s="1">
        <f>IF(A29="",0,IF(AND(L29&lt;=3,AB29&gt;=1,AB29&lt;=999,AC29&gt;=0,AC29&lt;=999,AD29&gt;=0,AD29&lt;=999,A29=TEXT(AB29,"0")&amp;IF(L29&gt;1,"."&amp;TEXT(AC29,"0"),"")&amp;IF(L29&gt;2,"."&amp;TEXT(AD29,"0"),""),OR(L29&lt;2,AC29&gt;=1),OR(L29&lt;3,AD29&gt;=1)),1,0))</f>
        <v>0</v>
      </c>
      <c r="AF29" s="1"/>
      <c r="AG29" t="str">
        <f>"W"&amp;A29</f>
        <v>W</v>
      </c>
    </row>
    <row r="30" spans="1:33" ht="16.5">
      <c r="A30" s="12" t="str">
        <f>IF(ROW()-9&gt;ROWS(TimingTasks[WBS]),"",IF(AND(INDEX(TimingTasks[WBS],ROW()-9)="",NOT(ISNUMBER(INDEX(TimingTasks[WBS],ROW()-9)))),"",INDEX(TimingTasks[WBS],ROW()-9)))</f>
        <v/>
      </c>
      <c r="B30" s="10" t="str">
        <f>IF(ROW()-9&gt;ROWS(TimingTasks[WBS]),"",IF(AND(INDEX(TimingTasks[任务名称],ROW()-9)="",NOT(ISNUMBER(INDEX(TimingTasks[任务名称],ROW()-9)))),"",INDEX(TimingTasks[任务名称],ROW()-9)))</f>
        <v/>
      </c>
      <c r="C30" s="10" t="str">
        <f>IF(ROW()-9&gt;ROWS(TimingTasks[WBS]),"",IF(AND(INDEX(TimingTasks[负责人],ROW()-9)="",NOT(ISNUMBER(INDEX(TimingTasks[负责人],ROW()-9)))),"",INDEX(TimingTasks[负责人],ROW()-9)))</f>
        <v/>
      </c>
      <c r="D30" s="11" t="str">
        <f>IF(ROW()-9&gt;ROWS(TimingTasks[WBS]),"",IF(AND(INDEX(TimingTasks[输入开始],ROW()-9)="",NOT(ISNUMBER(INDEX(TimingTasks[输入开始],ROW()-9)))),"",INDEX(TimingTasks[输入开始],ROW()-9)))</f>
        <v/>
      </c>
      <c r="E30" s="11" t="str">
        <f>IF(ROW()-9&gt;ROWS(TimingTasks[WBS]),"",IF(AND(INDEX(TimingTasks[输入结束],ROW()-9)="",NOT(ISNUMBER(INDEX(TimingTasks[输入结束],ROW()-9)))),"",INDEX(TimingTasks[输入结束],ROW()-9)))</f>
        <v/>
      </c>
      <c r="F30" s="1" t="str">
        <f>IF(OR(P30=0,K30="汇总",D30="",E30="",E30&lt;D30),"",IF(I30="里程碑",0,NETWORKDAYS(D30,E30)))</f>
        <v/>
      </c>
      <c r="G30" s="15" t="str">
        <f>IF(ROW()-9&gt;ROWS(TimingTasks[WBS]),"",IF(AND(INDEX(TimingTasks[输入完成度],ROW()-9)="",NOT(ISNUMBER(INDEX(TimingTasks[输入完成度],ROW()-9)))),0,INDEX(TimingTasks[输入完成度],ROW()-9)))</f>
        <v/>
      </c>
      <c r="H30" s="10" t="str">
        <f>IF(ROW()-9&gt;ROWS(TimingTasks[WBS]),"",IF(AND(INDEX(TimingTasks[前置任务 WBS],ROW()-9)="",NOT(ISNUMBER(INDEX(TimingTasks[前置任务 WBS],ROW()-9)))),"",INDEX(TimingTasks[前置任务 WBS],ROW()-9)))</f>
        <v/>
      </c>
      <c r="I30" s="10" t="str">
        <f>IF(ROW()-9&gt;ROWS(TimingTasks[WBS]),"",IF(AND(INDEX(TimingTasks[叶子类型],ROW()-9)="",NOT(ISNUMBER(INDEX(TimingTasks[叶子类型],ROW()-9)))),"普通任务",INDEX(TimingTasks[叶子类型],ROW()-9)))</f>
        <v/>
      </c>
      <c r="J30" s="10" t="str">
        <f>IF(ROW()-9&gt;ROWS(TimingTasks[WBS]),"",IF(AND(INDEX(TimingTasks[操作],ROW()-9)="",NOT(ISNUMBER(INDEX(TimingTasks[操作],ROW()-9)))),"保留",INDEX(TimingTasks[操作],ROW()-9)))</f>
        <v/>
      </c>
      <c r="K30" s="1" t="str">
        <f>IF(P30=0,"",IF(OR(AND(L30=1,D30="",E30="",I30&lt;&gt;"里程碑"),COUNTIFS($S$10:$S$109,"&gt;"&amp;S30,$S$10:$S$109,"&lt;"&amp;(S30+IF(L30=1,1000000,IF(L30=2,1000,1))),$P$10:$P$109,1)&gt;0),"汇总",I30))</f>
        <v/>
      </c>
      <c r="L30" s="1" t="str">
        <f>IF(A30="","",LEN(("W"&amp;A30))-LEN(SUBSTITUTE(("W"&amp;A30),".",""))+1)</f>
        <v/>
      </c>
      <c r="M30" s="3" t="str">
        <f>IF(P30=0,"",IF(K30="汇总",IF(COUNTIFS($S$10:$S$109,"&gt;"&amp;S30,$S$10:$S$109,"&lt;"&amp;(S30+IF(L30=1,1000000,IF(L30=2,1000,1))),$AA$10:$AA$109,1)=0,"",_xlfn.MINIFS($Y$10:$Y$109,$S$10:$S$109,"&gt;"&amp;S30,$S$10:$S$109,"&lt;"&amp;(S30+IF(L30=1,1000000,IF(L30=2,1000,1))),$AA$10:$AA$109,1)),IF(AA30=1,D30,"")))</f>
        <v/>
      </c>
      <c r="N30" s="3" t="str">
        <f>IF(P30=0,"",IF(K30="汇总",IF(COUNTIFS($S$10:$S$109,"&gt;"&amp;S30,$S$10:$S$109,"&lt;"&amp;(S30+IF(L30=1,1000000,IF(L30=2,1000,1))),$AA$10:$AA$109,1)=0,"",_xlfn.MAXIFS($Z$10:$Z$109,$S$10:$S$109,"&gt;"&amp;S30,$S$10:$S$109,"&lt;"&amp;(S30+IF(L30=1,1000000,IF(L30=2,1000,1))),$AA$10:$AA$109,1)),IF(AA30=1,E30,"")))</f>
        <v/>
      </c>
      <c r="O30" s="7" t="str">
        <f>IF(K30="汇总",ROUND((IF(P30=0,"",IF(K30="汇总",IF(SUMIFS($Q$10:$Q$109,$S$10:$S$109,"&gt;"&amp;S30,$S$10:$S$109,"&lt;"&amp;(S30+IF(L30=1,1000000,IF(L30=2,1000,1))))=0,0,SUMIFS($R$10:$R$109,$S$10:$S$109,"&gt;"&amp;S30,$S$10:$S$109,"&lt;"&amp;(S30+IF(L30=1,1000000,IF(L30=2,1000,1))))/SUMIFS($Q$10:$Q$109,$S$10:$S$109,"&gt;"&amp;S30,$S$10:$S$109,"&lt;"&amp;(S30+IF(L30=1,1000000,IF(L30=2,1000,1))))),G30)))*100,0)/100,IF(P30=0,"",IF(K30="汇总",IF(SUMIFS($Q$10:$Q$109,$S$10:$S$109,"&gt;"&amp;S30,$S$10:$S$109,"&lt;"&amp;(S30+IF(L30=1,1000000,IF(L30=2,1000,1))))=0,0,SUMIFS($R$10:$R$109,$S$10:$S$109,"&gt;"&amp;S30,$S$10:$S$109,"&lt;"&amp;(S30+IF(L30=1,1000000,IF(L30=2,1000,1))))/SUMIFS($Q$10:$Q$109,$S$10:$S$109,"&gt;"&amp;S30,$S$10:$S$109,"&lt;"&amp;(S30+IF(L30=1,1000000,IF(L30=2,1000,1))))),G30)))</f>
        <v/>
      </c>
      <c r="P30" s="1">
        <f>IF(OR(A30="",B30="",J30="删除",AE30=0,COUNTIFS($AG$10:$AG$109,"W"&amp;A30)&lt;&gt;1,AND(L30&gt;1,COUNTIFS($AG$10:$AG$109,"W"&amp;V30,$B$10:$B$109,"&lt;&gt;")&lt;&gt;1),AND(L30=3,COUNTIFS($AG$10:$AG$109,"W"&amp;W30,$B$10:$B$109,"&lt;&gt;")&lt;&gt;1),COUNTIFS($AG$10:$AG$109,"W"&amp;V30,$J$10:$J$109,"删除")&gt;0,COUNTIFS($AG$10:$AG$109,"W"&amp;W30,$J$10:$J$109,"删除")&gt;0),0,1)</f>
        <v>0</v>
      </c>
      <c r="Q30" s="1">
        <f>IF(AA30=0,0,IF(I30="里程碑",1,F30))</f>
        <v>0</v>
      </c>
      <c r="R30" s="1">
        <f>IF(AA30=0,0,Q30*G30)</f>
        <v>0</v>
      </c>
      <c r="S30" s="1">
        <f>IF(P30=0,1000000000000000,AB30*1000000+AC30*1000+AD30)</f>
        <v>1000000000000000</v>
      </c>
      <c r="T30" s="1">
        <f>IF(P30=0,0,IF(Timing浏览!$D$5="全部",1,IF(Timing浏览!$D$5="仅里程碑",IF(K30="里程碑",1,0),IF(L30&lt;=VALUE(LEFT(Timing浏览!$D$5,1)),1,0))))</f>
        <v>0</v>
      </c>
      <c r="U30" s="1" t="str">
        <f>IF(T30=0,"",COUNTIFS($S$10:$S$109,"&lt;"&amp;S30,$T$10:$T$109,1)+1)</f>
        <v/>
      </c>
      <c r="V30" s="1" t="str">
        <f>IF(OR(A30="",L30=1),"",IF(L30=2,TEXT(AB30,"0"),TEXT(AB30,"0")&amp;"."&amp;TEXT(AC30,"0")))</f>
        <v/>
      </c>
      <c r="W30" s="1" t="str">
        <f>IF(OR(A30="",L30=1),"",TEXT(AB30,"0"))</f>
        <v/>
      </c>
      <c r="X30" s="1" t="str">
        <f>IF(AND(A30="",B30=""),"",IF(OR(A30="",B30=""),"请补编号和名称",IF(AE30=0,"编号需为1至3级正整数",IF(COUNTIFS($AG$10:$AG$109,"W"&amp;A30)&lt;&gt;1,"编号重复",IF(AND(L30&gt;1,COUNTIFS($AG$10:$AG$109,"W"&amp;V30,$B$10:$B$109,"&lt;&gt;")&lt;&gt;1),"缺少父任务",IF(J30="删除","待删除",IF(P30=0,"父任务已删除或无效",IF(K30="汇总",IF(COUNTIFS($S$10:$S$109,"&gt;"&amp;S30,$S$10:$S$109,"&lt;"&amp;(S30+IF(L30=1,1000000,IF(L30=2,1000,1))),$P$10:$P$109,1)=0,"等待子任务","由下级汇总"),IF(OR(D30="",E30=""),"待补日期",IF(E30&lt;D30,"结束早于开始",IF(AND(I30="里程碑",D30&lt;&gt;E30),"里程碑须同日","")))))))))))</f>
        <v/>
      </c>
      <c r="Y30" s="1">
        <f>IF(AA30=1,D30,100000000)</f>
        <v>100000000</v>
      </c>
      <c r="Z30" s="1">
        <f>IF(AA30=1,E30,0)</f>
        <v>0</v>
      </c>
      <c r="AA30" s="1">
        <f>IF(AND(P30=1,K30&lt;&gt;"汇总",ISNUMBER(F30),OR(I30&lt;&gt;"里程碑",D30=E30)),1,0)</f>
        <v>0</v>
      </c>
      <c r="AB30" s="1">
        <f>IF(A30="",0,IFERROR(VALUE(MID(("W"&amp;A30),2,FIND(".",("W"&amp;A30)&amp;".")-2)),-1))</f>
        <v>0</v>
      </c>
      <c r="AC30" s="1">
        <f>IF(OR(A30="",L30&lt;2),0,IFERROR(VALUE(MID(("W"&amp;A30),FIND(".",("W"&amp;A30))+1,FIND(".",("W"&amp;A30)&amp;".",FIND(".",("W"&amp;A30))+1)-FIND(".",("W"&amp;A30))-1)),-1))</f>
        <v>0</v>
      </c>
      <c r="AD30" s="1">
        <f>IF(OR(A30="",L30&lt;3),0,IFERROR(VALUE(RIGHT(("W"&amp;A30),LEN(("W"&amp;A30))-FIND(".",("W"&amp;A30),FIND(".",("W"&amp;A30))+1))),-1))</f>
        <v>0</v>
      </c>
      <c r="AE30" s="1">
        <f>IF(A30="",0,IF(AND(L30&lt;=3,AB30&gt;=1,AB30&lt;=999,AC30&gt;=0,AC30&lt;=999,AD30&gt;=0,AD30&lt;=999,A30=TEXT(AB30,"0")&amp;IF(L30&gt;1,"."&amp;TEXT(AC30,"0"),"")&amp;IF(L30&gt;2,"."&amp;TEXT(AD30,"0"),""),OR(L30&lt;2,AC30&gt;=1),OR(L30&lt;3,AD30&gt;=1)),1,0))</f>
        <v>0</v>
      </c>
      <c r="AF30" s="1"/>
      <c r="AG30" t="str">
        <f>"W"&amp;A30</f>
        <v>W</v>
      </c>
    </row>
    <row r="31" spans="1:33" ht="16.5">
      <c r="A31" s="12" t="str">
        <f>IF(ROW()-9&gt;ROWS(TimingTasks[WBS]),"",IF(AND(INDEX(TimingTasks[WBS],ROW()-9)="",NOT(ISNUMBER(INDEX(TimingTasks[WBS],ROW()-9)))),"",INDEX(TimingTasks[WBS],ROW()-9)))</f>
        <v/>
      </c>
      <c r="B31" s="10" t="str">
        <f>IF(ROW()-9&gt;ROWS(TimingTasks[WBS]),"",IF(AND(INDEX(TimingTasks[任务名称],ROW()-9)="",NOT(ISNUMBER(INDEX(TimingTasks[任务名称],ROW()-9)))),"",INDEX(TimingTasks[任务名称],ROW()-9)))</f>
        <v/>
      </c>
      <c r="C31" s="10" t="str">
        <f>IF(ROW()-9&gt;ROWS(TimingTasks[WBS]),"",IF(AND(INDEX(TimingTasks[负责人],ROW()-9)="",NOT(ISNUMBER(INDEX(TimingTasks[负责人],ROW()-9)))),"",INDEX(TimingTasks[负责人],ROW()-9)))</f>
        <v/>
      </c>
      <c r="D31" s="11" t="str">
        <f>IF(ROW()-9&gt;ROWS(TimingTasks[WBS]),"",IF(AND(INDEX(TimingTasks[输入开始],ROW()-9)="",NOT(ISNUMBER(INDEX(TimingTasks[输入开始],ROW()-9)))),"",INDEX(TimingTasks[输入开始],ROW()-9)))</f>
        <v/>
      </c>
      <c r="E31" s="11" t="str">
        <f>IF(ROW()-9&gt;ROWS(TimingTasks[WBS]),"",IF(AND(INDEX(TimingTasks[输入结束],ROW()-9)="",NOT(ISNUMBER(INDEX(TimingTasks[输入结束],ROW()-9)))),"",INDEX(TimingTasks[输入结束],ROW()-9)))</f>
        <v/>
      </c>
      <c r="F31" s="1" t="str">
        <f>IF(OR(P31=0,K31="汇总",D31="",E31="",E31&lt;D31),"",IF(I31="里程碑",0,NETWORKDAYS(D31,E31)))</f>
        <v/>
      </c>
      <c r="G31" s="15" t="str">
        <f>IF(ROW()-9&gt;ROWS(TimingTasks[WBS]),"",IF(AND(INDEX(TimingTasks[输入完成度],ROW()-9)="",NOT(ISNUMBER(INDEX(TimingTasks[输入完成度],ROW()-9)))),0,INDEX(TimingTasks[输入完成度],ROW()-9)))</f>
        <v/>
      </c>
      <c r="H31" s="10" t="str">
        <f>IF(ROW()-9&gt;ROWS(TimingTasks[WBS]),"",IF(AND(INDEX(TimingTasks[前置任务 WBS],ROW()-9)="",NOT(ISNUMBER(INDEX(TimingTasks[前置任务 WBS],ROW()-9)))),"",INDEX(TimingTasks[前置任务 WBS],ROW()-9)))</f>
        <v/>
      </c>
      <c r="I31" s="10" t="str">
        <f>IF(ROW()-9&gt;ROWS(TimingTasks[WBS]),"",IF(AND(INDEX(TimingTasks[叶子类型],ROW()-9)="",NOT(ISNUMBER(INDEX(TimingTasks[叶子类型],ROW()-9)))),"普通任务",INDEX(TimingTasks[叶子类型],ROW()-9)))</f>
        <v/>
      </c>
      <c r="J31" s="10" t="str">
        <f>IF(ROW()-9&gt;ROWS(TimingTasks[WBS]),"",IF(AND(INDEX(TimingTasks[操作],ROW()-9)="",NOT(ISNUMBER(INDEX(TimingTasks[操作],ROW()-9)))),"保留",INDEX(TimingTasks[操作],ROW()-9)))</f>
        <v/>
      </c>
      <c r="K31" s="1" t="str">
        <f>IF(P31=0,"",IF(OR(AND(L31=1,D31="",E31="",I31&lt;&gt;"里程碑"),COUNTIFS($S$10:$S$109,"&gt;"&amp;S31,$S$10:$S$109,"&lt;"&amp;(S31+IF(L31=1,1000000,IF(L31=2,1000,1))),$P$10:$P$109,1)&gt;0),"汇总",I31))</f>
        <v/>
      </c>
      <c r="L31" s="1" t="str">
        <f>IF(A31="","",LEN(("W"&amp;A31))-LEN(SUBSTITUTE(("W"&amp;A31),".",""))+1)</f>
        <v/>
      </c>
      <c r="M31" s="3" t="str">
        <f>IF(P31=0,"",IF(K31="汇总",IF(COUNTIFS($S$10:$S$109,"&gt;"&amp;S31,$S$10:$S$109,"&lt;"&amp;(S31+IF(L31=1,1000000,IF(L31=2,1000,1))),$AA$10:$AA$109,1)=0,"",_xlfn.MINIFS($Y$10:$Y$109,$S$10:$S$109,"&gt;"&amp;S31,$S$10:$S$109,"&lt;"&amp;(S31+IF(L31=1,1000000,IF(L31=2,1000,1))),$AA$10:$AA$109,1)),IF(AA31=1,D31,"")))</f>
        <v/>
      </c>
      <c r="N31" s="3" t="str">
        <f>IF(P31=0,"",IF(K31="汇总",IF(COUNTIFS($S$10:$S$109,"&gt;"&amp;S31,$S$10:$S$109,"&lt;"&amp;(S31+IF(L31=1,1000000,IF(L31=2,1000,1))),$AA$10:$AA$109,1)=0,"",_xlfn.MAXIFS($Z$10:$Z$109,$S$10:$S$109,"&gt;"&amp;S31,$S$10:$S$109,"&lt;"&amp;(S31+IF(L31=1,1000000,IF(L31=2,1000,1))),$AA$10:$AA$109,1)),IF(AA31=1,E31,"")))</f>
        <v/>
      </c>
      <c r="O31" s="7" t="str">
        <f>IF(K31="汇总",ROUND((IF(P31=0,"",IF(K31="汇总",IF(SUMIFS($Q$10:$Q$109,$S$10:$S$109,"&gt;"&amp;S31,$S$10:$S$109,"&lt;"&amp;(S31+IF(L31=1,1000000,IF(L31=2,1000,1))))=0,0,SUMIFS($R$10:$R$109,$S$10:$S$109,"&gt;"&amp;S31,$S$10:$S$109,"&lt;"&amp;(S31+IF(L31=1,1000000,IF(L31=2,1000,1))))/SUMIFS($Q$10:$Q$109,$S$10:$S$109,"&gt;"&amp;S31,$S$10:$S$109,"&lt;"&amp;(S31+IF(L31=1,1000000,IF(L31=2,1000,1))))),G31)))*100,0)/100,IF(P31=0,"",IF(K31="汇总",IF(SUMIFS($Q$10:$Q$109,$S$10:$S$109,"&gt;"&amp;S31,$S$10:$S$109,"&lt;"&amp;(S31+IF(L31=1,1000000,IF(L31=2,1000,1))))=0,0,SUMIFS($R$10:$R$109,$S$10:$S$109,"&gt;"&amp;S31,$S$10:$S$109,"&lt;"&amp;(S31+IF(L31=1,1000000,IF(L31=2,1000,1))))/SUMIFS($Q$10:$Q$109,$S$10:$S$109,"&gt;"&amp;S31,$S$10:$S$109,"&lt;"&amp;(S31+IF(L31=1,1000000,IF(L31=2,1000,1))))),G31)))</f>
        <v/>
      </c>
      <c r="P31" s="1">
        <f>IF(OR(A31="",B31="",J31="删除",AE31=0,COUNTIFS($AG$10:$AG$109,"W"&amp;A31)&lt;&gt;1,AND(L31&gt;1,COUNTIFS($AG$10:$AG$109,"W"&amp;V31,$B$10:$B$109,"&lt;&gt;")&lt;&gt;1),AND(L31=3,COUNTIFS($AG$10:$AG$109,"W"&amp;W31,$B$10:$B$109,"&lt;&gt;")&lt;&gt;1),COUNTIFS($AG$10:$AG$109,"W"&amp;V31,$J$10:$J$109,"删除")&gt;0,COUNTIFS($AG$10:$AG$109,"W"&amp;W31,$J$10:$J$109,"删除")&gt;0),0,1)</f>
        <v>0</v>
      </c>
      <c r="Q31" s="1">
        <f>IF(AA31=0,0,IF(I31="里程碑",1,F31))</f>
        <v>0</v>
      </c>
      <c r="R31" s="1">
        <f>IF(AA31=0,0,Q31*G31)</f>
        <v>0</v>
      </c>
      <c r="S31" s="1">
        <f>IF(P31=0,1000000000000000,AB31*1000000+AC31*1000+AD31)</f>
        <v>1000000000000000</v>
      </c>
      <c r="T31" s="1">
        <f>IF(P31=0,0,IF(Timing浏览!$D$5="全部",1,IF(Timing浏览!$D$5="仅里程碑",IF(K31="里程碑",1,0),IF(L31&lt;=VALUE(LEFT(Timing浏览!$D$5,1)),1,0))))</f>
        <v>0</v>
      </c>
      <c r="U31" s="1" t="str">
        <f>IF(T31=0,"",COUNTIFS($S$10:$S$109,"&lt;"&amp;S31,$T$10:$T$109,1)+1)</f>
        <v/>
      </c>
      <c r="V31" s="1" t="str">
        <f>IF(OR(A31="",L31=1),"",IF(L31=2,TEXT(AB31,"0"),TEXT(AB31,"0")&amp;"."&amp;TEXT(AC31,"0")))</f>
        <v/>
      </c>
      <c r="W31" s="1" t="str">
        <f>IF(OR(A31="",L31=1),"",TEXT(AB31,"0"))</f>
        <v/>
      </c>
      <c r="X31" s="1" t="str">
        <f>IF(AND(A31="",B31=""),"",IF(OR(A31="",B31=""),"请补编号和名称",IF(AE31=0,"编号需为1至3级正整数",IF(COUNTIFS($AG$10:$AG$109,"W"&amp;A31)&lt;&gt;1,"编号重复",IF(AND(L31&gt;1,COUNTIFS($AG$10:$AG$109,"W"&amp;V31,$B$10:$B$109,"&lt;&gt;")&lt;&gt;1),"缺少父任务",IF(J31="删除","待删除",IF(P31=0,"父任务已删除或无效",IF(K31="汇总",IF(COUNTIFS($S$10:$S$109,"&gt;"&amp;S31,$S$10:$S$109,"&lt;"&amp;(S31+IF(L31=1,1000000,IF(L31=2,1000,1))),$P$10:$P$109,1)=0,"等待子任务","由下级汇总"),IF(OR(D31="",E31=""),"待补日期",IF(E31&lt;D31,"结束早于开始",IF(AND(I31="里程碑",D31&lt;&gt;E31),"里程碑须同日","")))))))))))</f>
        <v/>
      </c>
      <c r="Y31" s="1">
        <f>IF(AA31=1,D31,100000000)</f>
        <v>100000000</v>
      </c>
      <c r="Z31" s="1">
        <f>IF(AA31=1,E31,0)</f>
        <v>0</v>
      </c>
      <c r="AA31" s="1">
        <f>IF(AND(P31=1,K31&lt;&gt;"汇总",ISNUMBER(F31),OR(I31&lt;&gt;"里程碑",D31=E31)),1,0)</f>
        <v>0</v>
      </c>
      <c r="AB31" s="1">
        <f>IF(A31="",0,IFERROR(VALUE(MID(("W"&amp;A31),2,FIND(".",("W"&amp;A31)&amp;".")-2)),-1))</f>
        <v>0</v>
      </c>
      <c r="AC31" s="1">
        <f>IF(OR(A31="",L31&lt;2),0,IFERROR(VALUE(MID(("W"&amp;A31),FIND(".",("W"&amp;A31))+1,FIND(".",("W"&amp;A31)&amp;".",FIND(".",("W"&amp;A31))+1)-FIND(".",("W"&amp;A31))-1)),-1))</f>
        <v>0</v>
      </c>
      <c r="AD31" s="1">
        <f>IF(OR(A31="",L31&lt;3),0,IFERROR(VALUE(RIGHT(("W"&amp;A31),LEN(("W"&amp;A31))-FIND(".",("W"&amp;A31),FIND(".",("W"&amp;A31))+1))),-1))</f>
        <v>0</v>
      </c>
      <c r="AE31" s="1">
        <f>IF(A31="",0,IF(AND(L31&lt;=3,AB31&gt;=1,AB31&lt;=999,AC31&gt;=0,AC31&lt;=999,AD31&gt;=0,AD31&lt;=999,A31=TEXT(AB31,"0")&amp;IF(L31&gt;1,"."&amp;TEXT(AC31,"0"),"")&amp;IF(L31&gt;2,"."&amp;TEXT(AD31,"0"),""),OR(L31&lt;2,AC31&gt;=1),OR(L31&lt;3,AD31&gt;=1)),1,0))</f>
        <v>0</v>
      </c>
      <c r="AF31" s="1"/>
      <c r="AG31" t="str">
        <f>"W"&amp;A31</f>
        <v>W</v>
      </c>
    </row>
    <row r="32" spans="1:33" ht="16.5">
      <c r="A32" s="12" t="str">
        <f>IF(ROW()-9&gt;ROWS(TimingTasks[WBS]),"",IF(AND(INDEX(TimingTasks[WBS],ROW()-9)="",NOT(ISNUMBER(INDEX(TimingTasks[WBS],ROW()-9)))),"",INDEX(TimingTasks[WBS],ROW()-9)))</f>
        <v/>
      </c>
      <c r="B32" s="10" t="str">
        <f>IF(ROW()-9&gt;ROWS(TimingTasks[WBS]),"",IF(AND(INDEX(TimingTasks[任务名称],ROW()-9)="",NOT(ISNUMBER(INDEX(TimingTasks[任务名称],ROW()-9)))),"",INDEX(TimingTasks[任务名称],ROW()-9)))</f>
        <v/>
      </c>
      <c r="C32" s="10" t="str">
        <f>IF(ROW()-9&gt;ROWS(TimingTasks[WBS]),"",IF(AND(INDEX(TimingTasks[负责人],ROW()-9)="",NOT(ISNUMBER(INDEX(TimingTasks[负责人],ROW()-9)))),"",INDEX(TimingTasks[负责人],ROW()-9)))</f>
        <v/>
      </c>
      <c r="D32" s="11" t="str">
        <f>IF(ROW()-9&gt;ROWS(TimingTasks[WBS]),"",IF(AND(INDEX(TimingTasks[输入开始],ROW()-9)="",NOT(ISNUMBER(INDEX(TimingTasks[输入开始],ROW()-9)))),"",INDEX(TimingTasks[输入开始],ROW()-9)))</f>
        <v/>
      </c>
      <c r="E32" s="11" t="str">
        <f>IF(ROW()-9&gt;ROWS(TimingTasks[WBS]),"",IF(AND(INDEX(TimingTasks[输入结束],ROW()-9)="",NOT(ISNUMBER(INDEX(TimingTasks[输入结束],ROW()-9)))),"",INDEX(TimingTasks[输入结束],ROW()-9)))</f>
        <v/>
      </c>
      <c r="F32" s="1" t="str">
        <f>IF(OR(P32=0,K32="汇总",D32="",E32="",E32&lt;D32),"",IF(I32="里程碑",0,NETWORKDAYS(D32,E32)))</f>
        <v/>
      </c>
      <c r="G32" s="15" t="str">
        <f>IF(ROW()-9&gt;ROWS(TimingTasks[WBS]),"",IF(AND(INDEX(TimingTasks[输入完成度],ROW()-9)="",NOT(ISNUMBER(INDEX(TimingTasks[输入完成度],ROW()-9)))),0,INDEX(TimingTasks[输入完成度],ROW()-9)))</f>
        <v/>
      </c>
      <c r="H32" s="10" t="str">
        <f>IF(ROW()-9&gt;ROWS(TimingTasks[WBS]),"",IF(AND(INDEX(TimingTasks[前置任务 WBS],ROW()-9)="",NOT(ISNUMBER(INDEX(TimingTasks[前置任务 WBS],ROW()-9)))),"",INDEX(TimingTasks[前置任务 WBS],ROW()-9)))</f>
        <v/>
      </c>
      <c r="I32" s="10" t="str">
        <f>IF(ROW()-9&gt;ROWS(TimingTasks[WBS]),"",IF(AND(INDEX(TimingTasks[叶子类型],ROW()-9)="",NOT(ISNUMBER(INDEX(TimingTasks[叶子类型],ROW()-9)))),"普通任务",INDEX(TimingTasks[叶子类型],ROW()-9)))</f>
        <v/>
      </c>
      <c r="J32" s="10" t="str">
        <f>IF(ROW()-9&gt;ROWS(TimingTasks[WBS]),"",IF(AND(INDEX(TimingTasks[操作],ROW()-9)="",NOT(ISNUMBER(INDEX(TimingTasks[操作],ROW()-9)))),"保留",INDEX(TimingTasks[操作],ROW()-9)))</f>
        <v/>
      </c>
      <c r="K32" s="1" t="str">
        <f>IF(P32=0,"",IF(OR(AND(L32=1,D32="",E32="",I32&lt;&gt;"里程碑"),COUNTIFS($S$10:$S$109,"&gt;"&amp;S32,$S$10:$S$109,"&lt;"&amp;(S32+IF(L32=1,1000000,IF(L32=2,1000,1))),$P$10:$P$109,1)&gt;0),"汇总",I32))</f>
        <v/>
      </c>
      <c r="L32" s="1" t="str">
        <f>IF(A32="","",LEN(("W"&amp;A32))-LEN(SUBSTITUTE(("W"&amp;A32),".",""))+1)</f>
        <v/>
      </c>
      <c r="M32" s="3" t="str">
        <f>IF(P32=0,"",IF(K32="汇总",IF(COUNTIFS($S$10:$S$109,"&gt;"&amp;S32,$S$10:$S$109,"&lt;"&amp;(S32+IF(L32=1,1000000,IF(L32=2,1000,1))),$AA$10:$AA$109,1)=0,"",_xlfn.MINIFS($Y$10:$Y$109,$S$10:$S$109,"&gt;"&amp;S32,$S$10:$S$109,"&lt;"&amp;(S32+IF(L32=1,1000000,IF(L32=2,1000,1))),$AA$10:$AA$109,1)),IF(AA32=1,D32,"")))</f>
        <v/>
      </c>
      <c r="N32" s="3" t="str">
        <f>IF(P32=0,"",IF(K32="汇总",IF(COUNTIFS($S$10:$S$109,"&gt;"&amp;S32,$S$10:$S$109,"&lt;"&amp;(S32+IF(L32=1,1000000,IF(L32=2,1000,1))),$AA$10:$AA$109,1)=0,"",_xlfn.MAXIFS($Z$10:$Z$109,$S$10:$S$109,"&gt;"&amp;S32,$S$10:$S$109,"&lt;"&amp;(S32+IF(L32=1,1000000,IF(L32=2,1000,1))),$AA$10:$AA$109,1)),IF(AA32=1,E32,"")))</f>
        <v/>
      </c>
      <c r="O32" s="7" t="str">
        <f>IF(K32="汇总",ROUND((IF(P32=0,"",IF(K32="汇总",IF(SUMIFS($Q$10:$Q$109,$S$10:$S$109,"&gt;"&amp;S32,$S$10:$S$109,"&lt;"&amp;(S32+IF(L32=1,1000000,IF(L32=2,1000,1))))=0,0,SUMIFS($R$10:$R$109,$S$10:$S$109,"&gt;"&amp;S32,$S$10:$S$109,"&lt;"&amp;(S32+IF(L32=1,1000000,IF(L32=2,1000,1))))/SUMIFS($Q$10:$Q$109,$S$10:$S$109,"&gt;"&amp;S32,$S$10:$S$109,"&lt;"&amp;(S32+IF(L32=1,1000000,IF(L32=2,1000,1))))),G32)))*100,0)/100,IF(P32=0,"",IF(K32="汇总",IF(SUMIFS($Q$10:$Q$109,$S$10:$S$109,"&gt;"&amp;S32,$S$10:$S$109,"&lt;"&amp;(S32+IF(L32=1,1000000,IF(L32=2,1000,1))))=0,0,SUMIFS($R$10:$R$109,$S$10:$S$109,"&gt;"&amp;S32,$S$10:$S$109,"&lt;"&amp;(S32+IF(L32=1,1000000,IF(L32=2,1000,1))))/SUMIFS($Q$10:$Q$109,$S$10:$S$109,"&gt;"&amp;S32,$S$10:$S$109,"&lt;"&amp;(S32+IF(L32=1,1000000,IF(L32=2,1000,1))))),G32)))</f>
        <v/>
      </c>
      <c r="P32" s="1">
        <f>IF(OR(A32="",B32="",J32="删除",AE32=0,COUNTIFS($AG$10:$AG$109,"W"&amp;A32)&lt;&gt;1,AND(L32&gt;1,COUNTIFS($AG$10:$AG$109,"W"&amp;V32,$B$10:$B$109,"&lt;&gt;")&lt;&gt;1),AND(L32=3,COUNTIFS($AG$10:$AG$109,"W"&amp;W32,$B$10:$B$109,"&lt;&gt;")&lt;&gt;1),COUNTIFS($AG$10:$AG$109,"W"&amp;V32,$J$10:$J$109,"删除")&gt;0,COUNTIFS($AG$10:$AG$109,"W"&amp;W32,$J$10:$J$109,"删除")&gt;0),0,1)</f>
        <v>0</v>
      </c>
      <c r="Q32" s="1">
        <f>IF(AA32=0,0,IF(I32="里程碑",1,F32))</f>
        <v>0</v>
      </c>
      <c r="R32" s="1">
        <f>IF(AA32=0,0,Q32*G32)</f>
        <v>0</v>
      </c>
      <c r="S32" s="1">
        <f>IF(P32=0,1000000000000000,AB32*1000000+AC32*1000+AD32)</f>
        <v>1000000000000000</v>
      </c>
      <c r="T32" s="1">
        <f>IF(P32=0,0,IF(Timing浏览!$D$5="全部",1,IF(Timing浏览!$D$5="仅里程碑",IF(K32="里程碑",1,0),IF(L32&lt;=VALUE(LEFT(Timing浏览!$D$5,1)),1,0))))</f>
        <v>0</v>
      </c>
      <c r="U32" s="1" t="str">
        <f>IF(T32=0,"",COUNTIFS($S$10:$S$109,"&lt;"&amp;S32,$T$10:$T$109,1)+1)</f>
        <v/>
      </c>
      <c r="V32" s="1" t="str">
        <f>IF(OR(A32="",L32=1),"",IF(L32=2,TEXT(AB32,"0"),TEXT(AB32,"0")&amp;"."&amp;TEXT(AC32,"0")))</f>
        <v/>
      </c>
      <c r="W32" s="1" t="str">
        <f>IF(OR(A32="",L32=1),"",TEXT(AB32,"0"))</f>
        <v/>
      </c>
      <c r="X32" s="1" t="str">
        <f>IF(AND(A32="",B32=""),"",IF(OR(A32="",B32=""),"请补编号和名称",IF(AE32=0,"编号需为1至3级正整数",IF(COUNTIFS($AG$10:$AG$109,"W"&amp;A32)&lt;&gt;1,"编号重复",IF(AND(L32&gt;1,COUNTIFS($AG$10:$AG$109,"W"&amp;V32,$B$10:$B$109,"&lt;&gt;")&lt;&gt;1),"缺少父任务",IF(J32="删除","待删除",IF(P32=0,"父任务已删除或无效",IF(K32="汇总",IF(COUNTIFS($S$10:$S$109,"&gt;"&amp;S32,$S$10:$S$109,"&lt;"&amp;(S32+IF(L32=1,1000000,IF(L32=2,1000,1))),$P$10:$P$109,1)=0,"等待子任务","由下级汇总"),IF(OR(D32="",E32=""),"待补日期",IF(E32&lt;D32,"结束早于开始",IF(AND(I32="里程碑",D32&lt;&gt;E32),"里程碑须同日","")))))))))))</f>
        <v/>
      </c>
      <c r="Y32" s="1">
        <f>IF(AA32=1,D32,100000000)</f>
        <v>100000000</v>
      </c>
      <c r="Z32" s="1">
        <f>IF(AA32=1,E32,0)</f>
        <v>0</v>
      </c>
      <c r="AA32" s="1">
        <f>IF(AND(P32=1,K32&lt;&gt;"汇总",ISNUMBER(F32),OR(I32&lt;&gt;"里程碑",D32=E32)),1,0)</f>
        <v>0</v>
      </c>
      <c r="AB32" s="1">
        <f>IF(A32="",0,IFERROR(VALUE(MID(("W"&amp;A32),2,FIND(".",("W"&amp;A32)&amp;".")-2)),-1))</f>
        <v>0</v>
      </c>
      <c r="AC32" s="1">
        <f>IF(OR(A32="",L32&lt;2),0,IFERROR(VALUE(MID(("W"&amp;A32),FIND(".",("W"&amp;A32))+1,FIND(".",("W"&amp;A32)&amp;".",FIND(".",("W"&amp;A32))+1)-FIND(".",("W"&amp;A32))-1)),-1))</f>
        <v>0</v>
      </c>
      <c r="AD32" s="1">
        <f>IF(OR(A32="",L32&lt;3),0,IFERROR(VALUE(RIGHT(("W"&amp;A32),LEN(("W"&amp;A32))-FIND(".",("W"&amp;A32),FIND(".",("W"&amp;A32))+1))),-1))</f>
        <v>0</v>
      </c>
      <c r="AE32" s="1">
        <f>IF(A32="",0,IF(AND(L32&lt;=3,AB32&gt;=1,AB32&lt;=999,AC32&gt;=0,AC32&lt;=999,AD32&gt;=0,AD32&lt;=999,A32=TEXT(AB32,"0")&amp;IF(L32&gt;1,"."&amp;TEXT(AC32,"0"),"")&amp;IF(L32&gt;2,"."&amp;TEXT(AD32,"0"),""),OR(L32&lt;2,AC32&gt;=1),OR(L32&lt;3,AD32&gt;=1)),1,0))</f>
        <v>0</v>
      </c>
      <c r="AF32" s="1"/>
      <c r="AG32" t="str">
        <f>"W"&amp;A32</f>
        <v>W</v>
      </c>
    </row>
    <row r="33" spans="1:33" ht="16.5">
      <c r="A33" s="12" t="str">
        <f>IF(ROW()-9&gt;ROWS(TimingTasks[WBS]),"",IF(AND(INDEX(TimingTasks[WBS],ROW()-9)="",NOT(ISNUMBER(INDEX(TimingTasks[WBS],ROW()-9)))),"",INDEX(TimingTasks[WBS],ROW()-9)))</f>
        <v/>
      </c>
      <c r="B33" s="10" t="str">
        <f>IF(ROW()-9&gt;ROWS(TimingTasks[WBS]),"",IF(AND(INDEX(TimingTasks[任务名称],ROW()-9)="",NOT(ISNUMBER(INDEX(TimingTasks[任务名称],ROW()-9)))),"",INDEX(TimingTasks[任务名称],ROW()-9)))</f>
        <v/>
      </c>
      <c r="C33" s="10" t="str">
        <f>IF(ROW()-9&gt;ROWS(TimingTasks[WBS]),"",IF(AND(INDEX(TimingTasks[负责人],ROW()-9)="",NOT(ISNUMBER(INDEX(TimingTasks[负责人],ROW()-9)))),"",INDEX(TimingTasks[负责人],ROW()-9)))</f>
        <v/>
      </c>
      <c r="D33" s="11" t="str">
        <f>IF(ROW()-9&gt;ROWS(TimingTasks[WBS]),"",IF(AND(INDEX(TimingTasks[输入开始],ROW()-9)="",NOT(ISNUMBER(INDEX(TimingTasks[输入开始],ROW()-9)))),"",INDEX(TimingTasks[输入开始],ROW()-9)))</f>
        <v/>
      </c>
      <c r="E33" s="11" t="str">
        <f>IF(ROW()-9&gt;ROWS(TimingTasks[WBS]),"",IF(AND(INDEX(TimingTasks[输入结束],ROW()-9)="",NOT(ISNUMBER(INDEX(TimingTasks[输入结束],ROW()-9)))),"",INDEX(TimingTasks[输入结束],ROW()-9)))</f>
        <v/>
      </c>
      <c r="F33" s="1" t="str">
        <f>IF(OR(P33=0,K33="汇总",D33="",E33="",E33&lt;D33),"",IF(I33="里程碑",0,NETWORKDAYS(D33,E33)))</f>
        <v/>
      </c>
      <c r="G33" s="15" t="str">
        <f>IF(ROW()-9&gt;ROWS(TimingTasks[WBS]),"",IF(AND(INDEX(TimingTasks[输入完成度],ROW()-9)="",NOT(ISNUMBER(INDEX(TimingTasks[输入完成度],ROW()-9)))),0,INDEX(TimingTasks[输入完成度],ROW()-9)))</f>
        <v/>
      </c>
      <c r="H33" s="10" t="str">
        <f>IF(ROW()-9&gt;ROWS(TimingTasks[WBS]),"",IF(AND(INDEX(TimingTasks[前置任务 WBS],ROW()-9)="",NOT(ISNUMBER(INDEX(TimingTasks[前置任务 WBS],ROW()-9)))),"",INDEX(TimingTasks[前置任务 WBS],ROW()-9)))</f>
        <v/>
      </c>
      <c r="I33" s="10" t="str">
        <f>IF(ROW()-9&gt;ROWS(TimingTasks[WBS]),"",IF(AND(INDEX(TimingTasks[叶子类型],ROW()-9)="",NOT(ISNUMBER(INDEX(TimingTasks[叶子类型],ROW()-9)))),"普通任务",INDEX(TimingTasks[叶子类型],ROW()-9)))</f>
        <v/>
      </c>
      <c r="J33" s="10" t="str">
        <f>IF(ROW()-9&gt;ROWS(TimingTasks[WBS]),"",IF(AND(INDEX(TimingTasks[操作],ROW()-9)="",NOT(ISNUMBER(INDEX(TimingTasks[操作],ROW()-9)))),"保留",INDEX(TimingTasks[操作],ROW()-9)))</f>
        <v/>
      </c>
      <c r="K33" s="1" t="str">
        <f>IF(P33=0,"",IF(OR(AND(L33=1,D33="",E33="",I33&lt;&gt;"里程碑"),COUNTIFS($S$10:$S$109,"&gt;"&amp;S33,$S$10:$S$109,"&lt;"&amp;(S33+IF(L33=1,1000000,IF(L33=2,1000,1))),$P$10:$P$109,1)&gt;0),"汇总",I33))</f>
        <v/>
      </c>
      <c r="L33" s="1" t="str">
        <f>IF(A33="","",LEN(("W"&amp;A33))-LEN(SUBSTITUTE(("W"&amp;A33),".",""))+1)</f>
        <v/>
      </c>
      <c r="M33" s="3" t="str">
        <f>IF(P33=0,"",IF(K33="汇总",IF(COUNTIFS($S$10:$S$109,"&gt;"&amp;S33,$S$10:$S$109,"&lt;"&amp;(S33+IF(L33=1,1000000,IF(L33=2,1000,1))),$AA$10:$AA$109,1)=0,"",_xlfn.MINIFS($Y$10:$Y$109,$S$10:$S$109,"&gt;"&amp;S33,$S$10:$S$109,"&lt;"&amp;(S33+IF(L33=1,1000000,IF(L33=2,1000,1))),$AA$10:$AA$109,1)),IF(AA33=1,D33,"")))</f>
        <v/>
      </c>
      <c r="N33" s="3" t="str">
        <f>IF(P33=0,"",IF(K33="汇总",IF(COUNTIFS($S$10:$S$109,"&gt;"&amp;S33,$S$10:$S$109,"&lt;"&amp;(S33+IF(L33=1,1000000,IF(L33=2,1000,1))),$AA$10:$AA$109,1)=0,"",_xlfn.MAXIFS($Z$10:$Z$109,$S$10:$S$109,"&gt;"&amp;S33,$S$10:$S$109,"&lt;"&amp;(S33+IF(L33=1,1000000,IF(L33=2,1000,1))),$AA$10:$AA$109,1)),IF(AA33=1,E33,"")))</f>
        <v/>
      </c>
      <c r="O33" s="7" t="str">
        <f>IF(K33="汇总",ROUND((IF(P33=0,"",IF(K33="汇总",IF(SUMIFS($Q$10:$Q$109,$S$10:$S$109,"&gt;"&amp;S33,$S$10:$S$109,"&lt;"&amp;(S33+IF(L33=1,1000000,IF(L33=2,1000,1))))=0,0,SUMIFS($R$10:$R$109,$S$10:$S$109,"&gt;"&amp;S33,$S$10:$S$109,"&lt;"&amp;(S33+IF(L33=1,1000000,IF(L33=2,1000,1))))/SUMIFS($Q$10:$Q$109,$S$10:$S$109,"&gt;"&amp;S33,$S$10:$S$109,"&lt;"&amp;(S33+IF(L33=1,1000000,IF(L33=2,1000,1))))),G33)))*100,0)/100,IF(P33=0,"",IF(K33="汇总",IF(SUMIFS($Q$10:$Q$109,$S$10:$S$109,"&gt;"&amp;S33,$S$10:$S$109,"&lt;"&amp;(S33+IF(L33=1,1000000,IF(L33=2,1000,1))))=0,0,SUMIFS($R$10:$R$109,$S$10:$S$109,"&gt;"&amp;S33,$S$10:$S$109,"&lt;"&amp;(S33+IF(L33=1,1000000,IF(L33=2,1000,1))))/SUMIFS($Q$10:$Q$109,$S$10:$S$109,"&gt;"&amp;S33,$S$10:$S$109,"&lt;"&amp;(S33+IF(L33=1,1000000,IF(L33=2,1000,1))))),G33)))</f>
        <v/>
      </c>
      <c r="P33" s="1">
        <f>IF(OR(A33="",B33="",J33="删除",AE33=0,COUNTIFS($AG$10:$AG$109,"W"&amp;A33)&lt;&gt;1,AND(L33&gt;1,COUNTIFS($AG$10:$AG$109,"W"&amp;V33,$B$10:$B$109,"&lt;&gt;")&lt;&gt;1),AND(L33=3,COUNTIFS($AG$10:$AG$109,"W"&amp;W33,$B$10:$B$109,"&lt;&gt;")&lt;&gt;1),COUNTIFS($AG$10:$AG$109,"W"&amp;V33,$J$10:$J$109,"删除")&gt;0,COUNTIFS($AG$10:$AG$109,"W"&amp;W33,$J$10:$J$109,"删除")&gt;0),0,1)</f>
        <v>0</v>
      </c>
      <c r="Q33" s="1">
        <f>IF(AA33=0,0,IF(I33="里程碑",1,F33))</f>
        <v>0</v>
      </c>
      <c r="R33" s="1">
        <f>IF(AA33=0,0,Q33*G33)</f>
        <v>0</v>
      </c>
      <c r="S33" s="1">
        <f>IF(P33=0,1000000000000000,AB33*1000000+AC33*1000+AD33)</f>
        <v>1000000000000000</v>
      </c>
      <c r="T33" s="1">
        <f>IF(P33=0,0,IF(Timing浏览!$D$5="全部",1,IF(Timing浏览!$D$5="仅里程碑",IF(K33="里程碑",1,0),IF(L33&lt;=VALUE(LEFT(Timing浏览!$D$5,1)),1,0))))</f>
        <v>0</v>
      </c>
      <c r="U33" s="1" t="str">
        <f>IF(T33=0,"",COUNTIFS($S$10:$S$109,"&lt;"&amp;S33,$T$10:$T$109,1)+1)</f>
        <v/>
      </c>
      <c r="V33" s="1" t="str">
        <f>IF(OR(A33="",L33=1),"",IF(L33=2,TEXT(AB33,"0"),TEXT(AB33,"0")&amp;"."&amp;TEXT(AC33,"0")))</f>
        <v/>
      </c>
      <c r="W33" s="1" t="str">
        <f>IF(OR(A33="",L33=1),"",TEXT(AB33,"0"))</f>
        <v/>
      </c>
      <c r="X33" s="1" t="str">
        <f>IF(AND(A33="",B33=""),"",IF(OR(A33="",B33=""),"请补编号和名称",IF(AE33=0,"编号需为1至3级正整数",IF(COUNTIFS($AG$10:$AG$109,"W"&amp;A33)&lt;&gt;1,"编号重复",IF(AND(L33&gt;1,COUNTIFS($AG$10:$AG$109,"W"&amp;V33,$B$10:$B$109,"&lt;&gt;")&lt;&gt;1),"缺少父任务",IF(J33="删除","待删除",IF(P33=0,"父任务已删除或无效",IF(K33="汇总",IF(COUNTIFS($S$10:$S$109,"&gt;"&amp;S33,$S$10:$S$109,"&lt;"&amp;(S33+IF(L33=1,1000000,IF(L33=2,1000,1))),$P$10:$P$109,1)=0,"等待子任务","由下级汇总"),IF(OR(D33="",E33=""),"待补日期",IF(E33&lt;D33,"结束早于开始",IF(AND(I33="里程碑",D33&lt;&gt;E33),"里程碑须同日","")))))))))))</f>
        <v/>
      </c>
      <c r="Y33" s="1">
        <f>IF(AA33=1,D33,100000000)</f>
        <v>100000000</v>
      </c>
      <c r="Z33" s="1">
        <f>IF(AA33=1,E33,0)</f>
        <v>0</v>
      </c>
      <c r="AA33" s="1">
        <f>IF(AND(P33=1,K33&lt;&gt;"汇总",ISNUMBER(F33),OR(I33&lt;&gt;"里程碑",D33=E33)),1,0)</f>
        <v>0</v>
      </c>
      <c r="AB33" s="1">
        <f>IF(A33="",0,IFERROR(VALUE(MID(("W"&amp;A33),2,FIND(".",("W"&amp;A33)&amp;".")-2)),-1))</f>
        <v>0</v>
      </c>
      <c r="AC33" s="1">
        <f>IF(OR(A33="",L33&lt;2),0,IFERROR(VALUE(MID(("W"&amp;A33),FIND(".",("W"&amp;A33))+1,FIND(".",("W"&amp;A33)&amp;".",FIND(".",("W"&amp;A33))+1)-FIND(".",("W"&amp;A33))-1)),-1))</f>
        <v>0</v>
      </c>
      <c r="AD33" s="1">
        <f>IF(OR(A33="",L33&lt;3),0,IFERROR(VALUE(RIGHT(("W"&amp;A33),LEN(("W"&amp;A33))-FIND(".",("W"&amp;A33),FIND(".",("W"&amp;A33))+1))),-1))</f>
        <v>0</v>
      </c>
      <c r="AE33" s="1">
        <f>IF(A33="",0,IF(AND(L33&lt;=3,AB33&gt;=1,AB33&lt;=999,AC33&gt;=0,AC33&lt;=999,AD33&gt;=0,AD33&lt;=999,A33=TEXT(AB33,"0")&amp;IF(L33&gt;1,"."&amp;TEXT(AC33,"0"),"")&amp;IF(L33&gt;2,"."&amp;TEXT(AD33,"0"),""),OR(L33&lt;2,AC33&gt;=1),OR(L33&lt;3,AD33&gt;=1)),1,0))</f>
        <v>0</v>
      </c>
      <c r="AF33" s="1"/>
      <c r="AG33" t="str">
        <f>"W"&amp;A33</f>
        <v>W</v>
      </c>
    </row>
    <row r="34" spans="1:33" ht="16.5">
      <c r="A34" s="12" t="str">
        <f>IF(ROW()-9&gt;ROWS(TimingTasks[WBS]),"",IF(AND(INDEX(TimingTasks[WBS],ROW()-9)="",NOT(ISNUMBER(INDEX(TimingTasks[WBS],ROW()-9)))),"",INDEX(TimingTasks[WBS],ROW()-9)))</f>
        <v/>
      </c>
      <c r="B34" s="10" t="str">
        <f>IF(ROW()-9&gt;ROWS(TimingTasks[WBS]),"",IF(AND(INDEX(TimingTasks[任务名称],ROW()-9)="",NOT(ISNUMBER(INDEX(TimingTasks[任务名称],ROW()-9)))),"",INDEX(TimingTasks[任务名称],ROW()-9)))</f>
        <v/>
      </c>
      <c r="C34" s="10" t="str">
        <f>IF(ROW()-9&gt;ROWS(TimingTasks[WBS]),"",IF(AND(INDEX(TimingTasks[负责人],ROW()-9)="",NOT(ISNUMBER(INDEX(TimingTasks[负责人],ROW()-9)))),"",INDEX(TimingTasks[负责人],ROW()-9)))</f>
        <v/>
      </c>
      <c r="D34" s="11" t="str">
        <f>IF(ROW()-9&gt;ROWS(TimingTasks[WBS]),"",IF(AND(INDEX(TimingTasks[输入开始],ROW()-9)="",NOT(ISNUMBER(INDEX(TimingTasks[输入开始],ROW()-9)))),"",INDEX(TimingTasks[输入开始],ROW()-9)))</f>
        <v/>
      </c>
      <c r="E34" s="11" t="str">
        <f>IF(ROW()-9&gt;ROWS(TimingTasks[WBS]),"",IF(AND(INDEX(TimingTasks[输入结束],ROW()-9)="",NOT(ISNUMBER(INDEX(TimingTasks[输入结束],ROW()-9)))),"",INDEX(TimingTasks[输入结束],ROW()-9)))</f>
        <v/>
      </c>
      <c r="F34" s="1" t="str">
        <f>IF(OR(P34=0,K34="汇总",D34="",E34="",E34&lt;D34),"",IF(I34="里程碑",0,NETWORKDAYS(D34,E34)))</f>
        <v/>
      </c>
      <c r="G34" s="15" t="str">
        <f>IF(ROW()-9&gt;ROWS(TimingTasks[WBS]),"",IF(AND(INDEX(TimingTasks[输入完成度],ROW()-9)="",NOT(ISNUMBER(INDEX(TimingTasks[输入完成度],ROW()-9)))),0,INDEX(TimingTasks[输入完成度],ROW()-9)))</f>
        <v/>
      </c>
      <c r="H34" s="10" t="str">
        <f>IF(ROW()-9&gt;ROWS(TimingTasks[WBS]),"",IF(AND(INDEX(TimingTasks[前置任务 WBS],ROW()-9)="",NOT(ISNUMBER(INDEX(TimingTasks[前置任务 WBS],ROW()-9)))),"",INDEX(TimingTasks[前置任务 WBS],ROW()-9)))</f>
        <v/>
      </c>
      <c r="I34" s="10" t="str">
        <f>IF(ROW()-9&gt;ROWS(TimingTasks[WBS]),"",IF(AND(INDEX(TimingTasks[叶子类型],ROW()-9)="",NOT(ISNUMBER(INDEX(TimingTasks[叶子类型],ROW()-9)))),"普通任务",INDEX(TimingTasks[叶子类型],ROW()-9)))</f>
        <v/>
      </c>
      <c r="J34" s="10" t="str">
        <f>IF(ROW()-9&gt;ROWS(TimingTasks[WBS]),"",IF(AND(INDEX(TimingTasks[操作],ROW()-9)="",NOT(ISNUMBER(INDEX(TimingTasks[操作],ROW()-9)))),"保留",INDEX(TimingTasks[操作],ROW()-9)))</f>
        <v/>
      </c>
      <c r="K34" s="1" t="str">
        <f>IF(P34=0,"",IF(OR(AND(L34=1,D34="",E34="",I34&lt;&gt;"里程碑"),COUNTIFS($S$10:$S$109,"&gt;"&amp;S34,$S$10:$S$109,"&lt;"&amp;(S34+IF(L34=1,1000000,IF(L34=2,1000,1))),$P$10:$P$109,1)&gt;0),"汇总",I34))</f>
        <v/>
      </c>
      <c r="L34" s="1" t="str">
        <f>IF(A34="","",LEN(("W"&amp;A34))-LEN(SUBSTITUTE(("W"&amp;A34),".",""))+1)</f>
        <v/>
      </c>
      <c r="M34" s="3" t="str">
        <f>IF(P34=0,"",IF(K34="汇总",IF(COUNTIFS($S$10:$S$109,"&gt;"&amp;S34,$S$10:$S$109,"&lt;"&amp;(S34+IF(L34=1,1000000,IF(L34=2,1000,1))),$AA$10:$AA$109,1)=0,"",_xlfn.MINIFS($Y$10:$Y$109,$S$10:$S$109,"&gt;"&amp;S34,$S$10:$S$109,"&lt;"&amp;(S34+IF(L34=1,1000000,IF(L34=2,1000,1))),$AA$10:$AA$109,1)),IF(AA34=1,D34,"")))</f>
        <v/>
      </c>
      <c r="N34" s="3" t="str">
        <f>IF(P34=0,"",IF(K34="汇总",IF(COUNTIFS($S$10:$S$109,"&gt;"&amp;S34,$S$10:$S$109,"&lt;"&amp;(S34+IF(L34=1,1000000,IF(L34=2,1000,1))),$AA$10:$AA$109,1)=0,"",_xlfn.MAXIFS($Z$10:$Z$109,$S$10:$S$109,"&gt;"&amp;S34,$S$10:$S$109,"&lt;"&amp;(S34+IF(L34=1,1000000,IF(L34=2,1000,1))),$AA$10:$AA$109,1)),IF(AA34=1,E34,"")))</f>
        <v/>
      </c>
      <c r="O34" s="7" t="str">
        <f>IF(K34="汇总",ROUND((IF(P34=0,"",IF(K34="汇总",IF(SUMIFS($Q$10:$Q$109,$S$10:$S$109,"&gt;"&amp;S34,$S$10:$S$109,"&lt;"&amp;(S34+IF(L34=1,1000000,IF(L34=2,1000,1))))=0,0,SUMIFS($R$10:$R$109,$S$10:$S$109,"&gt;"&amp;S34,$S$10:$S$109,"&lt;"&amp;(S34+IF(L34=1,1000000,IF(L34=2,1000,1))))/SUMIFS($Q$10:$Q$109,$S$10:$S$109,"&gt;"&amp;S34,$S$10:$S$109,"&lt;"&amp;(S34+IF(L34=1,1000000,IF(L34=2,1000,1))))),G34)))*100,0)/100,IF(P34=0,"",IF(K34="汇总",IF(SUMIFS($Q$10:$Q$109,$S$10:$S$109,"&gt;"&amp;S34,$S$10:$S$109,"&lt;"&amp;(S34+IF(L34=1,1000000,IF(L34=2,1000,1))))=0,0,SUMIFS($R$10:$R$109,$S$10:$S$109,"&gt;"&amp;S34,$S$10:$S$109,"&lt;"&amp;(S34+IF(L34=1,1000000,IF(L34=2,1000,1))))/SUMIFS($Q$10:$Q$109,$S$10:$S$109,"&gt;"&amp;S34,$S$10:$S$109,"&lt;"&amp;(S34+IF(L34=1,1000000,IF(L34=2,1000,1))))),G34)))</f>
        <v/>
      </c>
      <c r="P34" s="1">
        <f>IF(OR(A34="",B34="",J34="删除",AE34=0,COUNTIFS($AG$10:$AG$109,"W"&amp;A34)&lt;&gt;1,AND(L34&gt;1,COUNTIFS($AG$10:$AG$109,"W"&amp;V34,$B$10:$B$109,"&lt;&gt;")&lt;&gt;1),AND(L34=3,COUNTIFS($AG$10:$AG$109,"W"&amp;W34,$B$10:$B$109,"&lt;&gt;")&lt;&gt;1),COUNTIFS($AG$10:$AG$109,"W"&amp;V34,$J$10:$J$109,"删除")&gt;0,COUNTIFS($AG$10:$AG$109,"W"&amp;W34,$J$10:$J$109,"删除")&gt;0),0,1)</f>
        <v>0</v>
      </c>
      <c r="Q34" s="1">
        <f>IF(AA34=0,0,IF(I34="里程碑",1,F34))</f>
        <v>0</v>
      </c>
      <c r="R34" s="1">
        <f>IF(AA34=0,0,Q34*G34)</f>
        <v>0</v>
      </c>
      <c r="S34" s="1">
        <f>IF(P34=0,1000000000000000,AB34*1000000+AC34*1000+AD34)</f>
        <v>1000000000000000</v>
      </c>
      <c r="T34" s="1">
        <f>IF(P34=0,0,IF(Timing浏览!$D$5="全部",1,IF(Timing浏览!$D$5="仅里程碑",IF(K34="里程碑",1,0),IF(L34&lt;=VALUE(LEFT(Timing浏览!$D$5,1)),1,0))))</f>
        <v>0</v>
      </c>
      <c r="U34" s="1" t="str">
        <f>IF(T34=0,"",COUNTIFS($S$10:$S$109,"&lt;"&amp;S34,$T$10:$T$109,1)+1)</f>
        <v/>
      </c>
      <c r="V34" s="1" t="str">
        <f>IF(OR(A34="",L34=1),"",IF(L34=2,TEXT(AB34,"0"),TEXT(AB34,"0")&amp;"."&amp;TEXT(AC34,"0")))</f>
        <v/>
      </c>
      <c r="W34" s="1" t="str">
        <f>IF(OR(A34="",L34=1),"",TEXT(AB34,"0"))</f>
        <v/>
      </c>
      <c r="X34" s="1" t="str">
        <f>IF(AND(A34="",B34=""),"",IF(OR(A34="",B34=""),"请补编号和名称",IF(AE34=0,"编号需为1至3级正整数",IF(COUNTIFS($AG$10:$AG$109,"W"&amp;A34)&lt;&gt;1,"编号重复",IF(AND(L34&gt;1,COUNTIFS($AG$10:$AG$109,"W"&amp;V34,$B$10:$B$109,"&lt;&gt;")&lt;&gt;1),"缺少父任务",IF(J34="删除","待删除",IF(P34=0,"父任务已删除或无效",IF(K34="汇总",IF(COUNTIFS($S$10:$S$109,"&gt;"&amp;S34,$S$10:$S$109,"&lt;"&amp;(S34+IF(L34=1,1000000,IF(L34=2,1000,1))),$P$10:$P$109,1)=0,"等待子任务","由下级汇总"),IF(OR(D34="",E34=""),"待补日期",IF(E34&lt;D34,"结束早于开始",IF(AND(I34="里程碑",D34&lt;&gt;E34),"里程碑须同日","")))))))))))</f>
        <v/>
      </c>
      <c r="Y34" s="1">
        <f>IF(AA34=1,D34,100000000)</f>
        <v>100000000</v>
      </c>
      <c r="Z34" s="1">
        <f>IF(AA34=1,E34,0)</f>
        <v>0</v>
      </c>
      <c r="AA34" s="1">
        <f>IF(AND(P34=1,K34&lt;&gt;"汇总",ISNUMBER(F34),OR(I34&lt;&gt;"里程碑",D34=E34)),1,0)</f>
        <v>0</v>
      </c>
      <c r="AB34" s="1">
        <f>IF(A34="",0,IFERROR(VALUE(MID(("W"&amp;A34),2,FIND(".",("W"&amp;A34)&amp;".")-2)),-1))</f>
        <v>0</v>
      </c>
      <c r="AC34" s="1">
        <f>IF(OR(A34="",L34&lt;2),0,IFERROR(VALUE(MID(("W"&amp;A34),FIND(".",("W"&amp;A34))+1,FIND(".",("W"&amp;A34)&amp;".",FIND(".",("W"&amp;A34))+1)-FIND(".",("W"&amp;A34))-1)),-1))</f>
        <v>0</v>
      </c>
      <c r="AD34" s="1">
        <f>IF(OR(A34="",L34&lt;3),0,IFERROR(VALUE(RIGHT(("W"&amp;A34),LEN(("W"&amp;A34))-FIND(".",("W"&amp;A34),FIND(".",("W"&amp;A34))+1))),-1))</f>
        <v>0</v>
      </c>
      <c r="AE34" s="1">
        <f>IF(A34="",0,IF(AND(L34&lt;=3,AB34&gt;=1,AB34&lt;=999,AC34&gt;=0,AC34&lt;=999,AD34&gt;=0,AD34&lt;=999,A34=TEXT(AB34,"0")&amp;IF(L34&gt;1,"."&amp;TEXT(AC34,"0"),"")&amp;IF(L34&gt;2,"."&amp;TEXT(AD34,"0"),""),OR(L34&lt;2,AC34&gt;=1),OR(L34&lt;3,AD34&gt;=1)),1,0))</f>
        <v>0</v>
      </c>
      <c r="AF34" s="1"/>
      <c r="AG34" t="str">
        <f>"W"&amp;A34</f>
        <v>W</v>
      </c>
    </row>
    <row r="35" spans="1:33" ht="16.5">
      <c r="A35" s="12" t="str">
        <f>IF(ROW()-9&gt;ROWS(TimingTasks[WBS]),"",IF(AND(INDEX(TimingTasks[WBS],ROW()-9)="",NOT(ISNUMBER(INDEX(TimingTasks[WBS],ROW()-9)))),"",INDEX(TimingTasks[WBS],ROW()-9)))</f>
        <v/>
      </c>
      <c r="B35" s="10" t="str">
        <f>IF(ROW()-9&gt;ROWS(TimingTasks[WBS]),"",IF(AND(INDEX(TimingTasks[任务名称],ROW()-9)="",NOT(ISNUMBER(INDEX(TimingTasks[任务名称],ROW()-9)))),"",INDEX(TimingTasks[任务名称],ROW()-9)))</f>
        <v/>
      </c>
      <c r="C35" s="10" t="str">
        <f>IF(ROW()-9&gt;ROWS(TimingTasks[WBS]),"",IF(AND(INDEX(TimingTasks[负责人],ROW()-9)="",NOT(ISNUMBER(INDEX(TimingTasks[负责人],ROW()-9)))),"",INDEX(TimingTasks[负责人],ROW()-9)))</f>
        <v/>
      </c>
      <c r="D35" s="11" t="str">
        <f>IF(ROW()-9&gt;ROWS(TimingTasks[WBS]),"",IF(AND(INDEX(TimingTasks[输入开始],ROW()-9)="",NOT(ISNUMBER(INDEX(TimingTasks[输入开始],ROW()-9)))),"",INDEX(TimingTasks[输入开始],ROW()-9)))</f>
        <v/>
      </c>
      <c r="E35" s="11" t="str">
        <f>IF(ROW()-9&gt;ROWS(TimingTasks[WBS]),"",IF(AND(INDEX(TimingTasks[输入结束],ROW()-9)="",NOT(ISNUMBER(INDEX(TimingTasks[输入结束],ROW()-9)))),"",INDEX(TimingTasks[输入结束],ROW()-9)))</f>
        <v/>
      </c>
      <c r="F35" s="1" t="str">
        <f>IF(OR(P35=0,K35="汇总",D35="",E35="",E35&lt;D35),"",IF(I35="里程碑",0,NETWORKDAYS(D35,E35)))</f>
        <v/>
      </c>
      <c r="G35" s="15" t="str">
        <f>IF(ROW()-9&gt;ROWS(TimingTasks[WBS]),"",IF(AND(INDEX(TimingTasks[输入完成度],ROW()-9)="",NOT(ISNUMBER(INDEX(TimingTasks[输入完成度],ROW()-9)))),0,INDEX(TimingTasks[输入完成度],ROW()-9)))</f>
        <v/>
      </c>
      <c r="H35" s="10" t="str">
        <f>IF(ROW()-9&gt;ROWS(TimingTasks[WBS]),"",IF(AND(INDEX(TimingTasks[前置任务 WBS],ROW()-9)="",NOT(ISNUMBER(INDEX(TimingTasks[前置任务 WBS],ROW()-9)))),"",INDEX(TimingTasks[前置任务 WBS],ROW()-9)))</f>
        <v/>
      </c>
      <c r="I35" s="10" t="str">
        <f>IF(ROW()-9&gt;ROWS(TimingTasks[WBS]),"",IF(AND(INDEX(TimingTasks[叶子类型],ROW()-9)="",NOT(ISNUMBER(INDEX(TimingTasks[叶子类型],ROW()-9)))),"普通任务",INDEX(TimingTasks[叶子类型],ROW()-9)))</f>
        <v/>
      </c>
      <c r="J35" s="10" t="str">
        <f>IF(ROW()-9&gt;ROWS(TimingTasks[WBS]),"",IF(AND(INDEX(TimingTasks[操作],ROW()-9)="",NOT(ISNUMBER(INDEX(TimingTasks[操作],ROW()-9)))),"保留",INDEX(TimingTasks[操作],ROW()-9)))</f>
        <v/>
      </c>
      <c r="K35" s="1" t="str">
        <f>IF(P35=0,"",IF(OR(AND(L35=1,D35="",E35="",I35&lt;&gt;"里程碑"),COUNTIFS($S$10:$S$109,"&gt;"&amp;S35,$S$10:$S$109,"&lt;"&amp;(S35+IF(L35=1,1000000,IF(L35=2,1000,1))),$P$10:$P$109,1)&gt;0),"汇总",I35))</f>
        <v/>
      </c>
      <c r="L35" s="1" t="str">
        <f>IF(A35="","",LEN(("W"&amp;A35))-LEN(SUBSTITUTE(("W"&amp;A35),".",""))+1)</f>
        <v/>
      </c>
      <c r="M35" s="3" t="str">
        <f>IF(P35=0,"",IF(K35="汇总",IF(COUNTIFS($S$10:$S$109,"&gt;"&amp;S35,$S$10:$S$109,"&lt;"&amp;(S35+IF(L35=1,1000000,IF(L35=2,1000,1))),$AA$10:$AA$109,1)=0,"",_xlfn.MINIFS($Y$10:$Y$109,$S$10:$S$109,"&gt;"&amp;S35,$S$10:$S$109,"&lt;"&amp;(S35+IF(L35=1,1000000,IF(L35=2,1000,1))),$AA$10:$AA$109,1)),IF(AA35=1,D35,"")))</f>
        <v/>
      </c>
      <c r="N35" s="3" t="str">
        <f>IF(P35=0,"",IF(K35="汇总",IF(COUNTIFS($S$10:$S$109,"&gt;"&amp;S35,$S$10:$S$109,"&lt;"&amp;(S35+IF(L35=1,1000000,IF(L35=2,1000,1))),$AA$10:$AA$109,1)=0,"",_xlfn.MAXIFS($Z$10:$Z$109,$S$10:$S$109,"&gt;"&amp;S35,$S$10:$S$109,"&lt;"&amp;(S35+IF(L35=1,1000000,IF(L35=2,1000,1))),$AA$10:$AA$109,1)),IF(AA35=1,E35,"")))</f>
        <v/>
      </c>
      <c r="O35" s="7" t="str">
        <f>IF(K35="汇总",ROUND((IF(P35=0,"",IF(K35="汇总",IF(SUMIFS($Q$10:$Q$109,$S$10:$S$109,"&gt;"&amp;S35,$S$10:$S$109,"&lt;"&amp;(S35+IF(L35=1,1000000,IF(L35=2,1000,1))))=0,0,SUMIFS($R$10:$R$109,$S$10:$S$109,"&gt;"&amp;S35,$S$10:$S$109,"&lt;"&amp;(S35+IF(L35=1,1000000,IF(L35=2,1000,1))))/SUMIFS($Q$10:$Q$109,$S$10:$S$109,"&gt;"&amp;S35,$S$10:$S$109,"&lt;"&amp;(S35+IF(L35=1,1000000,IF(L35=2,1000,1))))),G35)))*100,0)/100,IF(P35=0,"",IF(K35="汇总",IF(SUMIFS($Q$10:$Q$109,$S$10:$S$109,"&gt;"&amp;S35,$S$10:$S$109,"&lt;"&amp;(S35+IF(L35=1,1000000,IF(L35=2,1000,1))))=0,0,SUMIFS($R$10:$R$109,$S$10:$S$109,"&gt;"&amp;S35,$S$10:$S$109,"&lt;"&amp;(S35+IF(L35=1,1000000,IF(L35=2,1000,1))))/SUMIFS($Q$10:$Q$109,$S$10:$S$109,"&gt;"&amp;S35,$S$10:$S$109,"&lt;"&amp;(S35+IF(L35=1,1000000,IF(L35=2,1000,1))))),G35)))</f>
        <v/>
      </c>
      <c r="P35" s="1">
        <f>IF(OR(A35="",B35="",J35="删除",AE35=0,COUNTIFS($AG$10:$AG$109,"W"&amp;A35)&lt;&gt;1,AND(L35&gt;1,COUNTIFS($AG$10:$AG$109,"W"&amp;V35,$B$10:$B$109,"&lt;&gt;")&lt;&gt;1),AND(L35=3,COUNTIFS($AG$10:$AG$109,"W"&amp;W35,$B$10:$B$109,"&lt;&gt;")&lt;&gt;1),COUNTIFS($AG$10:$AG$109,"W"&amp;V35,$J$10:$J$109,"删除")&gt;0,COUNTIFS($AG$10:$AG$109,"W"&amp;W35,$J$10:$J$109,"删除")&gt;0),0,1)</f>
        <v>0</v>
      </c>
      <c r="Q35" s="1">
        <f>IF(AA35=0,0,IF(I35="里程碑",1,F35))</f>
        <v>0</v>
      </c>
      <c r="R35" s="1">
        <f>IF(AA35=0,0,Q35*G35)</f>
        <v>0</v>
      </c>
      <c r="S35" s="1">
        <f>IF(P35=0,1000000000000000,AB35*1000000+AC35*1000+AD35)</f>
        <v>1000000000000000</v>
      </c>
      <c r="T35" s="1">
        <f>IF(P35=0,0,IF(Timing浏览!$D$5="全部",1,IF(Timing浏览!$D$5="仅里程碑",IF(K35="里程碑",1,0),IF(L35&lt;=VALUE(LEFT(Timing浏览!$D$5,1)),1,0))))</f>
        <v>0</v>
      </c>
      <c r="U35" s="1" t="str">
        <f>IF(T35=0,"",COUNTIFS($S$10:$S$109,"&lt;"&amp;S35,$T$10:$T$109,1)+1)</f>
        <v/>
      </c>
      <c r="V35" s="1" t="str">
        <f>IF(OR(A35="",L35=1),"",IF(L35=2,TEXT(AB35,"0"),TEXT(AB35,"0")&amp;"."&amp;TEXT(AC35,"0")))</f>
        <v/>
      </c>
      <c r="W35" s="1" t="str">
        <f>IF(OR(A35="",L35=1),"",TEXT(AB35,"0"))</f>
        <v/>
      </c>
      <c r="X35" s="1" t="str">
        <f>IF(AND(A35="",B35=""),"",IF(OR(A35="",B35=""),"请补编号和名称",IF(AE35=0,"编号需为1至3级正整数",IF(COUNTIFS($AG$10:$AG$109,"W"&amp;A35)&lt;&gt;1,"编号重复",IF(AND(L35&gt;1,COUNTIFS($AG$10:$AG$109,"W"&amp;V35,$B$10:$B$109,"&lt;&gt;")&lt;&gt;1),"缺少父任务",IF(J35="删除","待删除",IF(P35=0,"父任务已删除或无效",IF(K35="汇总",IF(COUNTIFS($S$10:$S$109,"&gt;"&amp;S35,$S$10:$S$109,"&lt;"&amp;(S35+IF(L35=1,1000000,IF(L35=2,1000,1))),$P$10:$P$109,1)=0,"等待子任务","由下级汇总"),IF(OR(D35="",E35=""),"待补日期",IF(E35&lt;D35,"结束早于开始",IF(AND(I35="里程碑",D35&lt;&gt;E35),"里程碑须同日","")))))))))))</f>
        <v/>
      </c>
      <c r="Y35" s="1">
        <f>IF(AA35=1,D35,100000000)</f>
        <v>100000000</v>
      </c>
      <c r="Z35" s="1">
        <f>IF(AA35=1,E35,0)</f>
        <v>0</v>
      </c>
      <c r="AA35" s="1">
        <f>IF(AND(P35=1,K35&lt;&gt;"汇总",ISNUMBER(F35),OR(I35&lt;&gt;"里程碑",D35=E35)),1,0)</f>
        <v>0</v>
      </c>
      <c r="AB35" s="1">
        <f>IF(A35="",0,IFERROR(VALUE(MID(("W"&amp;A35),2,FIND(".",("W"&amp;A35)&amp;".")-2)),-1))</f>
        <v>0</v>
      </c>
      <c r="AC35" s="1">
        <f>IF(OR(A35="",L35&lt;2),0,IFERROR(VALUE(MID(("W"&amp;A35),FIND(".",("W"&amp;A35))+1,FIND(".",("W"&amp;A35)&amp;".",FIND(".",("W"&amp;A35))+1)-FIND(".",("W"&amp;A35))-1)),-1))</f>
        <v>0</v>
      </c>
      <c r="AD35" s="1">
        <f>IF(OR(A35="",L35&lt;3),0,IFERROR(VALUE(RIGHT(("W"&amp;A35),LEN(("W"&amp;A35))-FIND(".",("W"&amp;A35),FIND(".",("W"&amp;A35))+1))),-1))</f>
        <v>0</v>
      </c>
      <c r="AE35" s="1">
        <f>IF(A35="",0,IF(AND(L35&lt;=3,AB35&gt;=1,AB35&lt;=999,AC35&gt;=0,AC35&lt;=999,AD35&gt;=0,AD35&lt;=999,A35=TEXT(AB35,"0")&amp;IF(L35&gt;1,"."&amp;TEXT(AC35,"0"),"")&amp;IF(L35&gt;2,"."&amp;TEXT(AD35,"0"),""),OR(L35&lt;2,AC35&gt;=1),OR(L35&lt;3,AD35&gt;=1)),1,0))</f>
        <v>0</v>
      </c>
      <c r="AF35" s="1"/>
      <c r="AG35" t="str">
        <f>"W"&amp;A35</f>
        <v>W</v>
      </c>
    </row>
    <row r="36" spans="1:33" ht="16.5">
      <c r="A36" s="12" t="str">
        <f>IF(ROW()-9&gt;ROWS(TimingTasks[WBS]),"",IF(AND(INDEX(TimingTasks[WBS],ROW()-9)="",NOT(ISNUMBER(INDEX(TimingTasks[WBS],ROW()-9)))),"",INDEX(TimingTasks[WBS],ROW()-9)))</f>
        <v/>
      </c>
      <c r="B36" s="10" t="str">
        <f>IF(ROW()-9&gt;ROWS(TimingTasks[WBS]),"",IF(AND(INDEX(TimingTasks[任务名称],ROW()-9)="",NOT(ISNUMBER(INDEX(TimingTasks[任务名称],ROW()-9)))),"",INDEX(TimingTasks[任务名称],ROW()-9)))</f>
        <v/>
      </c>
      <c r="C36" s="10" t="str">
        <f>IF(ROW()-9&gt;ROWS(TimingTasks[WBS]),"",IF(AND(INDEX(TimingTasks[负责人],ROW()-9)="",NOT(ISNUMBER(INDEX(TimingTasks[负责人],ROW()-9)))),"",INDEX(TimingTasks[负责人],ROW()-9)))</f>
        <v/>
      </c>
      <c r="D36" s="11" t="str">
        <f>IF(ROW()-9&gt;ROWS(TimingTasks[WBS]),"",IF(AND(INDEX(TimingTasks[输入开始],ROW()-9)="",NOT(ISNUMBER(INDEX(TimingTasks[输入开始],ROW()-9)))),"",INDEX(TimingTasks[输入开始],ROW()-9)))</f>
        <v/>
      </c>
      <c r="E36" s="11" t="str">
        <f>IF(ROW()-9&gt;ROWS(TimingTasks[WBS]),"",IF(AND(INDEX(TimingTasks[输入结束],ROW()-9)="",NOT(ISNUMBER(INDEX(TimingTasks[输入结束],ROW()-9)))),"",INDEX(TimingTasks[输入结束],ROW()-9)))</f>
        <v/>
      </c>
      <c r="F36" s="1" t="str">
        <f>IF(OR(P36=0,K36="汇总",D36="",E36="",E36&lt;D36),"",IF(I36="里程碑",0,NETWORKDAYS(D36,E36)))</f>
        <v/>
      </c>
      <c r="G36" s="15" t="str">
        <f>IF(ROW()-9&gt;ROWS(TimingTasks[WBS]),"",IF(AND(INDEX(TimingTasks[输入完成度],ROW()-9)="",NOT(ISNUMBER(INDEX(TimingTasks[输入完成度],ROW()-9)))),0,INDEX(TimingTasks[输入完成度],ROW()-9)))</f>
        <v/>
      </c>
      <c r="H36" s="10" t="str">
        <f>IF(ROW()-9&gt;ROWS(TimingTasks[WBS]),"",IF(AND(INDEX(TimingTasks[前置任务 WBS],ROW()-9)="",NOT(ISNUMBER(INDEX(TimingTasks[前置任务 WBS],ROW()-9)))),"",INDEX(TimingTasks[前置任务 WBS],ROW()-9)))</f>
        <v/>
      </c>
      <c r="I36" s="10" t="str">
        <f>IF(ROW()-9&gt;ROWS(TimingTasks[WBS]),"",IF(AND(INDEX(TimingTasks[叶子类型],ROW()-9)="",NOT(ISNUMBER(INDEX(TimingTasks[叶子类型],ROW()-9)))),"普通任务",INDEX(TimingTasks[叶子类型],ROW()-9)))</f>
        <v/>
      </c>
      <c r="J36" s="10" t="str">
        <f>IF(ROW()-9&gt;ROWS(TimingTasks[WBS]),"",IF(AND(INDEX(TimingTasks[操作],ROW()-9)="",NOT(ISNUMBER(INDEX(TimingTasks[操作],ROW()-9)))),"保留",INDEX(TimingTasks[操作],ROW()-9)))</f>
        <v/>
      </c>
      <c r="K36" s="1" t="str">
        <f>IF(P36=0,"",IF(OR(AND(L36=1,D36="",E36="",I36&lt;&gt;"里程碑"),COUNTIFS($S$10:$S$109,"&gt;"&amp;S36,$S$10:$S$109,"&lt;"&amp;(S36+IF(L36=1,1000000,IF(L36=2,1000,1))),$P$10:$P$109,1)&gt;0),"汇总",I36))</f>
        <v/>
      </c>
      <c r="L36" s="1" t="str">
        <f>IF(A36="","",LEN(("W"&amp;A36))-LEN(SUBSTITUTE(("W"&amp;A36),".",""))+1)</f>
        <v/>
      </c>
      <c r="M36" s="3" t="str">
        <f>IF(P36=0,"",IF(K36="汇总",IF(COUNTIFS($S$10:$S$109,"&gt;"&amp;S36,$S$10:$S$109,"&lt;"&amp;(S36+IF(L36=1,1000000,IF(L36=2,1000,1))),$AA$10:$AA$109,1)=0,"",_xlfn.MINIFS($Y$10:$Y$109,$S$10:$S$109,"&gt;"&amp;S36,$S$10:$S$109,"&lt;"&amp;(S36+IF(L36=1,1000000,IF(L36=2,1000,1))),$AA$10:$AA$109,1)),IF(AA36=1,D36,"")))</f>
        <v/>
      </c>
      <c r="N36" s="3" t="str">
        <f>IF(P36=0,"",IF(K36="汇总",IF(COUNTIFS($S$10:$S$109,"&gt;"&amp;S36,$S$10:$S$109,"&lt;"&amp;(S36+IF(L36=1,1000000,IF(L36=2,1000,1))),$AA$10:$AA$109,1)=0,"",_xlfn.MAXIFS($Z$10:$Z$109,$S$10:$S$109,"&gt;"&amp;S36,$S$10:$S$109,"&lt;"&amp;(S36+IF(L36=1,1000000,IF(L36=2,1000,1))),$AA$10:$AA$109,1)),IF(AA36=1,E36,"")))</f>
        <v/>
      </c>
      <c r="O36" s="7" t="str">
        <f>IF(K36="汇总",ROUND((IF(P36=0,"",IF(K36="汇总",IF(SUMIFS($Q$10:$Q$109,$S$10:$S$109,"&gt;"&amp;S36,$S$10:$S$109,"&lt;"&amp;(S36+IF(L36=1,1000000,IF(L36=2,1000,1))))=0,0,SUMIFS($R$10:$R$109,$S$10:$S$109,"&gt;"&amp;S36,$S$10:$S$109,"&lt;"&amp;(S36+IF(L36=1,1000000,IF(L36=2,1000,1))))/SUMIFS($Q$10:$Q$109,$S$10:$S$109,"&gt;"&amp;S36,$S$10:$S$109,"&lt;"&amp;(S36+IF(L36=1,1000000,IF(L36=2,1000,1))))),G36)))*100,0)/100,IF(P36=0,"",IF(K36="汇总",IF(SUMIFS($Q$10:$Q$109,$S$10:$S$109,"&gt;"&amp;S36,$S$10:$S$109,"&lt;"&amp;(S36+IF(L36=1,1000000,IF(L36=2,1000,1))))=0,0,SUMIFS($R$10:$R$109,$S$10:$S$109,"&gt;"&amp;S36,$S$10:$S$109,"&lt;"&amp;(S36+IF(L36=1,1000000,IF(L36=2,1000,1))))/SUMIFS($Q$10:$Q$109,$S$10:$S$109,"&gt;"&amp;S36,$S$10:$S$109,"&lt;"&amp;(S36+IF(L36=1,1000000,IF(L36=2,1000,1))))),G36)))</f>
        <v/>
      </c>
      <c r="P36" s="1">
        <f>IF(OR(A36="",B36="",J36="删除",AE36=0,COUNTIFS($AG$10:$AG$109,"W"&amp;A36)&lt;&gt;1,AND(L36&gt;1,COUNTIFS($AG$10:$AG$109,"W"&amp;V36,$B$10:$B$109,"&lt;&gt;")&lt;&gt;1),AND(L36=3,COUNTIFS($AG$10:$AG$109,"W"&amp;W36,$B$10:$B$109,"&lt;&gt;")&lt;&gt;1),COUNTIFS($AG$10:$AG$109,"W"&amp;V36,$J$10:$J$109,"删除")&gt;0,COUNTIFS($AG$10:$AG$109,"W"&amp;W36,$J$10:$J$109,"删除")&gt;0),0,1)</f>
        <v>0</v>
      </c>
      <c r="Q36" s="1">
        <f>IF(AA36=0,0,IF(I36="里程碑",1,F36))</f>
        <v>0</v>
      </c>
      <c r="R36" s="1">
        <f>IF(AA36=0,0,Q36*G36)</f>
        <v>0</v>
      </c>
      <c r="S36" s="1">
        <f>IF(P36=0,1000000000000000,AB36*1000000+AC36*1000+AD36)</f>
        <v>1000000000000000</v>
      </c>
      <c r="T36" s="1">
        <f>IF(P36=0,0,IF(Timing浏览!$D$5="全部",1,IF(Timing浏览!$D$5="仅里程碑",IF(K36="里程碑",1,0),IF(L36&lt;=VALUE(LEFT(Timing浏览!$D$5,1)),1,0))))</f>
        <v>0</v>
      </c>
      <c r="U36" s="1" t="str">
        <f>IF(T36=0,"",COUNTIFS($S$10:$S$109,"&lt;"&amp;S36,$T$10:$T$109,1)+1)</f>
        <v/>
      </c>
      <c r="V36" s="1" t="str">
        <f>IF(OR(A36="",L36=1),"",IF(L36=2,TEXT(AB36,"0"),TEXT(AB36,"0")&amp;"."&amp;TEXT(AC36,"0")))</f>
        <v/>
      </c>
      <c r="W36" s="1" t="str">
        <f>IF(OR(A36="",L36=1),"",TEXT(AB36,"0"))</f>
        <v/>
      </c>
      <c r="X36" s="1" t="str">
        <f>IF(AND(A36="",B36=""),"",IF(OR(A36="",B36=""),"请补编号和名称",IF(AE36=0,"编号需为1至3级正整数",IF(COUNTIFS($AG$10:$AG$109,"W"&amp;A36)&lt;&gt;1,"编号重复",IF(AND(L36&gt;1,COUNTIFS($AG$10:$AG$109,"W"&amp;V36,$B$10:$B$109,"&lt;&gt;")&lt;&gt;1),"缺少父任务",IF(J36="删除","待删除",IF(P36=0,"父任务已删除或无效",IF(K36="汇总",IF(COUNTIFS($S$10:$S$109,"&gt;"&amp;S36,$S$10:$S$109,"&lt;"&amp;(S36+IF(L36=1,1000000,IF(L36=2,1000,1))),$P$10:$P$109,1)=0,"等待子任务","由下级汇总"),IF(OR(D36="",E36=""),"待补日期",IF(E36&lt;D36,"结束早于开始",IF(AND(I36="里程碑",D36&lt;&gt;E36),"里程碑须同日","")))))))))))</f>
        <v/>
      </c>
      <c r="Y36" s="1">
        <f>IF(AA36=1,D36,100000000)</f>
        <v>100000000</v>
      </c>
      <c r="Z36" s="1">
        <f>IF(AA36=1,E36,0)</f>
        <v>0</v>
      </c>
      <c r="AA36" s="1">
        <f>IF(AND(P36=1,K36&lt;&gt;"汇总",ISNUMBER(F36),OR(I36&lt;&gt;"里程碑",D36=E36)),1,0)</f>
        <v>0</v>
      </c>
      <c r="AB36" s="1">
        <f>IF(A36="",0,IFERROR(VALUE(MID(("W"&amp;A36),2,FIND(".",("W"&amp;A36)&amp;".")-2)),-1))</f>
        <v>0</v>
      </c>
      <c r="AC36" s="1">
        <f>IF(OR(A36="",L36&lt;2),0,IFERROR(VALUE(MID(("W"&amp;A36),FIND(".",("W"&amp;A36))+1,FIND(".",("W"&amp;A36)&amp;".",FIND(".",("W"&amp;A36))+1)-FIND(".",("W"&amp;A36))-1)),-1))</f>
        <v>0</v>
      </c>
      <c r="AD36" s="1">
        <f>IF(OR(A36="",L36&lt;3),0,IFERROR(VALUE(RIGHT(("W"&amp;A36),LEN(("W"&amp;A36))-FIND(".",("W"&amp;A36),FIND(".",("W"&amp;A36))+1))),-1))</f>
        <v>0</v>
      </c>
      <c r="AE36" s="1">
        <f>IF(A36="",0,IF(AND(L36&lt;=3,AB36&gt;=1,AB36&lt;=999,AC36&gt;=0,AC36&lt;=999,AD36&gt;=0,AD36&lt;=999,A36=TEXT(AB36,"0")&amp;IF(L36&gt;1,"."&amp;TEXT(AC36,"0"),"")&amp;IF(L36&gt;2,"."&amp;TEXT(AD36,"0"),""),OR(L36&lt;2,AC36&gt;=1),OR(L36&lt;3,AD36&gt;=1)),1,0))</f>
        <v>0</v>
      </c>
      <c r="AF36" s="1"/>
      <c r="AG36" t="str">
        <f>"W"&amp;A36</f>
        <v>W</v>
      </c>
    </row>
    <row r="37" spans="1:33" ht="16.5">
      <c r="A37" s="12" t="str">
        <f>IF(ROW()-9&gt;ROWS(TimingTasks[WBS]),"",IF(AND(INDEX(TimingTasks[WBS],ROW()-9)="",NOT(ISNUMBER(INDEX(TimingTasks[WBS],ROW()-9)))),"",INDEX(TimingTasks[WBS],ROW()-9)))</f>
        <v/>
      </c>
      <c r="B37" s="10" t="str">
        <f>IF(ROW()-9&gt;ROWS(TimingTasks[WBS]),"",IF(AND(INDEX(TimingTasks[任务名称],ROW()-9)="",NOT(ISNUMBER(INDEX(TimingTasks[任务名称],ROW()-9)))),"",INDEX(TimingTasks[任务名称],ROW()-9)))</f>
        <v/>
      </c>
      <c r="C37" s="10" t="str">
        <f>IF(ROW()-9&gt;ROWS(TimingTasks[WBS]),"",IF(AND(INDEX(TimingTasks[负责人],ROW()-9)="",NOT(ISNUMBER(INDEX(TimingTasks[负责人],ROW()-9)))),"",INDEX(TimingTasks[负责人],ROW()-9)))</f>
        <v/>
      </c>
      <c r="D37" s="11" t="str">
        <f>IF(ROW()-9&gt;ROWS(TimingTasks[WBS]),"",IF(AND(INDEX(TimingTasks[输入开始],ROW()-9)="",NOT(ISNUMBER(INDEX(TimingTasks[输入开始],ROW()-9)))),"",INDEX(TimingTasks[输入开始],ROW()-9)))</f>
        <v/>
      </c>
      <c r="E37" s="11" t="str">
        <f>IF(ROW()-9&gt;ROWS(TimingTasks[WBS]),"",IF(AND(INDEX(TimingTasks[输入结束],ROW()-9)="",NOT(ISNUMBER(INDEX(TimingTasks[输入结束],ROW()-9)))),"",INDEX(TimingTasks[输入结束],ROW()-9)))</f>
        <v/>
      </c>
      <c r="F37" s="1" t="str">
        <f>IF(OR(P37=0,K37="汇总",D37="",E37="",E37&lt;D37),"",IF(I37="里程碑",0,NETWORKDAYS(D37,E37)))</f>
        <v/>
      </c>
      <c r="G37" s="15" t="str">
        <f>IF(ROW()-9&gt;ROWS(TimingTasks[WBS]),"",IF(AND(INDEX(TimingTasks[输入完成度],ROW()-9)="",NOT(ISNUMBER(INDEX(TimingTasks[输入完成度],ROW()-9)))),0,INDEX(TimingTasks[输入完成度],ROW()-9)))</f>
        <v/>
      </c>
      <c r="H37" s="10" t="str">
        <f>IF(ROW()-9&gt;ROWS(TimingTasks[WBS]),"",IF(AND(INDEX(TimingTasks[前置任务 WBS],ROW()-9)="",NOT(ISNUMBER(INDEX(TimingTasks[前置任务 WBS],ROW()-9)))),"",INDEX(TimingTasks[前置任务 WBS],ROW()-9)))</f>
        <v/>
      </c>
      <c r="I37" s="10" t="str">
        <f>IF(ROW()-9&gt;ROWS(TimingTasks[WBS]),"",IF(AND(INDEX(TimingTasks[叶子类型],ROW()-9)="",NOT(ISNUMBER(INDEX(TimingTasks[叶子类型],ROW()-9)))),"普通任务",INDEX(TimingTasks[叶子类型],ROW()-9)))</f>
        <v/>
      </c>
      <c r="J37" s="10" t="str">
        <f>IF(ROW()-9&gt;ROWS(TimingTasks[WBS]),"",IF(AND(INDEX(TimingTasks[操作],ROW()-9)="",NOT(ISNUMBER(INDEX(TimingTasks[操作],ROW()-9)))),"保留",INDEX(TimingTasks[操作],ROW()-9)))</f>
        <v/>
      </c>
      <c r="K37" s="1" t="str">
        <f>IF(P37=0,"",IF(OR(AND(L37=1,D37="",E37="",I37&lt;&gt;"里程碑"),COUNTIFS($S$10:$S$109,"&gt;"&amp;S37,$S$10:$S$109,"&lt;"&amp;(S37+IF(L37=1,1000000,IF(L37=2,1000,1))),$P$10:$P$109,1)&gt;0),"汇总",I37))</f>
        <v/>
      </c>
      <c r="L37" s="1" t="str">
        <f>IF(A37="","",LEN(("W"&amp;A37))-LEN(SUBSTITUTE(("W"&amp;A37),".",""))+1)</f>
        <v/>
      </c>
      <c r="M37" s="3" t="str">
        <f>IF(P37=0,"",IF(K37="汇总",IF(COUNTIFS($S$10:$S$109,"&gt;"&amp;S37,$S$10:$S$109,"&lt;"&amp;(S37+IF(L37=1,1000000,IF(L37=2,1000,1))),$AA$10:$AA$109,1)=0,"",_xlfn.MINIFS($Y$10:$Y$109,$S$10:$S$109,"&gt;"&amp;S37,$S$10:$S$109,"&lt;"&amp;(S37+IF(L37=1,1000000,IF(L37=2,1000,1))),$AA$10:$AA$109,1)),IF(AA37=1,D37,"")))</f>
        <v/>
      </c>
      <c r="N37" s="3" t="str">
        <f>IF(P37=0,"",IF(K37="汇总",IF(COUNTIFS($S$10:$S$109,"&gt;"&amp;S37,$S$10:$S$109,"&lt;"&amp;(S37+IF(L37=1,1000000,IF(L37=2,1000,1))),$AA$10:$AA$109,1)=0,"",_xlfn.MAXIFS($Z$10:$Z$109,$S$10:$S$109,"&gt;"&amp;S37,$S$10:$S$109,"&lt;"&amp;(S37+IF(L37=1,1000000,IF(L37=2,1000,1))),$AA$10:$AA$109,1)),IF(AA37=1,E37,"")))</f>
        <v/>
      </c>
      <c r="O37" s="7" t="str">
        <f>IF(K37="汇总",ROUND((IF(P37=0,"",IF(K37="汇总",IF(SUMIFS($Q$10:$Q$109,$S$10:$S$109,"&gt;"&amp;S37,$S$10:$S$109,"&lt;"&amp;(S37+IF(L37=1,1000000,IF(L37=2,1000,1))))=0,0,SUMIFS($R$10:$R$109,$S$10:$S$109,"&gt;"&amp;S37,$S$10:$S$109,"&lt;"&amp;(S37+IF(L37=1,1000000,IF(L37=2,1000,1))))/SUMIFS($Q$10:$Q$109,$S$10:$S$109,"&gt;"&amp;S37,$S$10:$S$109,"&lt;"&amp;(S37+IF(L37=1,1000000,IF(L37=2,1000,1))))),G37)))*100,0)/100,IF(P37=0,"",IF(K37="汇总",IF(SUMIFS($Q$10:$Q$109,$S$10:$S$109,"&gt;"&amp;S37,$S$10:$S$109,"&lt;"&amp;(S37+IF(L37=1,1000000,IF(L37=2,1000,1))))=0,0,SUMIFS($R$10:$R$109,$S$10:$S$109,"&gt;"&amp;S37,$S$10:$S$109,"&lt;"&amp;(S37+IF(L37=1,1000000,IF(L37=2,1000,1))))/SUMIFS($Q$10:$Q$109,$S$10:$S$109,"&gt;"&amp;S37,$S$10:$S$109,"&lt;"&amp;(S37+IF(L37=1,1000000,IF(L37=2,1000,1))))),G37)))</f>
        <v/>
      </c>
      <c r="P37" s="1">
        <f>IF(OR(A37="",B37="",J37="删除",AE37=0,COUNTIFS($AG$10:$AG$109,"W"&amp;A37)&lt;&gt;1,AND(L37&gt;1,COUNTIFS($AG$10:$AG$109,"W"&amp;V37,$B$10:$B$109,"&lt;&gt;")&lt;&gt;1),AND(L37=3,COUNTIFS($AG$10:$AG$109,"W"&amp;W37,$B$10:$B$109,"&lt;&gt;")&lt;&gt;1),COUNTIFS($AG$10:$AG$109,"W"&amp;V37,$J$10:$J$109,"删除")&gt;0,COUNTIFS($AG$10:$AG$109,"W"&amp;W37,$J$10:$J$109,"删除")&gt;0),0,1)</f>
        <v>0</v>
      </c>
      <c r="Q37" s="1">
        <f>IF(AA37=0,0,IF(I37="里程碑",1,F37))</f>
        <v>0</v>
      </c>
      <c r="R37" s="1">
        <f>IF(AA37=0,0,Q37*G37)</f>
        <v>0</v>
      </c>
      <c r="S37" s="1">
        <f>IF(P37=0,1000000000000000,AB37*1000000+AC37*1000+AD37)</f>
        <v>1000000000000000</v>
      </c>
      <c r="T37" s="1">
        <f>IF(P37=0,0,IF(Timing浏览!$D$5="全部",1,IF(Timing浏览!$D$5="仅里程碑",IF(K37="里程碑",1,0),IF(L37&lt;=VALUE(LEFT(Timing浏览!$D$5,1)),1,0))))</f>
        <v>0</v>
      </c>
      <c r="U37" s="1" t="str">
        <f>IF(T37=0,"",COUNTIFS($S$10:$S$109,"&lt;"&amp;S37,$T$10:$T$109,1)+1)</f>
        <v/>
      </c>
      <c r="V37" s="1" t="str">
        <f>IF(OR(A37="",L37=1),"",IF(L37=2,TEXT(AB37,"0"),TEXT(AB37,"0")&amp;"."&amp;TEXT(AC37,"0")))</f>
        <v/>
      </c>
      <c r="W37" s="1" t="str">
        <f>IF(OR(A37="",L37=1),"",TEXT(AB37,"0"))</f>
        <v/>
      </c>
      <c r="X37" s="1" t="str">
        <f>IF(AND(A37="",B37=""),"",IF(OR(A37="",B37=""),"请补编号和名称",IF(AE37=0,"编号需为1至3级正整数",IF(COUNTIFS($AG$10:$AG$109,"W"&amp;A37)&lt;&gt;1,"编号重复",IF(AND(L37&gt;1,COUNTIFS($AG$10:$AG$109,"W"&amp;V37,$B$10:$B$109,"&lt;&gt;")&lt;&gt;1),"缺少父任务",IF(J37="删除","待删除",IF(P37=0,"父任务已删除或无效",IF(K37="汇总",IF(COUNTIFS($S$10:$S$109,"&gt;"&amp;S37,$S$10:$S$109,"&lt;"&amp;(S37+IF(L37=1,1000000,IF(L37=2,1000,1))),$P$10:$P$109,1)=0,"等待子任务","由下级汇总"),IF(OR(D37="",E37=""),"待补日期",IF(E37&lt;D37,"结束早于开始",IF(AND(I37="里程碑",D37&lt;&gt;E37),"里程碑须同日","")))))))))))</f>
        <v/>
      </c>
      <c r="Y37" s="1">
        <f>IF(AA37=1,D37,100000000)</f>
        <v>100000000</v>
      </c>
      <c r="Z37" s="1">
        <f>IF(AA37=1,E37,0)</f>
        <v>0</v>
      </c>
      <c r="AA37" s="1">
        <f>IF(AND(P37=1,K37&lt;&gt;"汇总",ISNUMBER(F37),OR(I37&lt;&gt;"里程碑",D37=E37)),1,0)</f>
        <v>0</v>
      </c>
      <c r="AB37" s="1">
        <f>IF(A37="",0,IFERROR(VALUE(MID(("W"&amp;A37),2,FIND(".",("W"&amp;A37)&amp;".")-2)),-1))</f>
        <v>0</v>
      </c>
      <c r="AC37" s="1">
        <f>IF(OR(A37="",L37&lt;2),0,IFERROR(VALUE(MID(("W"&amp;A37),FIND(".",("W"&amp;A37))+1,FIND(".",("W"&amp;A37)&amp;".",FIND(".",("W"&amp;A37))+1)-FIND(".",("W"&amp;A37))-1)),-1))</f>
        <v>0</v>
      </c>
      <c r="AD37" s="1">
        <f>IF(OR(A37="",L37&lt;3),0,IFERROR(VALUE(RIGHT(("W"&amp;A37),LEN(("W"&amp;A37))-FIND(".",("W"&amp;A37),FIND(".",("W"&amp;A37))+1))),-1))</f>
        <v>0</v>
      </c>
      <c r="AE37" s="1">
        <f>IF(A37="",0,IF(AND(L37&lt;=3,AB37&gt;=1,AB37&lt;=999,AC37&gt;=0,AC37&lt;=999,AD37&gt;=0,AD37&lt;=999,A37=TEXT(AB37,"0")&amp;IF(L37&gt;1,"."&amp;TEXT(AC37,"0"),"")&amp;IF(L37&gt;2,"."&amp;TEXT(AD37,"0"),""),OR(L37&lt;2,AC37&gt;=1),OR(L37&lt;3,AD37&gt;=1)),1,0))</f>
        <v>0</v>
      </c>
      <c r="AF37" s="1"/>
      <c r="AG37" t="str">
        <f>"W"&amp;A37</f>
        <v>W</v>
      </c>
    </row>
    <row r="38" spans="1:33" ht="16.5">
      <c r="A38" s="12" t="str">
        <f>IF(ROW()-9&gt;ROWS(TimingTasks[WBS]),"",IF(AND(INDEX(TimingTasks[WBS],ROW()-9)="",NOT(ISNUMBER(INDEX(TimingTasks[WBS],ROW()-9)))),"",INDEX(TimingTasks[WBS],ROW()-9)))</f>
        <v/>
      </c>
      <c r="B38" s="10" t="str">
        <f>IF(ROW()-9&gt;ROWS(TimingTasks[WBS]),"",IF(AND(INDEX(TimingTasks[任务名称],ROW()-9)="",NOT(ISNUMBER(INDEX(TimingTasks[任务名称],ROW()-9)))),"",INDEX(TimingTasks[任务名称],ROW()-9)))</f>
        <v/>
      </c>
      <c r="C38" s="10" t="str">
        <f>IF(ROW()-9&gt;ROWS(TimingTasks[WBS]),"",IF(AND(INDEX(TimingTasks[负责人],ROW()-9)="",NOT(ISNUMBER(INDEX(TimingTasks[负责人],ROW()-9)))),"",INDEX(TimingTasks[负责人],ROW()-9)))</f>
        <v/>
      </c>
      <c r="D38" s="11" t="str">
        <f>IF(ROW()-9&gt;ROWS(TimingTasks[WBS]),"",IF(AND(INDEX(TimingTasks[输入开始],ROW()-9)="",NOT(ISNUMBER(INDEX(TimingTasks[输入开始],ROW()-9)))),"",INDEX(TimingTasks[输入开始],ROW()-9)))</f>
        <v/>
      </c>
      <c r="E38" s="11" t="str">
        <f>IF(ROW()-9&gt;ROWS(TimingTasks[WBS]),"",IF(AND(INDEX(TimingTasks[输入结束],ROW()-9)="",NOT(ISNUMBER(INDEX(TimingTasks[输入结束],ROW()-9)))),"",INDEX(TimingTasks[输入结束],ROW()-9)))</f>
        <v/>
      </c>
      <c r="F38" s="1" t="str">
        <f>IF(OR(P38=0,K38="汇总",D38="",E38="",E38&lt;D38),"",IF(I38="里程碑",0,NETWORKDAYS(D38,E38)))</f>
        <v/>
      </c>
      <c r="G38" s="15" t="str">
        <f>IF(ROW()-9&gt;ROWS(TimingTasks[WBS]),"",IF(AND(INDEX(TimingTasks[输入完成度],ROW()-9)="",NOT(ISNUMBER(INDEX(TimingTasks[输入完成度],ROW()-9)))),0,INDEX(TimingTasks[输入完成度],ROW()-9)))</f>
        <v/>
      </c>
      <c r="H38" s="10" t="str">
        <f>IF(ROW()-9&gt;ROWS(TimingTasks[WBS]),"",IF(AND(INDEX(TimingTasks[前置任务 WBS],ROW()-9)="",NOT(ISNUMBER(INDEX(TimingTasks[前置任务 WBS],ROW()-9)))),"",INDEX(TimingTasks[前置任务 WBS],ROW()-9)))</f>
        <v/>
      </c>
      <c r="I38" s="10" t="str">
        <f>IF(ROW()-9&gt;ROWS(TimingTasks[WBS]),"",IF(AND(INDEX(TimingTasks[叶子类型],ROW()-9)="",NOT(ISNUMBER(INDEX(TimingTasks[叶子类型],ROW()-9)))),"普通任务",INDEX(TimingTasks[叶子类型],ROW()-9)))</f>
        <v/>
      </c>
      <c r="J38" s="10" t="str">
        <f>IF(ROW()-9&gt;ROWS(TimingTasks[WBS]),"",IF(AND(INDEX(TimingTasks[操作],ROW()-9)="",NOT(ISNUMBER(INDEX(TimingTasks[操作],ROW()-9)))),"保留",INDEX(TimingTasks[操作],ROW()-9)))</f>
        <v/>
      </c>
      <c r="K38" s="1" t="str">
        <f>IF(P38=0,"",IF(OR(AND(L38=1,D38="",E38="",I38&lt;&gt;"里程碑"),COUNTIFS($S$10:$S$109,"&gt;"&amp;S38,$S$10:$S$109,"&lt;"&amp;(S38+IF(L38=1,1000000,IF(L38=2,1000,1))),$P$10:$P$109,1)&gt;0),"汇总",I38))</f>
        <v/>
      </c>
      <c r="L38" s="1" t="str">
        <f>IF(A38="","",LEN(("W"&amp;A38))-LEN(SUBSTITUTE(("W"&amp;A38),".",""))+1)</f>
        <v/>
      </c>
      <c r="M38" s="3" t="str">
        <f>IF(P38=0,"",IF(K38="汇总",IF(COUNTIFS($S$10:$S$109,"&gt;"&amp;S38,$S$10:$S$109,"&lt;"&amp;(S38+IF(L38=1,1000000,IF(L38=2,1000,1))),$AA$10:$AA$109,1)=0,"",_xlfn.MINIFS($Y$10:$Y$109,$S$10:$S$109,"&gt;"&amp;S38,$S$10:$S$109,"&lt;"&amp;(S38+IF(L38=1,1000000,IF(L38=2,1000,1))),$AA$10:$AA$109,1)),IF(AA38=1,D38,"")))</f>
        <v/>
      </c>
      <c r="N38" s="3" t="str">
        <f>IF(P38=0,"",IF(K38="汇总",IF(COUNTIFS($S$10:$S$109,"&gt;"&amp;S38,$S$10:$S$109,"&lt;"&amp;(S38+IF(L38=1,1000000,IF(L38=2,1000,1))),$AA$10:$AA$109,1)=0,"",_xlfn.MAXIFS($Z$10:$Z$109,$S$10:$S$109,"&gt;"&amp;S38,$S$10:$S$109,"&lt;"&amp;(S38+IF(L38=1,1000000,IF(L38=2,1000,1))),$AA$10:$AA$109,1)),IF(AA38=1,E38,"")))</f>
        <v/>
      </c>
      <c r="O38" s="7" t="str">
        <f>IF(K38="汇总",ROUND((IF(P38=0,"",IF(K38="汇总",IF(SUMIFS($Q$10:$Q$109,$S$10:$S$109,"&gt;"&amp;S38,$S$10:$S$109,"&lt;"&amp;(S38+IF(L38=1,1000000,IF(L38=2,1000,1))))=0,0,SUMIFS($R$10:$R$109,$S$10:$S$109,"&gt;"&amp;S38,$S$10:$S$109,"&lt;"&amp;(S38+IF(L38=1,1000000,IF(L38=2,1000,1))))/SUMIFS($Q$10:$Q$109,$S$10:$S$109,"&gt;"&amp;S38,$S$10:$S$109,"&lt;"&amp;(S38+IF(L38=1,1000000,IF(L38=2,1000,1))))),G38)))*100,0)/100,IF(P38=0,"",IF(K38="汇总",IF(SUMIFS($Q$10:$Q$109,$S$10:$S$109,"&gt;"&amp;S38,$S$10:$S$109,"&lt;"&amp;(S38+IF(L38=1,1000000,IF(L38=2,1000,1))))=0,0,SUMIFS($R$10:$R$109,$S$10:$S$109,"&gt;"&amp;S38,$S$10:$S$109,"&lt;"&amp;(S38+IF(L38=1,1000000,IF(L38=2,1000,1))))/SUMIFS($Q$10:$Q$109,$S$10:$S$109,"&gt;"&amp;S38,$S$10:$S$109,"&lt;"&amp;(S38+IF(L38=1,1000000,IF(L38=2,1000,1))))),G38)))</f>
        <v/>
      </c>
      <c r="P38" s="1">
        <f>IF(OR(A38="",B38="",J38="删除",AE38=0,COUNTIFS($AG$10:$AG$109,"W"&amp;A38)&lt;&gt;1,AND(L38&gt;1,COUNTIFS($AG$10:$AG$109,"W"&amp;V38,$B$10:$B$109,"&lt;&gt;")&lt;&gt;1),AND(L38=3,COUNTIFS($AG$10:$AG$109,"W"&amp;W38,$B$10:$B$109,"&lt;&gt;")&lt;&gt;1),COUNTIFS($AG$10:$AG$109,"W"&amp;V38,$J$10:$J$109,"删除")&gt;0,COUNTIFS($AG$10:$AG$109,"W"&amp;W38,$J$10:$J$109,"删除")&gt;0),0,1)</f>
        <v>0</v>
      </c>
      <c r="Q38" s="1">
        <f>IF(AA38=0,0,IF(I38="里程碑",1,F38))</f>
        <v>0</v>
      </c>
      <c r="R38" s="1">
        <f>IF(AA38=0,0,Q38*G38)</f>
        <v>0</v>
      </c>
      <c r="S38" s="1">
        <f>IF(P38=0,1000000000000000,AB38*1000000+AC38*1000+AD38)</f>
        <v>1000000000000000</v>
      </c>
      <c r="T38" s="1">
        <f>IF(P38=0,0,IF(Timing浏览!$D$5="全部",1,IF(Timing浏览!$D$5="仅里程碑",IF(K38="里程碑",1,0),IF(L38&lt;=VALUE(LEFT(Timing浏览!$D$5,1)),1,0))))</f>
        <v>0</v>
      </c>
      <c r="U38" s="1" t="str">
        <f>IF(T38=0,"",COUNTIFS($S$10:$S$109,"&lt;"&amp;S38,$T$10:$T$109,1)+1)</f>
        <v/>
      </c>
      <c r="V38" s="1" t="str">
        <f>IF(OR(A38="",L38=1),"",IF(L38=2,TEXT(AB38,"0"),TEXT(AB38,"0")&amp;"."&amp;TEXT(AC38,"0")))</f>
        <v/>
      </c>
      <c r="W38" s="1" t="str">
        <f>IF(OR(A38="",L38=1),"",TEXT(AB38,"0"))</f>
        <v/>
      </c>
      <c r="X38" s="1" t="str">
        <f>IF(AND(A38="",B38=""),"",IF(OR(A38="",B38=""),"请补编号和名称",IF(AE38=0,"编号需为1至3级正整数",IF(COUNTIFS($AG$10:$AG$109,"W"&amp;A38)&lt;&gt;1,"编号重复",IF(AND(L38&gt;1,COUNTIFS($AG$10:$AG$109,"W"&amp;V38,$B$10:$B$109,"&lt;&gt;")&lt;&gt;1),"缺少父任务",IF(J38="删除","待删除",IF(P38=0,"父任务已删除或无效",IF(K38="汇总",IF(COUNTIFS($S$10:$S$109,"&gt;"&amp;S38,$S$10:$S$109,"&lt;"&amp;(S38+IF(L38=1,1000000,IF(L38=2,1000,1))),$P$10:$P$109,1)=0,"等待子任务","由下级汇总"),IF(OR(D38="",E38=""),"待补日期",IF(E38&lt;D38,"结束早于开始",IF(AND(I38="里程碑",D38&lt;&gt;E38),"里程碑须同日","")))))))))))</f>
        <v/>
      </c>
      <c r="Y38" s="1">
        <f>IF(AA38=1,D38,100000000)</f>
        <v>100000000</v>
      </c>
      <c r="Z38" s="1">
        <f>IF(AA38=1,E38,0)</f>
        <v>0</v>
      </c>
      <c r="AA38" s="1">
        <f>IF(AND(P38=1,K38&lt;&gt;"汇总",ISNUMBER(F38),OR(I38&lt;&gt;"里程碑",D38=E38)),1,0)</f>
        <v>0</v>
      </c>
      <c r="AB38" s="1">
        <f>IF(A38="",0,IFERROR(VALUE(MID(("W"&amp;A38),2,FIND(".",("W"&amp;A38)&amp;".")-2)),-1))</f>
        <v>0</v>
      </c>
      <c r="AC38" s="1">
        <f>IF(OR(A38="",L38&lt;2),0,IFERROR(VALUE(MID(("W"&amp;A38),FIND(".",("W"&amp;A38))+1,FIND(".",("W"&amp;A38)&amp;".",FIND(".",("W"&amp;A38))+1)-FIND(".",("W"&amp;A38))-1)),-1))</f>
        <v>0</v>
      </c>
      <c r="AD38" s="1">
        <f>IF(OR(A38="",L38&lt;3),0,IFERROR(VALUE(RIGHT(("W"&amp;A38),LEN(("W"&amp;A38))-FIND(".",("W"&amp;A38),FIND(".",("W"&amp;A38))+1))),-1))</f>
        <v>0</v>
      </c>
      <c r="AE38" s="1">
        <f>IF(A38="",0,IF(AND(L38&lt;=3,AB38&gt;=1,AB38&lt;=999,AC38&gt;=0,AC38&lt;=999,AD38&gt;=0,AD38&lt;=999,A38=TEXT(AB38,"0")&amp;IF(L38&gt;1,"."&amp;TEXT(AC38,"0"),"")&amp;IF(L38&gt;2,"."&amp;TEXT(AD38,"0"),""),OR(L38&lt;2,AC38&gt;=1),OR(L38&lt;3,AD38&gt;=1)),1,0))</f>
        <v>0</v>
      </c>
      <c r="AF38" s="1"/>
      <c r="AG38" t="str">
        <f>"W"&amp;A38</f>
        <v>W</v>
      </c>
    </row>
    <row r="39" spans="1:33" ht="16.5">
      <c r="A39" s="12" t="str">
        <f>IF(ROW()-9&gt;ROWS(TimingTasks[WBS]),"",IF(AND(INDEX(TimingTasks[WBS],ROW()-9)="",NOT(ISNUMBER(INDEX(TimingTasks[WBS],ROW()-9)))),"",INDEX(TimingTasks[WBS],ROW()-9)))</f>
        <v/>
      </c>
      <c r="B39" s="10" t="str">
        <f>IF(ROW()-9&gt;ROWS(TimingTasks[WBS]),"",IF(AND(INDEX(TimingTasks[任务名称],ROW()-9)="",NOT(ISNUMBER(INDEX(TimingTasks[任务名称],ROW()-9)))),"",INDEX(TimingTasks[任务名称],ROW()-9)))</f>
        <v/>
      </c>
      <c r="C39" s="10" t="str">
        <f>IF(ROW()-9&gt;ROWS(TimingTasks[WBS]),"",IF(AND(INDEX(TimingTasks[负责人],ROW()-9)="",NOT(ISNUMBER(INDEX(TimingTasks[负责人],ROW()-9)))),"",INDEX(TimingTasks[负责人],ROW()-9)))</f>
        <v/>
      </c>
      <c r="D39" s="11" t="str">
        <f>IF(ROW()-9&gt;ROWS(TimingTasks[WBS]),"",IF(AND(INDEX(TimingTasks[输入开始],ROW()-9)="",NOT(ISNUMBER(INDEX(TimingTasks[输入开始],ROW()-9)))),"",INDEX(TimingTasks[输入开始],ROW()-9)))</f>
        <v/>
      </c>
      <c r="E39" s="11" t="str">
        <f>IF(ROW()-9&gt;ROWS(TimingTasks[WBS]),"",IF(AND(INDEX(TimingTasks[输入结束],ROW()-9)="",NOT(ISNUMBER(INDEX(TimingTasks[输入结束],ROW()-9)))),"",INDEX(TimingTasks[输入结束],ROW()-9)))</f>
        <v/>
      </c>
      <c r="F39" s="1" t="str">
        <f>IF(OR(P39=0,K39="汇总",D39="",E39="",E39&lt;D39),"",IF(I39="里程碑",0,NETWORKDAYS(D39,E39)))</f>
        <v/>
      </c>
      <c r="G39" s="15" t="str">
        <f>IF(ROW()-9&gt;ROWS(TimingTasks[WBS]),"",IF(AND(INDEX(TimingTasks[输入完成度],ROW()-9)="",NOT(ISNUMBER(INDEX(TimingTasks[输入完成度],ROW()-9)))),0,INDEX(TimingTasks[输入完成度],ROW()-9)))</f>
        <v/>
      </c>
      <c r="H39" s="10" t="str">
        <f>IF(ROW()-9&gt;ROWS(TimingTasks[WBS]),"",IF(AND(INDEX(TimingTasks[前置任务 WBS],ROW()-9)="",NOT(ISNUMBER(INDEX(TimingTasks[前置任务 WBS],ROW()-9)))),"",INDEX(TimingTasks[前置任务 WBS],ROW()-9)))</f>
        <v/>
      </c>
      <c r="I39" s="10" t="str">
        <f>IF(ROW()-9&gt;ROWS(TimingTasks[WBS]),"",IF(AND(INDEX(TimingTasks[叶子类型],ROW()-9)="",NOT(ISNUMBER(INDEX(TimingTasks[叶子类型],ROW()-9)))),"普通任务",INDEX(TimingTasks[叶子类型],ROW()-9)))</f>
        <v/>
      </c>
      <c r="J39" s="10" t="str">
        <f>IF(ROW()-9&gt;ROWS(TimingTasks[WBS]),"",IF(AND(INDEX(TimingTasks[操作],ROW()-9)="",NOT(ISNUMBER(INDEX(TimingTasks[操作],ROW()-9)))),"保留",INDEX(TimingTasks[操作],ROW()-9)))</f>
        <v/>
      </c>
      <c r="K39" s="1" t="str">
        <f>IF(P39=0,"",IF(OR(AND(L39=1,D39="",E39="",I39&lt;&gt;"里程碑"),COUNTIFS($S$10:$S$109,"&gt;"&amp;S39,$S$10:$S$109,"&lt;"&amp;(S39+IF(L39=1,1000000,IF(L39=2,1000,1))),$P$10:$P$109,1)&gt;0),"汇总",I39))</f>
        <v/>
      </c>
      <c r="L39" s="1" t="str">
        <f>IF(A39="","",LEN(("W"&amp;A39))-LEN(SUBSTITUTE(("W"&amp;A39),".",""))+1)</f>
        <v/>
      </c>
      <c r="M39" s="3" t="str">
        <f>IF(P39=0,"",IF(K39="汇总",IF(COUNTIFS($S$10:$S$109,"&gt;"&amp;S39,$S$10:$S$109,"&lt;"&amp;(S39+IF(L39=1,1000000,IF(L39=2,1000,1))),$AA$10:$AA$109,1)=0,"",_xlfn.MINIFS($Y$10:$Y$109,$S$10:$S$109,"&gt;"&amp;S39,$S$10:$S$109,"&lt;"&amp;(S39+IF(L39=1,1000000,IF(L39=2,1000,1))),$AA$10:$AA$109,1)),IF(AA39=1,D39,"")))</f>
        <v/>
      </c>
      <c r="N39" s="3" t="str">
        <f>IF(P39=0,"",IF(K39="汇总",IF(COUNTIFS($S$10:$S$109,"&gt;"&amp;S39,$S$10:$S$109,"&lt;"&amp;(S39+IF(L39=1,1000000,IF(L39=2,1000,1))),$AA$10:$AA$109,1)=0,"",_xlfn.MAXIFS($Z$10:$Z$109,$S$10:$S$109,"&gt;"&amp;S39,$S$10:$S$109,"&lt;"&amp;(S39+IF(L39=1,1000000,IF(L39=2,1000,1))),$AA$10:$AA$109,1)),IF(AA39=1,E39,"")))</f>
        <v/>
      </c>
      <c r="O39" s="7" t="str">
        <f>IF(K39="汇总",ROUND((IF(P39=0,"",IF(K39="汇总",IF(SUMIFS($Q$10:$Q$109,$S$10:$S$109,"&gt;"&amp;S39,$S$10:$S$109,"&lt;"&amp;(S39+IF(L39=1,1000000,IF(L39=2,1000,1))))=0,0,SUMIFS($R$10:$R$109,$S$10:$S$109,"&gt;"&amp;S39,$S$10:$S$109,"&lt;"&amp;(S39+IF(L39=1,1000000,IF(L39=2,1000,1))))/SUMIFS($Q$10:$Q$109,$S$10:$S$109,"&gt;"&amp;S39,$S$10:$S$109,"&lt;"&amp;(S39+IF(L39=1,1000000,IF(L39=2,1000,1))))),G39)))*100,0)/100,IF(P39=0,"",IF(K39="汇总",IF(SUMIFS($Q$10:$Q$109,$S$10:$S$109,"&gt;"&amp;S39,$S$10:$S$109,"&lt;"&amp;(S39+IF(L39=1,1000000,IF(L39=2,1000,1))))=0,0,SUMIFS($R$10:$R$109,$S$10:$S$109,"&gt;"&amp;S39,$S$10:$S$109,"&lt;"&amp;(S39+IF(L39=1,1000000,IF(L39=2,1000,1))))/SUMIFS($Q$10:$Q$109,$S$10:$S$109,"&gt;"&amp;S39,$S$10:$S$109,"&lt;"&amp;(S39+IF(L39=1,1000000,IF(L39=2,1000,1))))),G39)))</f>
        <v/>
      </c>
      <c r="P39" s="1">
        <f>IF(OR(A39="",B39="",J39="删除",AE39=0,COUNTIFS($AG$10:$AG$109,"W"&amp;A39)&lt;&gt;1,AND(L39&gt;1,COUNTIFS($AG$10:$AG$109,"W"&amp;V39,$B$10:$B$109,"&lt;&gt;")&lt;&gt;1),AND(L39=3,COUNTIFS($AG$10:$AG$109,"W"&amp;W39,$B$10:$B$109,"&lt;&gt;")&lt;&gt;1),COUNTIFS($AG$10:$AG$109,"W"&amp;V39,$J$10:$J$109,"删除")&gt;0,COUNTIFS($AG$10:$AG$109,"W"&amp;W39,$J$10:$J$109,"删除")&gt;0),0,1)</f>
        <v>0</v>
      </c>
      <c r="Q39" s="1">
        <f>IF(AA39=0,0,IF(I39="里程碑",1,F39))</f>
        <v>0</v>
      </c>
      <c r="R39" s="1">
        <f>IF(AA39=0,0,Q39*G39)</f>
        <v>0</v>
      </c>
      <c r="S39" s="1">
        <f>IF(P39=0,1000000000000000,AB39*1000000+AC39*1000+AD39)</f>
        <v>1000000000000000</v>
      </c>
      <c r="T39" s="1">
        <f>IF(P39=0,0,IF(Timing浏览!$D$5="全部",1,IF(Timing浏览!$D$5="仅里程碑",IF(K39="里程碑",1,0),IF(L39&lt;=VALUE(LEFT(Timing浏览!$D$5,1)),1,0))))</f>
        <v>0</v>
      </c>
      <c r="U39" s="1" t="str">
        <f>IF(T39=0,"",COUNTIFS($S$10:$S$109,"&lt;"&amp;S39,$T$10:$T$109,1)+1)</f>
        <v/>
      </c>
      <c r="V39" s="1" t="str">
        <f>IF(OR(A39="",L39=1),"",IF(L39=2,TEXT(AB39,"0"),TEXT(AB39,"0")&amp;"."&amp;TEXT(AC39,"0")))</f>
        <v/>
      </c>
      <c r="W39" s="1" t="str">
        <f>IF(OR(A39="",L39=1),"",TEXT(AB39,"0"))</f>
        <v/>
      </c>
      <c r="X39" s="1" t="str">
        <f>IF(AND(A39="",B39=""),"",IF(OR(A39="",B39=""),"请补编号和名称",IF(AE39=0,"编号需为1至3级正整数",IF(COUNTIFS($AG$10:$AG$109,"W"&amp;A39)&lt;&gt;1,"编号重复",IF(AND(L39&gt;1,COUNTIFS($AG$10:$AG$109,"W"&amp;V39,$B$10:$B$109,"&lt;&gt;")&lt;&gt;1),"缺少父任务",IF(J39="删除","待删除",IF(P39=0,"父任务已删除或无效",IF(K39="汇总",IF(COUNTIFS($S$10:$S$109,"&gt;"&amp;S39,$S$10:$S$109,"&lt;"&amp;(S39+IF(L39=1,1000000,IF(L39=2,1000,1))),$P$10:$P$109,1)=0,"等待子任务","由下级汇总"),IF(OR(D39="",E39=""),"待补日期",IF(E39&lt;D39,"结束早于开始",IF(AND(I39="里程碑",D39&lt;&gt;E39),"里程碑须同日","")))))))))))</f>
        <v/>
      </c>
      <c r="Y39" s="1">
        <f>IF(AA39=1,D39,100000000)</f>
        <v>100000000</v>
      </c>
      <c r="Z39" s="1">
        <f>IF(AA39=1,E39,0)</f>
        <v>0</v>
      </c>
      <c r="AA39" s="1">
        <f>IF(AND(P39=1,K39&lt;&gt;"汇总",ISNUMBER(F39),OR(I39&lt;&gt;"里程碑",D39=E39)),1,0)</f>
        <v>0</v>
      </c>
      <c r="AB39" s="1">
        <f>IF(A39="",0,IFERROR(VALUE(MID(("W"&amp;A39),2,FIND(".",("W"&amp;A39)&amp;".")-2)),-1))</f>
        <v>0</v>
      </c>
      <c r="AC39" s="1">
        <f>IF(OR(A39="",L39&lt;2),0,IFERROR(VALUE(MID(("W"&amp;A39),FIND(".",("W"&amp;A39))+1,FIND(".",("W"&amp;A39)&amp;".",FIND(".",("W"&amp;A39))+1)-FIND(".",("W"&amp;A39))-1)),-1))</f>
        <v>0</v>
      </c>
      <c r="AD39" s="1">
        <f>IF(OR(A39="",L39&lt;3),0,IFERROR(VALUE(RIGHT(("W"&amp;A39),LEN(("W"&amp;A39))-FIND(".",("W"&amp;A39),FIND(".",("W"&amp;A39))+1))),-1))</f>
        <v>0</v>
      </c>
      <c r="AE39" s="1">
        <f>IF(A39="",0,IF(AND(L39&lt;=3,AB39&gt;=1,AB39&lt;=999,AC39&gt;=0,AC39&lt;=999,AD39&gt;=0,AD39&lt;=999,A39=TEXT(AB39,"0")&amp;IF(L39&gt;1,"."&amp;TEXT(AC39,"0"),"")&amp;IF(L39&gt;2,"."&amp;TEXT(AD39,"0"),""),OR(L39&lt;2,AC39&gt;=1),OR(L39&lt;3,AD39&gt;=1)),1,0))</f>
        <v>0</v>
      </c>
      <c r="AF39" s="1"/>
      <c r="AG39" t="str">
        <f>"W"&amp;A39</f>
        <v>W</v>
      </c>
    </row>
    <row r="40" spans="1:33" ht="16.5">
      <c r="A40" s="12" t="str">
        <f>IF(ROW()-9&gt;ROWS(TimingTasks[WBS]),"",IF(AND(INDEX(TimingTasks[WBS],ROW()-9)="",NOT(ISNUMBER(INDEX(TimingTasks[WBS],ROW()-9)))),"",INDEX(TimingTasks[WBS],ROW()-9)))</f>
        <v/>
      </c>
      <c r="B40" s="10" t="str">
        <f>IF(ROW()-9&gt;ROWS(TimingTasks[WBS]),"",IF(AND(INDEX(TimingTasks[任务名称],ROW()-9)="",NOT(ISNUMBER(INDEX(TimingTasks[任务名称],ROW()-9)))),"",INDEX(TimingTasks[任务名称],ROW()-9)))</f>
        <v/>
      </c>
      <c r="C40" s="10" t="str">
        <f>IF(ROW()-9&gt;ROWS(TimingTasks[WBS]),"",IF(AND(INDEX(TimingTasks[负责人],ROW()-9)="",NOT(ISNUMBER(INDEX(TimingTasks[负责人],ROW()-9)))),"",INDEX(TimingTasks[负责人],ROW()-9)))</f>
        <v/>
      </c>
      <c r="D40" s="11" t="str">
        <f>IF(ROW()-9&gt;ROWS(TimingTasks[WBS]),"",IF(AND(INDEX(TimingTasks[输入开始],ROW()-9)="",NOT(ISNUMBER(INDEX(TimingTasks[输入开始],ROW()-9)))),"",INDEX(TimingTasks[输入开始],ROW()-9)))</f>
        <v/>
      </c>
      <c r="E40" s="11" t="str">
        <f>IF(ROW()-9&gt;ROWS(TimingTasks[WBS]),"",IF(AND(INDEX(TimingTasks[输入结束],ROW()-9)="",NOT(ISNUMBER(INDEX(TimingTasks[输入结束],ROW()-9)))),"",INDEX(TimingTasks[输入结束],ROW()-9)))</f>
        <v/>
      </c>
      <c r="F40" s="1" t="str">
        <f>IF(OR(P40=0,K40="汇总",D40="",E40="",E40&lt;D40),"",IF(I40="里程碑",0,NETWORKDAYS(D40,E40)))</f>
        <v/>
      </c>
      <c r="G40" s="15" t="str">
        <f>IF(ROW()-9&gt;ROWS(TimingTasks[WBS]),"",IF(AND(INDEX(TimingTasks[输入完成度],ROW()-9)="",NOT(ISNUMBER(INDEX(TimingTasks[输入完成度],ROW()-9)))),0,INDEX(TimingTasks[输入完成度],ROW()-9)))</f>
        <v/>
      </c>
      <c r="H40" s="10" t="str">
        <f>IF(ROW()-9&gt;ROWS(TimingTasks[WBS]),"",IF(AND(INDEX(TimingTasks[前置任务 WBS],ROW()-9)="",NOT(ISNUMBER(INDEX(TimingTasks[前置任务 WBS],ROW()-9)))),"",INDEX(TimingTasks[前置任务 WBS],ROW()-9)))</f>
        <v/>
      </c>
      <c r="I40" s="10" t="str">
        <f>IF(ROW()-9&gt;ROWS(TimingTasks[WBS]),"",IF(AND(INDEX(TimingTasks[叶子类型],ROW()-9)="",NOT(ISNUMBER(INDEX(TimingTasks[叶子类型],ROW()-9)))),"普通任务",INDEX(TimingTasks[叶子类型],ROW()-9)))</f>
        <v/>
      </c>
      <c r="J40" s="10" t="str">
        <f>IF(ROW()-9&gt;ROWS(TimingTasks[WBS]),"",IF(AND(INDEX(TimingTasks[操作],ROW()-9)="",NOT(ISNUMBER(INDEX(TimingTasks[操作],ROW()-9)))),"保留",INDEX(TimingTasks[操作],ROW()-9)))</f>
        <v/>
      </c>
      <c r="K40" s="1" t="str">
        <f>IF(P40=0,"",IF(OR(AND(L40=1,D40="",E40="",I40&lt;&gt;"里程碑"),COUNTIFS($S$10:$S$109,"&gt;"&amp;S40,$S$10:$S$109,"&lt;"&amp;(S40+IF(L40=1,1000000,IF(L40=2,1000,1))),$P$10:$P$109,1)&gt;0),"汇总",I40))</f>
        <v/>
      </c>
      <c r="L40" s="1" t="str">
        <f>IF(A40="","",LEN(("W"&amp;A40))-LEN(SUBSTITUTE(("W"&amp;A40),".",""))+1)</f>
        <v/>
      </c>
      <c r="M40" s="3" t="str">
        <f>IF(P40=0,"",IF(K40="汇总",IF(COUNTIFS($S$10:$S$109,"&gt;"&amp;S40,$S$10:$S$109,"&lt;"&amp;(S40+IF(L40=1,1000000,IF(L40=2,1000,1))),$AA$10:$AA$109,1)=0,"",_xlfn.MINIFS($Y$10:$Y$109,$S$10:$S$109,"&gt;"&amp;S40,$S$10:$S$109,"&lt;"&amp;(S40+IF(L40=1,1000000,IF(L40=2,1000,1))),$AA$10:$AA$109,1)),IF(AA40=1,D40,"")))</f>
        <v/>
      </c>
      <c r="N40" s="3" t="str">
        <f>IF(P40=0,"",IF(K40="汇总",IF(COUNTIFS($S$10:$S$109,"&gt;"&amp;S40,$S$10:$S$109,"&lt;"&amp;(S40+IF(L40=1,1000000,IF(L40=2,1000,1))),$AA$10:$AA$109,1)=0,"",_xlfn.MAXIFS($Z$10:$Z$109,$S$10:$S$109,"&gt;"&amp;S40,$S$10:$S$109,"&lt;"&amp;(S40+IF(L40=1,1000000,IF(L40=2,1000,1))),$AA$10:$AA$109,1)),IF(AA40=1,E40,"")))</f>
        <v/>
      </c>
      <c r="O40" s="7" t="str">
        <f>IF(K40="汇总",ROUND((IF(P40=0,"",IF(K40="汇总",IF(SUMIFS($Q$10:$Q$109,$S$10:$S$109,"&gt;"&amp;S40,$S$10:$S$109,"&lt;"&amp;(S40+IF(L40=1,1000000,IF(L40=2,1000,1))))=0,0,SUMIFS($R$10:$R$109,$S$10:$S$109,"&gt;"&amp;S40,$S$10:$S$109,"&lt;"&amp;(S40+IF(L40=1,1000000,IF(L40=2,1000,1))))/SUMIFS($Q$10:$Q$109,$S$10:$S$109,"&gt;"&amp;S40,$S$10:$S$109,"&lt;"&amp;(S40+IF(L40=1,1000000,IF(L40=2,1000,1))))),G40)))*100,0)/100,IF(P40=0,"",IF(K40="汇总",IF(SUMIFS($Q$10:$Q$109,$S$10:$S$109,"&gt;"&amp;S40,$S$10:$S$109,"&lt;"&amp;(S40+IF(L40=1,1000000,IF(L40=2,1000,1))))=0,0,SUMIFS($R$10:$R$109,$S$10:$S$109,"&gt;"&amp;S40,$S$10:$S$109,"&lt;"&amp;(S40+IF(L40=1,1000000,IF(L40=2,1000,1))))/SUMIFS($Q$10:$Q$109,$S$10:$S$109,"&gt;"&amp;S40,$S$10:$S$109,"&lt;"&amp;(S40+IF(L40=1,1000000,IF(L40=2,1000,1))))),G40)))</f>
        <v/>
      </c>
      <c r="P40" s="1">
        <f>IF(OR(A40="",B40="",J40="删除",AE40=0,COUNTIFS($AG$10:$AG$109,"W"&amp;A40)&lt;&gt;1,AND(L40&gt;1,COUNTIFS($AG$10:$AG$109,"W"&amp;V40,$B$10:$B$109,"&lt;&gt;")&lt;&gt;1),AND(L40=3,COUNTIFS($AG$10:$AG$109,"W"&amp;W40,$B$10:$B$109,"&lt;&gt;")&lt;&gt;1),COUNTIFS($AG$10:$AG$109,"W"&amp;V40,$J$10:$J$109,"删除")&gt;0,COUNTIFS($AG$10:$AG$109,"W"&amp;W40,$J$10:$J$109,"删除")&gt;0),0,1)</f>
        <v>0</v>
      </c>
      <c r="Q40" s="1">
        <f>IF(AA40=0,0,IF(I40="里程碑",1,F40))</f>
        <v>0</v>
      </c>
      <c r="R40" s="1">
        <f>IF(AA40=0,0,Q40*G40)</f>
        <v>0</v>
      </c>
      <c r="S40" s="1">
        <f>IF(P40=0,1000000000000000,AB40*1000000+AC40*1000+AD40)</f>
        <v>1000000000000000</v>
      </c>
      <c r="T40" s="1">
        <f>IF(P40=0,0,IF(Timing浏览!$D$5="全部",1,IF(Timing浏览!$D$5="仅里程碑",IF(K40="里程碑",1,0),IF(L40&lt;=VALUE(LEFT(Timing浏览!$D$5,1)),1,0))))</f>
        <v>0</v>
      </c>
      <c r="U40" s="1" t="str">
        <f>IF(T40=0,"",COUNTIFS($S$10:$S$109,"&lt;"&amp;S40,$T$10:$T$109,1)+1)</f>
        <v/>
      </c>
      <c r="V40" s="1" t="str">
        <f>IF(OR(A40="",L40=1),"",IF(L40=2,TEXT(AB40,"0"),TEXT(AB40,"0")&amp;"."&amp;TEXT(AC40,"0")))</f>
        <v/>
      </c>
      <c r="W40" s="1" t="str">
        <f>IF(OR(A40="",L40=1),"",TEXT(AB40,"0"))</f>
        <v/>
      </c>
      <c r="X40" s="1" t="str">
        <f>IF(AND(A40="",B40=""),"",IF(OR(A40="",B40=""),"请补编号和名称",IF(AE40=0,"编号需为1至3级正整数",IF(COUNTIFS($AG$10:$AG$109,"W"&amp;A40)&lt;&gt;1,"编号重复",IF(AND(L40&gt;1,COUNTIFS($AG$10:$AG$109,"W"&amp;V40,$B$10:$B$109,"&lt;&gt;")&lt;&gt;1),"缺少父任务",IF(J40="删除","待删除",IF(P40=0,"父任务已删除或无效",IF(K40="汇总",IF(COUNTIFS($S$10:$S$109,"&gt;"&amp;S40,$S$10:$S$109,"&lt;"&amp;(S40+IF(L40=1,1000000,IF(L40=2,1000,1))),$P$10:$P$109,1)=0,"等待子任务","由下级汇总"),IF(OR(D40="",E40=""),"待补日期",IF(E40&lt;D40,"结束早于开始",IF(AND(I40="里程碑",D40&lt;&gt;E40),"里程碑须同日","")))))))))))</f>
        <v/>
      </c>
      <c r="Y40" s="1">
        <f>IF(AA40=1,D40,100000000)</f>
        <v>100000000</v>
      </c>
      <c r="Z40" s="1">
        <f>IF(AA40=1,E40,0)</f>
        <v>0</v>
      </c>
      <c r="AA40" s="1">
        <f>IF(AND(P40=1,K40&lt;&gt;"汇总",ISNUMBER(F40),OR(I40&lt;&gt;"里程碑",D40=E40)),1,0)</f>
        <v>0</v>
      </c>
      <c r="AB40" s="1">
        <f>IF(A40="",0,IFERROR(VALUE(MID(("W"&amp;A40),2,FIND(".",("W"&amp;A40)&amp;".")-2)),-1))</f>
        <v>0</v>
      </c>
      <c r="AC40" s="1">
        <f>IF(OR(A40="",L40&lt;2),0,IFERROR(VALUE(MID(("W"&amp;A40),FIND(".",("W"&amp;A40))+1,FIND(".",("W"&amp;A40)&amp;".",FIND(".",("W"&amp;A40))+1)-FIND(".",("W"&amp;A40))-1)),-1))</f>
        <v>0</v>
      </c>
      <c r="AD40" s="1">
        <f>IF(OR(A40="",L40&lt;3),0,IFERROR(VALUE(RIGHT(("W"&amp;A40),LEN(("W"&amp;A40))-FIND(".",("W"&amp;A40),FIND(".",("W"&amp;A40))+1))),-1))</f>
        <v>0</v>
      </c>
      <c r="AE40" s="1">
        <f>IF(A40="",0,IF(AND(L40&lt;=3,AB40&gt;=1,AB40&lt;=999,AC40&gt;=0,AC40&lt;=999,AD40&gt;=0,AD40&lt;=999,A40=TEXT(AB40,"0")&amp;IF(L40&gt;1,"."&amp;TEXT(AC40,"0"),"")&amp;IF(L40&gt;2,"."&amp;TEXT(AD40,"0"),""),OR(L40&lt;2,AC40&gt;=1),OR(L40&lt;3,AD40&gt;=1)),1,0))</f>
        <v>0</v>
      </c>
      <c r="AF40" s="1"/>
      <c r="AG40" t="str">
        <f>"W"&amp;A40</f>
        <v>W</v>
      </c>
    </row>
    <row r="41" spans="1:33" ht="16.5">
      <c r="A41" s="12" t="str">
        <f>IF(ROW()-9&gt;ROWS(TimingTasks[WBS]),"",IF(AND(INDEX(TimingTasks[WBS],ROW()-9)="",NOT(ISNUMBER(INDEX(TimingTasks[WBS],ROW()-9)))),"",INDEX(TimingTasks[WBS],ROW()-9)))</f>
        <v/>
      </c>
      <c r="B41" s="10" t="str">
        <f>IF(ROW()-9&gt;ROWS(TimingTasks[WBS]),"",IF(AND(INDEX(TimingTasks[任务名称],ROW()-9)="",NOT(ISNUMBER(INDEX(TimingTasks[任务名称],ROW()-9)))),"",INDEX(TimingTasks[任务名称],ROW()-9)))</f>
        <v/>
      </c>
      <c r="C41" s="10" t="str">
        <f>IF(ROW()-9&gt;ROWS(TimingTasks[WBS]),"",IF(AND(INDEX(TimingTasks[负责人],ROW()-9)="",NOT(ISNUMBER(INDEX(TimingTasks[负责人],ROW()-9)))),"",INDEX(TimingTasks[负责人],ROW()-9)))</f>
        <v/>
      </c>
      <c r="D41" s="11" t="str">
        <f>IF(ROW()-9&gt;ROWS(TimingTasks[WBS]),"",IF(AND(INDEX(TimingTasks[输入开始],ROW()-9)="",NOT(ISNUMBER(INDEX(TimingTasks[输入开始],ROW()-9)))),"",INDEX(TimingTasks[输入开始],ROW()-9)))</f>
        <v/>
      </c>
      <c r="E41" s="11" t="str">
        <f>IF(ROW()-9&gt;ROWS(TimingTasks[WBS]),"",IF(AND(INDEX(TimingTasks[输入结束],ROW()-9)="",NOT(ISNUMBER(INDEX(TimingTasks[输入结束],ROW()-9)))),"",INDEX(TimingTasks[输入结束],ROW()-9)))</f>
        <v/>
      </c>
      <c r="F41" s="1" t="str">
        <f>IF(OR(P41=0,K41="汇总",D41="",E41="",E41&lt;D41),"",IF(I41="里程碑",0,NETWORKDAYS(D41,E41)))</f>
        <v/>
      </c>
      <c r="G41" s="15" t="str">
        <f>IF(ROW()-9&gt;ROWS(TimingTasks[WBS]),"",IF(AND(INDEX(TimingTasks[输入完成度],ROW()-9)="",NOT(ISNUMBER(INDEX(TimingTasks[输入完成度],ROW()-9)))),0,INDEX(TimingTasks[输入完成度],ROW()-9)))</f>
        <v/>
      </c>
      <c r="H41" s="10" t="str">
        <f>IF(ROW()-9&gt;ROWS(TimingTasks[WBS]),"",IF(AND(INDEX(TimingTasks[前置任务 WBS],ROW()-9)="",NOT(ISNUMBER(INDEX(TimingTasks[前置任务 WBS],ROW()-9)))),"",INDEX(TimingTasks[前置任务 WBS],ROW()-9)))</f>
        <v/>
      </c>
      <c r="I41" s="10" t="str">
        <f>IF(ROW()-9&gt;ROWS(TimingTasks[WBS]),"",IF(AND(INDEX(TimingTasks[叶子类型],ROW()-9)="",NOT(ISNUMBER(INDEX(TimingTasks[叶子类型],ROW()-9)))),"普通任务",INDEX(TimingTasks[叶子类型],ROW()-9)))</f>
        <v/>
      </c>
      <c r="J41" s="10" t="str">
        <f>IF(ROW()-9&gt;ROWS(TimingTasks[WBS]),"",IF(AND(INDEX(TimingTasks[操作],ROW()-9)="",NOT(ISNUMBER(INDEX(TimingTasks[操作],ROW()-9)))),"保留",INDEX(TimingTasks[操作],ROW()-9)))</f>
        <v/>
      </c>
      <c r="K41" s="1" t="str">
        <f>IF(P41=0,"",IF(OR(AND(L41=1,D41="",E41="",I41&lt;&gt;"里程碑"),COUNTIFS($S$10:$S$109,"&gt;"&amp;S41,$S$10:$S$109,"&lt;"&amp;(S41+IF(L41=1,1000000,IF(L41=2,1000,1))),$P$10:$P$109,1)&gt;0),"汇总",I41))</f>
        <v/>
      </c>
      <c r="L41" s="1" t="str">
        <f>IF(A41="","",LEN(("W"&amp;A41))-LEN(SUBSTITUTE(("W"&amp;A41),".",""))+1)</f>
        <v/>
      </c>
      <c r="M41" s="3" t="str">
        <f>IF(P41=0,"",IF(K41="汇总",IF(COUNTIFS($S$10:$S$109,"&gt;"&amp;S41,$S$10:$S$109,"&lt;"&amp;(S41+IF(L41=1,1000000,IF(L41=2,1000,1))),$AA$10:$AA$109,1)=0,"",_xlfn.MINIFS($Y$10:$Y$109,$S$10:$S$109,"&gt;"&amp;S41,$S$10:$S$109,"&lt;"&amp;(S41+IF(L41=1,1000000,IF(L41=2,1000,1))),$AA$10:$AA$109,1)),IF(AA41=1,D41,"")))</f>
        <v/>
      </c>
      <c r="N41" s="3" t="str">
        <f>IF(P41=0,"",IF(K41="汇总",IF(COUNTIFS($S$10:$S$109,"&gt;"&amp;S41,$S$10:$S$109,"&lt;"&amp;(S41+IF(L41=1,1000000,IF(L41=2,1000,1))),$AA$10:$AA$109,1)=0,"",_xlfn.MAXIFS($Z$10:$Z$109,$S$10:$S$109,"&gt;"&amp;S41,$S$10:$S$109,"&lt;"&amp;(S41+IF(L41=1,1000000,IF(L41=2,1000,1))),$AA$10:$AA$109,1)),IF(AA41=1,E41,"")))</f>
        <v/>
      </c>
      <c r="O41" s="7" t="str">
        <f>IF(K41="汇总",ROUND((IF(P41=0,"",IF(K41="汇总",IF(SUMIFS($Q$10:$Q$109,$S$10:$S$109,"&gt;"&amp;S41,$S$10:$S$109,"&lt;"&amp;(S41+IF(L41=1,1000000,IF(L41=2,1000,1))))=0,0,SUMIFS($R$10:$R$109,$S$10:$S$109,"&gt;"&amp;S41,$S$10:$S$109,"&lt;"&amp;(S41+IF(L41=1,1000000,IF(L41=2,1000,1))))/SUMIFS($Q$10:$Q$109,$S$10:$S$109,"&gt;"&amp;S41,$S$10:$S$109,"&lt;"&amp;(S41+IF(L41=1,1000000,IF(L41=2,1000,1))))),G41)))*100,0)/100,IF(P41=0,"",IF(K41="汇总",IF(SUMIFS($Q$10:$Q$109,$S$10:$S$109,"&gt;"&amp;S41,$S$10:$S$109,"&lt;"&amp;(S41+IF(L41=1,1000000,IF(L41=2,1000,1))))=0,0,SUMIFS($R$10:$R$109,$S$10:$S$109,"&gt;"&amp;S41,$S$10:$S$109,"&lt;"&amp;(S41+IF(L41=1,1000000,IF(L41=2,1000,1))))/SUMIFS($Q$10:$Q$109,$S$10:$S$109,"&gt;"&amp;S41,$S$10:$S$109,"&lt;"&amp;(S41+IF(L41=1,1000000,IF(L41=2,1000,1))))),G41)))</f>
        <v/>
      </c>
      <c r="P41" s="1">
        <f>IF(OR(A41="",B41="",J41="删除",AE41=0,COUNTIFS($AG$10:$AG$109,"W"&amp;A41)&lt;&gt;1,AND(L41&gt;1,COUNTIFS($AG$10:$AG$109,"W"&amp;V41,$B$10:$B$109,"&lt;&gt;")&lt;&gt;1),AND(L41=3,COUNTIFS($AG$10:$AG$109,"W"&amp;W41,$B$10:$B$109,"&lt;&gt;")&lt;&gt;1),COUNTIFS($AG$10:$AG$109,"W"&amp;V41,$J$10:$J$109,"删除")&gt;0,COUNTIFS($AG$10:$AG$109,"W"&amp;W41,$J$10:$J$109,"删除")&gt;0),0,1)</f>
        <v>0</v>
      </c>
      <c r="Q41" s="1">
        <f>IF(AA41=0,0,IF(I41="里程碑",1,F41))</f>
        <v>0</v>
      </c>
      <c r="R41" s="1">
        <f>IF(AA41=0,0,Q41*G41)</f>
        <v>0</v>
      </c>
      <c r="S41" s="1">
        <f>IF(P41=0,1000000000000000,AB41*1000000+AC41*1000+AD41)</f>
        <v>1000000000000000</v>
      </c>
      <c r="T41" s="1">
        <f>IF(P41=0,0,IF(Timing浏览!$D$5="全部",1,IF(Timing浏览!$D$5="仅里程碑",IF(K41="里程碑",1,0),IF(L41&lt;=VALUE(LEFT(Timing浏览!$D$5,1)),1,0))))</f>
        <v>0</v>
      </c>
      <c r="U41" s="1" t="str">
        <f>IF(T41=0,"",COUNTIFS($S$10:$S$109,"&lt;"&amp;S41,$T$10:$T$109,1)+1)</f>
        <v/>
      </c>
      <c r="V41" s="1" t="str">
        <f>IF(OR(A41="",L41=1),"",IF(L41=2,TEXT(AB41,"0"),TEXT(AB41,"0")&amp;"."&amp;TEXT(AC41,"0")))</f>
        <v/>
      </c>
      <c r="W41" s="1" t="str">
        <f>IF(OR(A41="",L41=1),"",TEXT(AB41,"0"))</f>
        <v/>
      </c>
      <c r="X41" s="1" t="str">
        <f>IF(AND(A41="",B41=""),"",IF(OR(A41="",B41=""),"请补编号和名称",IF(AE41=0,"编号需为1至3级正整数",IF(COUNTIFS($AG$10:$AG$109,"W"&amp;A41)&lt;&gt;1,"编号重复",IF(AND(L41&gt;1,COUNTIFS($AG$10:$AG$109,"W"&amp;V41,$B$10:$B$109,"&lt;&gt;")&lt;&gt;1),"缺少父任务",IF(J41="删除","待删除",IF(P41=0,"父任务已删除或无效",IF(K41="汇总",IF(COUNTIFS($S$10:$S$109,"&gt;"&amp;S41,$S$10:$S$109,"&lt;"&amp;(S41+IF(L41=1,1000000,IF(L41=2,1000,1))),$P$10:$P$109,1)=0,"等待子任务","由下级汇总"),IF(OR(D41="",E41=""),"待补日期",IF(E41&lt;D41,"结束早于开始",IF(AND(I41="里程碑",D41&lt;&gt;E41),"里程碑须同日","")))))))))))</f>
        <v/>
      </c>
      <c r="Y41" s="1">
        <f>IF(AA41=1,D41,100000000)</f>
        <v>100000000</v>
      </c>
      <c r="Z41" s="1">
        <f>IF(AA41=1,E41,0)</f>
        <v>0</v>
      </c>
      <c r="AA41" s="1">
        <f>IF(AND(P41=1,K41&lt;&gt;"汇总",ISNUMBER(F41),OR(I41&lt;&gt;"里程碑",D41=E41)),1,0)</f>
        <v>0</v>
      </c>
      <c r="AB41" s="1">
        <f>IF(A41="",0,IFERROR(VALUE(MID(("W"&amp;A41),2,FIND(".",("W"&amp;A41)&amp;".")-2)),-1))</f>
        <v>0</v>
      </c>
      <c r="AC41" s="1">
        <f>IF(OR(A41="",L41&lt;2),0,IFERROR(VALUE(MID(("W"&amp;A41),FIND(".",("W"&amp;A41))+1,FIND(".",("W"&amp;A41)&amp;".",FIND(".",("W"&amp;A41))+1)-FIND(".",("W"&amp;A41))-1)),-1))</f>
        <v>0</v>
      </c>
      <c r="AD41" s="1">
        <f>IF(OR(A41="",L41&lt;3),0,IFERROR(VALUE(RIGHT(("W"&amp;A41),LEN(("W"&amp;A41))-FIND(".",("W"&amp;A41),FIND(".",("W"&amp;A41))+1))),-1))</f>
        <v>0</v>
      </c>
      <c r="AE41" s="1">
        <f>IF(A41="",0,IF(AND(L41&lt;=3,AB41&gt;=1,AB41&lt;=999,AC41&gt;=0,AC41&lt;=999,AD41&gt;=0,AD41&lt;=999,A41=TEXT(AB41,"0")&amp;IF(L41&gt;1,"."&amp;TEXT(AC41,"0"),"")&amp;IF(L41&gt;2,"."&amp;TEXT(AD41,"0"),""),OR(L41&lt;2,AC41&gt;=1),OR(L41&lt;3,AD41&gt;=1)),1,0))</f>
        <v>0</v>
      </c>
      <c r="AF41" s="1"/>
      <c r="AG41" t="str">
        <f>"W"&amp;A41</f>
        <v>W</v>
      </c>
    </row>
    <row r="42" spans="1:33" ht="16.5">
      <c r="A42" s="12" t="str">
        <f>IF(ROW()-9&gt;ROWS(TimingTasks[WBS]),"",IF(AND(INDEX(TimingTasks[WBS],ROW()-9)="",NOT(ISNUMBER(INDEX(TimingTasks[WBS],ROW()-9)))),"",INDEX(TimingTasks[WBS],ROW()-9)))</f>
        <v/>
      </c>
      <c r="B42" s="10" t="str">
        <f>IF(ROW()-9&gt;ROWS(TimingTasks[WBS]),"",IF(AND(INDEX(TimingTasks[任务名称],ROW()-9)="",NOT(ISNUMBER(INDEX(TimingTasks[任务名称],ROW()-9)))),"",INDEX(TimingTasks[任务名称],ROW()-9)))</f>
        <v/>
      </c>
      <c r="C42" s="10" t="str">
        <f>IF(ROW()-9&gt;ROWS(TimingTasks[WBS]),"",IF(AND(INDEX(TimingTasks[负责人],ROW()-9)="",NOT(ISNUMBER(INDEX(TimingTasks[负责人],ROW()-9)))),"",INDEX(TimingTasks[负责人],ROW()-9)))</f>
        <v/>
      </c>
      <c r="D42" s="11" t="str">
        <f>IF(ROW()-9&gt;ROWS(TimingTasks[WBS]),"",IF(AND(INDEX(TimingTasks[输入开始],ROW()-9)="",NOT(ISNUMBER(INDEX(TimingTasks[输入开始],ROW()-9)))),"",INDEX(TimingTasks[输入开始],ROW()-9)))</f>
        <v/>
      </c>
      <c r="E42" s="11" t="str">
        <f>IF(ROW()-9&gt;ROWS(TimingTasks[WBS]),"",IF(AND(INDEX(TimingTasks[输入结束],ROW()-9)="",NOT(ISNUMBER(INDEX(TimingTasks[输入结束],ROW()-9)))),"",INDEX(TimingTasks[输入结束],ROW()-9)))</f>
        <v/>
      </c>
      <c r="F42" s="1" t="str">
        <f>IF(OR(P42=0,K42="汇总",D42="",E42="",E42&lt;D42),"",IF(I42="里程碑",0,NETWORKDAYS(D42,E42)))</f>
        <v/>
      </c>
      <c r="G42" s="15" t="str">
        <f>IF(ROW()-9&gt;ROWS(TimingTasks[WBS]),"",IF(AND(INDEX(TimingTasks[输入完成度],ROW()-9)="",NOT(ISNUMBER(INDEX(TimingTasks[输入完成度],ROW()-9)))),0,INDEX(TimingTasks[输入完成度],ROW()-9)))</f>
        <v/>
      </c>
      <c r="H42" s="10" t="str">
        <f>IF(ROW()-9&gt;ROWS(TimingTasks[WBS]),"",IF(AND(INDEX(TimingTasks[前置任务 WBS],ROW()-9)="",NOT(ISNUMBER(INDEX(TimingTasks[前置任务 WBS],ROW()-9)))),"",INDEX(TimingTasks[前置任务 WBS],ROW()-9)))</f>
        <v/>
      </c>
      <c r="I42" s="10" t="str">
        <f>IF(ROW()-9&gt;ROWS(TimingTasks[WBS]),"",IF(AND(INDEX(TimingTasks[叶子类型],ROW()-9)="",NOT(ISNUMBER(INDEX(TimingTasks[叶子类型],ROW()-9)))),"普通任务",INDEX(TimingTasks[叶子类型],ROW()-9)))</f>
        <v/>
      </c>
      <c r="J42" s="10" t="str">
        <f>IF(ROW()-9&gt;ROWS(TimingTasks[WBS]),"",IF(AND(INDEX(TimingTasks[操作],ROW()-9)="",NOT(ISNUMBER(INDEX(TimingTasks[操作],ROW()-9)))),"保留",INDEX(TimingTasks[操作],ROW()-9)))</f>
        <v/>
      </c>
      <c r="K42" s="1" t="str">
        <f>IF(P42=0,"",IF(OR(AND(L42=1,D42="",E42="",I42&lt;&gt;"里程碑"),COUNTIFS($S$10:$S$109,"&gt;"&amp;S42,$S$10:$S$109,"&lt;"&amp;(S42+IF(L42=1,1000000,IF(L42=2,1000,1))),$P$10:$P$109,1)&gt;0),"汇总",I42))</f>
        <v/>
      </c>
      <c r="L42" s="1" t="str">
        <f>IF(A42="","",LEN(("W"&amp;A42))-LEN(SUBSTITUTE(("W"&amp;A42),".",""))+1)</f>
        <v/>
      </c>
      <c r="M42" s="3" t="str">
        <f>IF(P42=0,"",IF(K42="汇总",IF(COUNTIFS($S$10:$S$109,"&gt;"&amp;S42,$S$10:$S$109,"&lt;"&amp;(S42+IF(L42=1,1000000,IF(L42=2,1000,1))),$AA$10:$AA$109,1)=0,"",_xlfn.MINIFS($Y$10:$Y$109,$S$10:$S$109,"&gt;"&amp;S42,$S$10:$S$109,"&lt;"&amp;(S42+IF(L42=1,1000000,IF(L42=2,1000,1))),$AA$10:$AA$109,1)),IF(AA42=1,D42,"")))</f>
        <v/>
      </c>
      <c r="N42" s="3" t="str">
        <f>IF(P42=0,"",IF(K42="汇总",IF(COUNTIFS($S$10:$S$109,"&gt;"&amp;S42,$S$10:$S$109,"&lt;"&amp;(S42+IF(L42=1,1000000,IF(L42=2,1000,1))),$AA$10:$AA$109,1)=0,"",_xlfn.MAXIFS($Z$10:$Z$109,$S$10:$S$109,"&gt;"&amp;S42,$S$10:$S$109,"&lt;"&amp;(S42+IF(L42=1,1000000,IF(L42=2,1000,1))),$AA$10:$AA$109,1)),IF(AA42=1,E42,"")))</f>
        <v/>
      </c>
      <c r="O42" s="7" t="str">
        <f>IF(K42="汇总",ROUND((IF(P42=0,"",IF(K42="汇总",IF(SUMIFS($Q$10:$Q$109,$S$10:$S$109,"&gt;"&amp;S42,$S$10:$S$109,"&lt;"&amp;(S42+IF(L42=1,1000000,IF(L42=2,1000,1))))=0,0,SUMIFS($R$10:$R$109,$S$10:$S$109,"&gt;"&amp;S42,$S$10:$S$109,"&lt;"&amp;(S42+IF(L42=1,1000000,IF(L42=2,1000,1))))/SUMIFS($Q$10:$Q$109,$S$10:$S$109,"&gt;"&amp;S42,$S$10:$S$109,"&lt;"&amp;(S42+IF(L42=1,1000000,IF(L42=2,1000,1))))),G42)))*100,0)/100,IF(P42=0,"",IF(K42="汇总",IF(SUMIFS($Q$10:$Q$109,$S$10:$S$109,"&gt;"&amp;S42,$S$10:$S$109,"&lt;"&amp;(S42+IF(L42=1,1000000,IF(L42=2,1000,1))))=0,0,SUMIFS($R$10:$R$109,$S$10:$S$109,"&gt;"&amp;S42,$S$10:$S$109,"&lt;"&amp;(S42+IF(L42=1,1000000,IF(L42=2,1000,1))))/SUMIFS($Q$10:$Q$109,$S$10:$S$109,"&gt;"&amp;S42,$S$10:$S$109,"&lt;"&amp;(S42+IF(L42=1,1000000,IF(L42=2,1000,1))))),G42)))</f>
        <v/>
      </c>
      <c r="P42" s="1">
        <f>IF(OR(A42="",B42="",J42="删除",AE42=0,COUNTIFS($AG$10:$AG$109,"W"&amp;A42)&lt;&gt;1,AND(L42&gt;1,COUNTIFS($AG$10:$AG$109,"W"&amp;V42,$B$10:$B$109,"&lt;&gt;")&lt;&gt;1),AND(L42=3,COUNTIFS($AG$10:$AG$109,"W"&amp;W42,$B$10:$B$109,"&lt;&gt;")&lt;&gt;1),COUNTIFS($AG$10:$AG$109,"W"&amp;V42,$J$10:$J$109,"删除")&gt;0,COUNTIFS($AG$10:$AG$109,"W"&amp;W42,$J$10:$J$109,"删除")&gt;0),0,1)</f>
        <v>0</v>
      </c>
      <c r="Q42" s="1">
        <f>IF(AA42=0,0,IF(I42="里程碑",1,F42))</f>
        <v>0</v>
      </c>
      <c r="R42" s="1">
        <f>IF(AA42=0,0,Q42*G42)</f>
        <v>0</v>
      </c>
      <c r="S42" s="1">
        <f>IF(P42=0,1000000000000000,AB42*1000000+AC42*1000+AD42)</f>
        <v>1000000000000000</v>
      </c>
      <c r="T42" s="1">
        <f>IF(P42=0,0,IF(Timing浏览!$D$5="全部",1,IF(Timing浏览!$D$5="仅里程碑",IF(K42="里程碑",1,0),IF(L42&lt;=VALUE(LEFT(Timing浏览!$D$5,1)),1,0))))</f>
        <v>0</v>
      </c>
      <c r="U42" s="1" t="str">
        <f>IF(T42=0,"",COUNTIFS($S$10:$S$109,"&lt;"&amp;S42,$T$10:$T$109,1)+1)</f>
        <v/>
      </c>
      <c r="V42" s="1" t="str">
        <f>IF(OR(A42="",L42=1),"",IF(L42=2,TEXT(AB42,"0"),TEXT(AB42,"0")&amp;"."&amp;TEXT(AC42,"0")))</f>
        <v/>
      </c>
      <c r="W42" s="1" t="str">
        <f>IF(OR(A42="",L42=1),"",TEXT(AB42,"0"))</f>
        <v/>
      </c>
      <c r="X42" s="1" t="str">
        <f>IF(AND(A42="",B42=""),"",IF(OR(A42="",B42=""),"请补编号和名称",IF(AE42=0,"编号需为1至3级正整数",IF(COUNTIFS($AG$10:$AG$109,"W"&amp;A42)&lt;&gt;1,"编号重复",IF(AND(L42&gt;1,COUNTIFS($AG$10:$AG$109,"W"&amp;V42,$B$10:$B$109,"&lt;&gt;")&lt;&gt;1),"缺少父任务",IF(J42="删除","待删除",IF(P42=0,"父任务已删除或无效",IF(K42="汇总",IF(COUNTIFS($S$10:$S$109,"&gt;"&amp;S42,$S$10:$S$109,"&lt;"&amp;(S42+IF(L42=1,1000000,IF(L42=2,1000,1))),$P$10:$P$109,1)=0,"等待子任务","由下级汇总"),IF(OR(D42="",E42=""),"待补日期",IF(E42&lt;D42,"结束早于开始",IF(AND(I42="里程碑",D42&lt;&gt;E42),"里程碑须同日","")))))))))))</f>
        <v/>
      </c>
      <c r="Y42" s="1">
        <f>IF(AA42=1,D42,100000000)</f>
        <v>100000000</v>
      </c>
      <c r="Z42" s="1">
        <f>IF(AA42=1,E42,0)</f>
        <v>0</v>
      </c>
      <c r="AA42" s="1">
        <f>IF(AND(P42=1,K42&lt;&gt;"汇总",ISNUMBER(F42),OR(I42&lt;&gt;"里程碑",D42=E42)),1,0)</f>
        <v>0</v>
      </c>
      <c r="AB42" s="1">
        <f>IF(A42="",0,IFERROR(VALUE(MID(("W"&amp;A42),2,FIND(".",("W"&amp;A42)&amp;".")-2)),-1))</f>
        <v>0</v>
      </c>
      <c r="AC42" s="1">
        <f>IF(OR(A42="",L42&lt;2),0,IFERROR(VALUE(MID(("W"&amp;A42),FIND(".",("W"&amp;A42))+1,FIND(".",("W"&amp;A42)&amp;".",FIND(".",("W"&amp;A42))+1)-FIND(".",("W"&amp;A42))-1)),-1))</f>
        <v>0</v>
      </c>
      <c r="AD42" s="1">
        <f>IF(OR(A42="",L42&lt;3),0,IFERROR(VALUE(RIGHT(("W"&amp;A42),LEN(("W"&amp;A42))-FIND(".",("W"&amp;A42),FIND(".",("W"&amp;A42))+1))),-1))</f>
        <v>0</v>
      </c>
      <c r="AE42" s="1">
        <f>IF(A42="",0,IF(AND(L42&lt;=3,AB42&gt;=1,AB42&lt;=999,AC42&gt;=0,AC42&lt;=999,AD42&gt;=0,AD42&lt;=999,A42=TEXT(AB42,"0")&amp;IF(L42&gt;1,"."&amp;TEXT(AC42,"0"),"")&amp;IF(L42&gt;2,"."&amp;TEXT(AD42,"0"),""),OR(L42&lt;2,AC42&gt;=1),OR(L42&lt;3,AD42&gt;=1)),1,0))</f>
        <v>0</v>
      </c>
      <c r="AF42" s="1"/>
      <c r="AG42" t="str">
        <f>"W"&amp;A42</f>
        <v>W</v>
      </c>
    </row>
    <row r="43" spans="1:33" ht="16.5">
      <c r="A43" s="12" t="str">
        <f>IF(ROW()-9&gt;ROWS(TimingTasks[WBS]),"",IF(AND(INDEX(TimingTasks[WBS],ROW()-9)="",NOT(ISNUMBER(INDEX(TimingTasks[WBS],ROW()-9)))),"",INDEX(TimingTasks[WBS],ROW()-9)))</f>
        <v/>
      </c>
      <c r="B43" s="10" t="str">
        <f>IF(ROW()-9&gt;ROWS(TimingTasks[WBS]),"",IF(AND(INDEX(TimingTasks[任务名称],ROW()-9)="",NOT(ISNUMBER(INDEX(TimingTasks[任务名称],ROW()-9)))),"",INDEX(TimingTasks[任务名称],ROW()-9)))</f>
        <v/>
      </c>
      <c r="C43" s="10" t="str">
        <f>IF(ROW()-9&gt;ROWS(TimingTasks[WBS]),"",IF(AND(INDEX(TimingTasks[负责人],ROW()-9)="",NOT(ISNUMBER(INDEX(TimingTasks[负责人],ROW()-9)))),"",INDEX(TimingTasks[负责人],ROW()-9)))</f>
        <v/>
      </c>
      <c r="D43" s="11" t="str">
        <f>IF(ROW()-9&gt;ROWS(TimingTasks[WBS]),"",IF(AND(INDEX(TimingTasks[输入开始],ROW()-9)="",NOT(ISNUMBER(INDEX(TimingTasks[输入开始],ROW()-9)))),"",INDEX(TimingTasks[输入开始],ROW()-9)))</f>
        <v/>
      </c>
      <c r="E43" s="11" t="str">
        <f>IF(ROW()-9&gt;ROWS(TimingTasks[WBS]),"",IF(AND(INDEX(TimingTasks[输入结束],ROW()-9)="",NOT(ISNUMBER(INDEX(TimingTasks[输入结束],ROW()-9)))),"",INDEX(TimingTasks[输入结束],ROW()-9)))</f>
        <v/>
      </c>
      <c r="F43" s="1" t="str">
        <f>IF(OR(P43=0,K43="汇总",D43="",E43="",E43&lt;D43),"",IF(I43="里程碑",0,NETWORKDAYS(D43,E43)))</f>
        <v/>
      </c>
      <c r="G43" s="15" t="str">
        <f>IF(ROW()-9&gt;ROWS(TimingTasks[WBS]),"",IF(AND(INDEX(TimingTasks[输入完成度],ROW()-9)="",NOT(ISNUMBER(INDEX(TimingTasks[输入完成度],ROW()-9)))),0,INDEX(TimingTasks[输入完成度],ROW()-9)))</f>
        <v/>
      </c>
      <c r="H43" s="10" t="str">
        <f>IF(ROW()-9&gt;ROWS(TimingTasks[WBS]),"",IF(AND(INDEX(TimingTasks[前置任务 WBS],ROW()-9)="",NOT(ISNUMBER(INDEX(TimingTasks[前置任务 WBS],ROW()-9)))),"",INDEX(TimingTasks[前置任务 WBS],ROW()-9)))</f>
        <v/>
      </c>
      <c r="I43" s="10" t="str">
        <f>IF(ROW()-9&gt;ROWS(TimingTasks[WBS]),"",IF(AND(INDEX(TimingTasks[叶子类型],ROW()-9)="",NOT(ISNUMBER(INDEX(TimingTasks[叶子类型],ROW()-9)))),"普通任务",INDEX(TimingTasks[叶子类型],ROW()-9)))</f>
        <v/>
      </c>
      <c r="J43" s="10" t="str">
        <f>IF(ROW()-9&gt;ROWS(TimingTasks[WBS]),"",IF(AND(INDEX(TimingTasks[操作],ROW()-9)="",NOT(ISNUMBER(INDEX(TimingTasks[操作],ROW()-9)))),"保留",INDEX(TimingTasks[操作],ROW()-9)))</f>
        <v/>
      </c>
      <c r="K43" s="1" t="str">
        <f>IF(P43=0,"",IF(OR(AND(L43=1,D43="",E43="",I43&lt;&gt;"里程碑"),COUNTIFS($S$10:$S$109,"&gt;"&amp;S43,$S$10:$S$109,"&lt;"&amp;(S43+IF(L43=1,1000000,IF(L43=2,1000,1))),$P$10:$P$109,1)&gt;0),"汇总",I43))</f>
        <v/>
      </c>
      <c r="L43" s="1" t="str">
        <f>IF(A43="","",LEN(("W"&amp;A43))-LEN(SUBSTITUTE(("W"&amp;A43),".",""))+1)</f>
        <v/>
      </c>
      <c r="M43" s="3" t="str">
        <f>IF(P43=0,"",IF(K43="汇总",IF(COUNTIFS($S$10:$S$109,"&gt;"&amp;S43,$S$10:$S$109,"&lt;"&amp;(S43+IF(L43=1,1000000,IF(L43=2,1000,1))),$AA$10:$AA$109,1)=0,"",_xlfn.MINIFS($Y$10:$Y$109,$S$10:$S$109,"&gt;"&amp;S43,$S$10:$S$109,"&lt;"&amp;(S43+IF(L43=1,1000000,IF(L43=2,1000,1))),$AA$10:$AA$109,1)),IF(AA43=1,D43,"")))</f>
        <v/>
      </c>
      <c r="N43" s="3" t="str">
        <f>IF(P43=0,"",IF(K43="汇总",IF(COUNTIFS($S$10:$S$109,"&gt;"&amp;S43,$S$10:$S$109,"&lt;"&amp;(S43+IF(L43=1,1000000,IF(L43=2,1000,1))),$AA$10:$AA$109,1)=0,"",_xlfn.MAXIFS($Z$10:$Z$109,$S$10:$S$109,"&gt;"&amp;S43,$S$10:$S$109,"&lt;"&amp;(S43+IF(L43=1,1000000,IF(L43=2,1000,1))),$AA$10:$AA$109,1)),IF(AA43=1,E43,"")))</f>
        <v/>
      </c>
      <c r="O43" s="7" t="str">
        <f>IF(K43="汇总",ROUND((IF(P43=0,"",IF(K43="汇总",IF(SUMIFS($Q$10:$Q$109,$S$10:$S$109,"&gt;"&amp;S43,$S$10:$S$109,"&lt;"&amp;(S43+IF(L43=1,1000000,IF(L43=2,1000,1))))=0,0,SUMIFS($R$10:$R$109,$S$10:$S$109,"&gt;"&amp;S43,$S$10:$S$109,"&lt;"&amp;(S43+IF(L43=1,1000000,IF(L43=2,1000,1))))/SUMIFS($Q$10:$Q$109,$S$10:$S$109,"&gt;"&amp;S43,$S$10:$S$109,"&lt;"&amp;(S43+IF(L43=1,1000000,IF(L43=2,1000,1))))),G43)))*100,0)/100,IF(P43=0,"",IF(K43="汇总",IF(SUMIFS($Q$10:$Q$109,$S$10:$S$109,"&gt;"&amp;S43,$S$10:$S$109,"&lt;"&amp;(S43+IF(L43=1,1000000,IF(L43=2,1000,1))))=0,0,SUMIFS($R$10:$R$109,$S$10:$S$109,"&gt;"&amp;S43,$S$10:$S$109,"&lt;"&amp;(S43+IF(L43=1,1000000,IF(L43=2,1000,1))))/SUMIFS($Q$10:$Q$109,$S$10:$S$109,"&gt;"&amp;S43,$S$10:$S$109,"&lt;"&amp;(S43+IF(L43=1,1000000,IF(L43=2,1000,1))))),G43)))</f>
        <v/>
      </c>
      <c r="P43" s="1">
        <f>IF(OR(A43="",B43="",J43="删除",AE43=0,COUNTIFS($AG$10:$AG$109,"W"&amp;A43)&lt;&gt;1,AND(L43&gt;1,COUNTIFS($AG$10:$AG$109,"W"&amp;V43,$B$10:$B$109,"&lt;&gt;")&lt;&gt;1),AND(L43=3,COUNTIFS($AG$10:$AG$109,"W"&amp;W43,$B$10:$B$109,"&lt;&gt;")&lt;&gt;1),COUNTIFS($AG$10:$AG$109,"W"&amp;V43,$J$10:$J$109,"删除")&gt;0,COUNTIFS($AG$10:$AG$109,"W"&amp;W43,$J$10:$J$109,"删除")&gt;0),0,1)</f>
        <v>0</v>
      </c>
      <c r="Q43" s="1">
        <f>IF(AA43=0,0,IF(I43="里程碑",1,F43))</f>
        <v>0</v>
      </c>
      <c r="R43" s="1">
        <f>IF(AA43=0,0,Q43*G43)</f>
        <v>0</v>
      </c>
      <c r="S43" s="1">
        <f>IF(P43=0,1000000000000000,AB43*1000000+AC43*1000+AD43)</f>
        <v>1000000000000000</v>
      </c>
      <c r="T43" s="1">
        <f>IF(P43=0,0,IF(Timing浏览!$D$5="全部",1,IF(Timing浏览!$D$5="仅里程碑",IF(K43="里程碑",1,0),IF(L43&lt;=VALUE(LEFT(Timing浏览!$D$5,1)),1,0))))</f>
        <v>0</v>
      </c>
      <c r="U43" s="1" t="str">
        <f>IF(T43=0,"",COUNTIFS($S$10:$S$109,"&lt;"&amp;S43,$T$10:$T$109,1)+1)</f>
        <v/>
      </c>
      <c r="V43" s="1" t="str">
        <f>IF(OR(A43="",L43=1),"",IF(L43=2,TEXT(AB43,"0"),TEXT(AB43,"0")&amp;"."&amp;TEXT(AC43,"0")))</f>
        <v/>
      </c>
      <c r="W43" s="1" t="str">
        <f>IF(OR(A43="",L43=1),"",TEXT(AB43,"0"))</f>
        <v/>
      </c>
      <c r="X43" s="1" t="str">
        <f>IF(AND(A43="",B43=""),"",IF(OR(A43="",B43=""),"请补编号和名称",IF(AE43=0,"编号需为1至3级正整数",IF(COUNTIFS($AG$10:$AG$109,"W"&amp;A43)&lt;&gt;1,"编号重复",IF(AND(L43&gt;1,COUNTIFS($AG$10:$AG$109,"W"&amp;V43,$B$10:$B$109,"&lt;&gt;")&lt;&gt;1),"缺少父任务",IF(J43="删除","待删除",IF(P43=0,"父任务已删除或无效",IF(K43="汇总",IF(COUNTIFS($S$10:$S$109,"&gt;"&amp;S43,$S$10:$S$109,"&lt;"&amp;(S43+IF(L43=1,1000000,IF(L43=2,1000,1))),$P$10:$P$109,1)=0,"等待子任务","由下级汇总"),IF(OR(D43="",E43=""),"待补日期",IF(E43&lt;D43,"结束早于开始",IF(AND(I43="里程碑",D43&lt;&gt;E43),"里程碑须同日","")))))))))))</f>
        <v/>
      </c>
      <c r="Y43" s="1">
        <f>IF(AA43=1,D43,100000000)</f>
        <v>100000000</v>
      </c>
      <c r="Z43" s="1">
        <f>IF(AA43=1,E43,0)</f>
        <v>0</v>
      </c>
      <c r="AA43" s="1">
        <f>IF(AND(P43=1,K43&lt;&gt;"汇总",ISNUMBER(F43),OR(I43&lt;&gt;"里程碑",D43=E43)),1,0)</f>
        <v>0</v>
      </c>
      <c r="AB43" s="1">
        <f>IF(A43="",0,IFERROR(VALUE(MID(("W"&amp;A43),2,FIND(".",("W"&amp;A43)&amp;".")-2)),-1))</f>
        <v>0</v>
      </c>
      <c r="AC43" s="1">
        <f>IF(OR(A43="",L43&lt;2),0,IFERROR(VALUE(MID(("W"&amp;A43),FIND(".",("W"&amp;A43))+1,FIND(".",("W"&amp;A43)&amp;".",FIND(".",("W"&amp;A43))+1)-FIND(".",("W"&amp;A43))-1)),-1))</f>
        <v>0</v>
      </c>
      <c r="AD43" s="1">
        <f>IF(OR(A43="",L43&lt;3),0,IFERROR(VALUE(RIGHT(("W"&amp;A43),LEN(("W"&amp;A43))-FIND(".",("W"&amp;A43),FIND(".",("W"&amp;A43))+1))),-1))</f>
        <v>0</v>
      </c>
      <c r="AE43" s="1">
        <f>IF(A43="",0,IF(AND(L43&lt;=3,AB43&gt;=1,AB43&lt;=999,AC43&gt;=0,AC43&lt;=999,AD43&gt;=0,AD43&lt;=999,A43=TEXT(AB43,"0")&amp;IF(L43&gt;1,"."&amp;TEXT(AC43,"0"),"")&amp;IF(L43&gt;2,"."&amp;TEXT(AD43,"0"),""),OR(L43&lt;2,AC43&gt;=1),OR(L43&lt;3,AD43&gt;=1)),1,0))</f>
        <v>0</v>
      </c>
      <c r="AF43" s="1"/>
      <c r="AG43" t="str">
        <f>"W"&amp;A43</f>
        <v>W</v>
      </c>
    </row>
    <row r="44" spans="1:33" ht="16.5">
      <c r="A44" s="12" t="str">
        <f>IF(ROW()-9&gt;ROWS(TimingTasks[WBS]),"",IF(AND(INDEX(TimingTasks[WBS],ROW()-9)="",NOT(ISNUMBER(INDEX(TimingTasks[WBS],ROW()-9)))),"",INDEX(TimingTasks[WBS],ROW()-9)))</f>
        <v/>
      </c>
      <c r="B44" s="10" t="str">
        <f>IF(ROW()-9&gt;ROWS(TimingTasks[WBS]),"",IF(AND(INDEX(TimingTasks[任务名称],ROW()-9)="",NOT(ISNUMBER(INDEX(TimingTasks[任务名称],ROW()-9)))),"",INDEX(TimingTasks[任务名称],ROW()-9)))</f>
        <v/>
      </c>
      <c r="C44" s="10" t="str">
        <f>IF(ROW()-9&gt;ROWS(TimingTasks[WBS]),"",IF(AND(INDEX(TimingTasks[负责人],ROW()-9)="",NOT(ISNUMBER(INDEX(TimingTasks[负责人],ROW()-9)))),"",INDEX(TimingTasks[负责人],ROW()-9)))</f>
        <v/>
      </c>
      <c r="D44" s="11" t="str">
        <f>IF(ROW()-9&gt;ROWS(TimingTasks[WBS]),"",IF(AND(INDEX(TimingTasks[输入开始],ROW()-9)="",NOT(ISNUMBER(INDEX(TimingTasks[输入开始],ROW()-9)))),"",INDEX(TimingTasks[输入开始],ROW()-9)))</f>
        <v/>
      </c>
      <c r="E44" s="11" t="str">
        <f>IF(ROW()-9&gt;ROWS(TimingTasks[WBS]),"",IF(AND(INDEX(TimingTasks[输入结束],ROW()-9)="",NOT(ISNUMBER(INDEX(TimingTasks[输入结束],ROW()-9)))),"",INDEX(TimingTasks[输入结束],ROW()-9)))</f>
        <v/>
      </c>
      <c r="F44" s="1" t="str">
        <f>IF(OR(P44=0,K44="汇总",D44="",E44="",E44&lt;D44),"",IF(I44="里程碑",0,NETWORKDAYS(D44,E44)))</f>
        <v/>
      </c>
      <c r="G44" s="15" t="str">
        <f>IF(ROW()-9&gt;ROWS(TimingTasks[WBS]),"",IF(AND(INDEX(TimingTasks[输入完成度],ROW()-9)="",NOT(ISNUMBER(INDEX(TimingTasks[输入完成度],ROW()-9)))),0,INDEX(TimingTasks[输入完成度],ROW()-9)))</f>
        <v/>
      </c>
      <c r="H44" s="10" t="str">
        <f>IF(ROW()-9&gt;ROWS(TimingTasks[WBS]),"",IF(AND(INDEX(TimingTasks[前置任务 WBS],ROW()-9)="",NOT(ISNUMBER(INDEX(TimingTasks[前置任务 WBS],ROW()-9)))),"",INDEX(TimingTasks[前置任务 WBS],ROW()-9)))</f>
        <v/>
      </c>
      <c r="I44" s="10" t="str">
        <f>IF(ROW()-9&gt;ROWS(TimingTasks[WBS]),"",IF(AND(INDEX(TimingTasks[叶子类型],ROW()-9)="",NOT(ISNUMBER(INDEX(TimingTasks[叶子类型],ROW()-9)))),"普通任务",INDEX(TimingTasks[叶子类型],ROW()-9)))</f>
        <v/>
      </c>
      <c r="J44" s="10" t="str">
        <f>IF(ROW()-9&gt;ROWS(TimingTasks[WBS]),"",IF(AND(INDEX(TimingTasks[操作],ROW()-9)="",NOT(ISNUMBER(INDEX(TimingTasks[操作],ROW()-9)))),"保留",INDEX(TimingTasks[操作],ROW()-9)))</f>
        <v/>
      </c>
      <c r="K44" s="1" t="str">
        <f>IF(P44=0,"",IF(OR(AND(L44=1,D44="",E44="",I44&lt;&gt;"里程碑"),COUNTIFS($S$10:$S$109,"&gt;"&amp;S44,$S$10:$S$109,"&lt;"&amp;(S44+IF(L44=1,1000000,IF(L44=2,1000,1))),$P$10:$P$109,1)&gt;0),"汇总",I44))</f>
        <v/>
      </c>
      <c r="L44" s="1" t="str">
        <f>IF(A44="","",LEN(("W"&amp;A44))-LEN(SUBSTITUTE(("W"&amp;A44),".",""))+1)</f>
        <v/>
      </c>
      <c r="M44" s="3" t="str">
        <f>IF(P44=0,"",IF(K44="汇总",IF(COUNTIFS($S$10:$S$109,"&gt;"&amp;S44,$S$10:$S$109,"&lt;"&amp;(S44+IF(L44=1,1000000,IF(L44=2,1000,1))),$AA$10:$AA$109,1)=0,"",_xlfn.MINIFS($Y$10:$Y$109,$S$10:$S$109,"&gt;"&amp;S44,$S$10:$S$109,"&lt;"&amp;(S44+IF(L44=1,1000000,IF(L44=2,1000,1))),$AA$10:$AA$109,1)),IF(AA44=1,D44,"")))</f>
        <v/>
      </c>
      <c r="N44" s="3" t="str">
        <f>IF(P44=0,"",IF(K44="汇总",IF(COUNTIFS($S$10:$S$109,"&gt;"&amp;S44,$S$10:$S$109,"&lt;"&amp;(S44+IF(L44=1,1000000,IF(L44=2,1000,1))),$AA$10:$AA$109,1)=0,"",_xlfn.MAXIFS($Z$10:$Z$109,$S$10:$S$109,"&gt;"&amp;S44,$S$10:$S$109,"&lt;"&amp;(S44+IF(L44=1,1000000,IF(L44=2,1000,1))),$AA$10:$AA$109,1)),IF(AA44=1,E44,"")))</f>
        <v/>
      </c>
      <c r="O44" s="7" t="str">
        <f>IF(K44="汇总",ROUND((IF(P44=0,"",IF(K44="汇总",IF(SUMIFS($Q$10:$Q$109,$S$10:$S$109,"&gt;"&amp;S44,$S$10:$S$109,"&lt;"&amp;(S44+IF(L44=1,1000000,IF(L44=2,1000,1))))=0,0,SUMIFS($R$10:$R$109,$S$10:$S$109,"&gt;"&amp;S44,$S$10:$S$109,"&lt;"&amp;(S44+IF(L44=1,1000000,IF(L44=2,1000,1))))/SUMIFS($Q$10:$Q$109,$S$10:$S$109,"&gt;"&amp;S44,$S$10:$S$109,"&lt;"&amp;(S44+IF(L44=1,1000000,IF(L44=2,1000,1))))),G44)))*100,0)/100,IF(P44=0,"",IF(K44="汇总",IF(SUMIFS($Q$10:$Q$109,$S$10:$S$109,"&gt;"&amp;S44,$S$10:$S$109,"&lt;"&amp;(S44+IF(L44=1,1000000,IF(L44=2,1000,1))))=0,0,SUMIFS($R$10:$R$109,$S$10:$S$109,"&gt;"&amp;S44,$S$10:$S$109,"&lt;"&amp;(S44+IF(L44=1,1000000,IF(L44=2,1000,1))))/SUMIFS($Q$10:$Q$109,$S$10:$S$109,"&gt;"&amp;S44,$S$10:$S$109,"&lt;"&amp;(S44+IF(L44=1,1000000,IF(L44=2,1000,1))))),G44)))</f>
        <v/>
      </c>
      <c r="P44" s="1">
        <f>IF(OR(A44="",B44="",J44="删除",AE44=0,COUNTIFS($AG$10:$AG$109,"W"&amp;A44)&lt;&gt;1,AND(L44&gt;1,COUNTIFS($AG$10:$AG$109,"W"&amp;V44,$B$10:$B$109,"&lt;&gt;")&lt;&gt;1),AND(L44=3,COUNTIFS($AG$10:$AG$109,"W"&amp;W44,$B$10:$B$109,"&lt;&gt;")&lt;&gt;1),COUNTIFS($AG$10:$AG$109,"W"&amp;V44,$J$10:$J$109,"删除")&gt;0,COUNTIFS($AG$10:$AG$109,"W"&amp;W44,$J$10:$J$109,"删除")&gt;0),0,1)</f>
        <v>0</v>
      </c>
      <c r="Q44" s="1">
        <f>IF(AA44=0,0,IF(I44="里程碑",1,F44))</f>
        <v>0</v>
      </c>
      <c r="R44" s="1">
        <f>IF(AA44=0,0,Q44*G44)</f>
        <v>0</v>
      </c>
      <c r="S44" s="1">
        <f>IF(P44=0,1000000000000000,AB44*1000000+AC44*1000+AD44)</f>
        <v>1000000000000000</v>
      </c>
      <c r="T44" s="1">
        <f>IF(P44=0,0,IF(Timing浏览!$D$5="全部",1,IF(Timing浏览!$D$5="仅里程碑",IF(K44="里程碑",1,0),IF(L44&lt;=VALUE(LEFT(Timing浏览!$D$5,1)),1,0))))</f>
        <v>0</v>
      </c>
      <c r="U44" s="1" t="str">
        <f>IF(T44=0,"",COUNTIFS($S$10:$S$109,"&lt;"&amp;S44,$T$10:$T$109,1)+1)</f>
        <v/>
      </c>
      <c r="V44" s="1" t="str">
        <f>IF(OR(A44="",L44=1),"",IF(L44=2,TEXT(AB44,"0"),TEXT(AB44,"0")&amp;"."&amp;TEXT(AC44,"0")))</f>
        <v/>
      </c>
      <c r="W44" s="1" t="str">
        <f>IF(OR(A44="",L44=1),"",TEXT(AB44,"0"))</f>
        <v/>
      </c>
      <c r="X44" s="1" t="str">
        <f>IF(AND(A44="",B44=""),"",IF(OR(A44="",B44=""),"请补编号和名称",IF(AE44=0,"编号需为1至3级正整数",IF(COUNTIFS($AG$10:$AG$109,"W"&amp;A44)&lt;&gt;1,"编号重复",IF(AND(L44&gt;1,COUNTIFS($AG$10:$AG$109,"W"&amp;V44,$B$10:$B$109,"&lt;&gt;")&lt;&gt;1),"缺少父任务",IF(J44="删除","待删除",IF(P44=0,"父任务已删除或无效",IF(K44="汇总",IF(COUNTIFS($S$10:$S$109,"&gt;"&amp;S44,$S$10:$S$109,"&lt;"&amp;(S44+IF(L44=1,1000000,IF(L44=2,1000,1))),$P$10:$P$109,1)=0,"等待子任务","由下级汇总"),IF(OR(D44="",E44=""),"待补日期",IF(E44&lt;D44,"结束早于开始",IF(AND(I44="里程碑",D44&lt;&gt;E44),"里程碑须同日","")))))))))))</f>
        <v/>
      </c>
      <c r="Y44" s="1">
        <f>IF(AA44=1,D44,100000000)</f>
        <v>100000000</v>
      </c>
      <c r="Z44" s="1">
        <f>IF(AA44=1,E44,0)</f>
        <v>0</v>
      </c>
      <c r="AA44" s="1">
        <f>IF(AND(P44=1,K44&lt;&gt;"汇总",ISNUMBER(F44),OR(I44&lt;&gt;"里程碑",D44=E44)),1,0)</f>
        <v>0</v>
      </c>
      <c r="AB44" s="1">
        <f>IF(A44="",0,IFERROR(VALUE(MID(("W"&amp;A44),2,FIND(".",("W"&amp;A44)&amp;".")-2)),-1))</f>
        <v>0</v>
      </c>
      <c r="AC44" s="1">
        <f>IF(OR(A44="",L44&lt;2),0,IFERROR(VALUE(MID(("W"&amp;A44),FIND(".",("W"&amp;A44))+1,FIND(".",("W"&amp;A44)&amp;".",FIND(".",("W"&amp;A44))+1)-FIND(".",("W"&amp;A44))-1)),-1))</f>
        <v>0</v>
      </c>
      <c r="AD44" s="1">
        <f>IF(OR(A44="",L44&lt;3),0,IFERROR(VALUE(RIGHT(("W"&amp;A44),LEN(("W"&amp;A44))-FIND(".",("W"&amp;A44),FIND(".",("W"&amp;A44))+1))),-1))</f>
        <v>0</v>
      </c>
      <c r="AE44" s="1">
        <f>IF(A44="",0,IF(AND(L44&lt;=3,AB44&gt;=1,AB44&lt;=999,AC44&gt;=0,AC44&lt;=999,AD44&gt;=0,AD44&lt;=999,A44=TEXT(AB44,"0")&amp;IF(L44&gt;1,"."&amp;TEXT(AC44,"0"),"")&amp;IF(L44&gt;2,"."&amp;TEXT(AD44,"0"),""),OR(L44&lt;2,AC44&gt;=1),OR(L44&lt;3,AD44&gt;=1)),1,0))</f>
        <v>0</v>
      </c>
      <c r="AF44" s="1"/>
      <c r="AG44" t="str">
        <f>"W"&amp;A44</f>
        <v>W</v>
      </c>
    </row>
    <row r="45" spans="1:33" ht="16.5">
      <c r="A45" s="12" t="str">
        <f>IF(ROW()-9&gt;ROWS(TimingTasks[WBS]),"",IF(AND(INDEX(TimingTasks[WBS],ROW()-9)="",NOT(ISNUMBER(INDEX(TimingTasks[WBS],ROW()-9)))),"",INDEX(TimingTasks[WBS],ROW()-9)))</f>
        <v/>
      </c>
      <c r="B45" s="10" t="str">
        <f>IF(ROW()-9&gt;ROWS(TimingTasks[WBS]),"",IF(AND(INDEX(TimingTasks[任务名称],ROW()-9)="",NOT(ISNUMBER(INDEX(TimingTasks[任务名称],ROW()-9)))),"",INDEX(TimingTasks[任务名称],ROW()-9)))</f>
        <v/>
      </c>
      <c r="C45" s="10" t="str">
        <f>IF(ROW()-9&gt;ROWS(TimingTasks[WBS]),"",IF(AND(INDEX(TimingTasks[负责人],ROW()-9)="",NOT(ISNUMBER(INDEX(TimingTasks[负责人],ROW()-9)))),"",INDEX(TimingTasks[负责人],ROW()-9)))</f>
        <v/>
      </c>
      <c r="D45" s="11" t="str">
        <f>IF(ROW()-9&gt;ROWS(TimingTasks[WBS]),"",IF(AND(INDEX(TimingTasks[输入开始],ROW()-9)="",NOT(ISNUMBER(INDEX(TimingTasks[输入开始],ROW()-9)))),"",INDEX(TimingTasks[输入开始],ROW()-9)))</f>
        <v/>
      </c>
      <c r="E45" s="11" t="str">
        <f>IF(ROW()-9&gt;ROWS(TimingTasks[WBS]),"",IF(AND(INDEX(TimingTasks[输入结束],ROW()-9)="",NOT(ISNUMBER(INDEX(TimingTasks[输入结束],ROW()-9)))),"",INDEX(TimingTasks[输入结束],ROW()-9)))</f>
        <v/>
      </c>
      <c r="F45" s="1" t="str">
        <f>IF(OR(P45=0,K45="汇总",D45="",E45="",E45&lt;D45),"",IF(I45="里程碑",0,NETWORKDAYS(D45,E45)))</f>
        <v/>
      </c>
      <c r="G45" s="15" t="str">
        <f>IF(ROW()-9&gt;ROWS(TimingTasks[WBS]),"",IF(AND(INDEX(TimingTasks[输入完成度],ROW()-9)="",NOT(ISNUMBER(INDEX(TimingTasks[输入完成度],ROW()-9)))),0,INDEX(TimingTasks[输入完成度],ROW()-9)))</f>
        <v/>
      </c>
      <c r="H45" s="10" t="str">
        <f>IF(ROW()-9&gt;ROWS(TimingTasks[WBS]),"",IF(AND(INDEX(TimingTasks[前置任务 WBS],ROW()-9)="",NOT(ISNUMBER(INDEX(TimingTasks[前置任务 WBS],ROW()-9)))),"",INDEX(TimingTasks[前置任务 WBS],ROW()-9)))</f>
        <v/>
      </c>
      <c r="I45" s="10" t="str">
        <f>IF(ROW()-9&gt;ROWS(TimingTasks[WBS]),"",IF(AND(INDEX(TimingTasks[叶子类型],ROW()-9)="",NOT(ISNUMBER(INDEX(TimingTasks[叶子类型],ROW()-9)))),"普通任务",INDEX(TimingTasks[叶子类型],ROW()-9)))</f>
        <v/>
      </c>
      <c r="J45" s="10" t="str">
        <f>IF(ROW()-9&gt;ROWS(TimingTasks[WBS]),"",IF(AND(INDEX(TimingTasks[操作],ROW()-9)="",NOT(ISNUMBER(INDEX(TimingTasks[操作],ROW()-9)))),"保留",INDEX(TimingTasks[操作],ROW()-9)))</f>
        <v/>
      </c>
      <c r="K45" s="1" t="str">
        <f>IF(P45=0,"",IF(OR(AND(L45=1,D45="",E45="",I45&lt;&gt;"里程碑"),COUNTIFS($S$10:$S$109,"&gt;"&amp;S45,$S$10:$S$109,"&lt;"&amp;(S45+IF(L45=1,1000000,IF(L45=2,1000,1))),$P$10:$P$109,1)&gt;0),"汇总",I45))</f>
        <v/>
      </c>
      <c r="L45" s="1" t="str">
        <f>IF(A45="","",LEN(("W"&amp;A45))-LEN(SUBSTITUTE(("W"&amp;A45),".",""))+1)</f>
        <v/>
      </c>
      <c r="M45" s="3" t="str">
        <f>IF(P45=0,"",IF(K45="汇总",IF(COUNTIFS($S$10:$S$109,"&gt;"&amp;S45,$S$10:$S$109,"&lt;"&amp;(S45+IF(L45=1,1000000,IF(L45=2,1000,1))),$AA$10:$AA$109,1)=0,"",_xlfn.MINIFS($Y$10:$Y$109,$S$10:$S$109,"&gt;"&amp;S45,$S$10:$S$109,"&lt;"&amp;(S45+IF(L45=1,1000000,IF(L45=2,1000,1))),$AA$10:$AA$109,1)),IF(AA45=1,D45,"")))</f>
        <v/>
      </c>
      <c r="N45" s="3" t="str">
        <f>IF(P45=0,"",IF(K45="汇总",IF(COUNTIFS($S$10:$S$109,"&gt;"&amp;S45,$S$10:$S$109,"&lt;"&amp;(S45+IF(L45=1,1000000,IF(L45=2,1000,1))),$AA$10:$AA$109,1)=0,"",_xlfn.MAXIFS($Z$10:$Z$109,$S$10:$S$109,"&gt;"&amp;S45,$S$10:$S$109,"&lt;"&amp;(S45+IF(L45=1,1000000,IF(L45=2,1000,1))),$AA$10:$AA$109,1)),IF(AA45=1,E45,"")))</f>
        <v/>
      </c>
      <c r="O45" s="7" t="str">
        <f>IF(K45="汇总",ROUND((IF(P45=0,"",IF(K45="汇总",IF(SUMIFS($Q$10:$Q$109,$S$10:$S$109,"&gt;"&amp;S45,$S$10:$S$109,"&lt;"&amp;(S45+IF(L45=1,1000000,IF(L45=2,1000,1))))=0,0,SUMIFS($R$10:$R$109,$S$10:$S$109,"&gt;"&amp;S45,$S$10:$S$109,"&lt;"&amp;(S45+IF(L45=1,1000000,IF(L45=2,1000,1))))/SUMIFS($Q$10:$Q$109,$S$10:$S$109,"&gt;"&amp;S45,$S$10:$S$109,"&lt;"&amp;(S45+IF(L45=1,1000000,IF(L45=2,1000,1))))),G45)))*100,0)/100,IF(P45=0,"",IF(K45="汇总",IF(SUMIFS($Q$10:$Q$109,$S$10:$S$109,"&gt;"&amp;S45,$S$10:$S$109,"&lt;"&amp;(S45+IF(L45=1,1000000,IF(L45=2,1000,1))))=0,0,SUMIFS($R$10:$R$109,$S$10:$S$109,"&gt;"&amp;S45,$S$10:$S$109,"&lt;"&amp;(S45+IF(L45=1,1000000,IF(L45=2,1000,1))))/SUMIFS($Q$10:$Q$109,$S$10:$S$109,"&gt;"&amp;S45,$S$10:$S$109,"&lt;"&amp;(S45+IF(L45=1,1000000,IF(L45=2,1000,1))))),G45)))</f>
        <v/>
      </c>
      <c r="P45" s="1">
        <f>IF(OR(A45="",B45="",J45="删除",AE45=0,COUNTIFS($AG$10:$AG$109,"W"&amp;A45)&lt;&gt;1,AND(L45&gt;1,COUNTIFS($AG$10:$AG$109,"W"&amp;V45,$B$10:$B$109,"&lt;&gt;")&lt;&gt;1),AND(L45=3,COUNTIFS($AG$10:$AG$109,"W"&amp;W45,$B$10:$B$109,"&lt;&gt;")&lt;&gt;1),COUNTIFS($AG$10:$AG$109,"W"&amp;V45,$J$10:$J$109,"删除")&gt;0,COUNTIFS($AG$10:$AG$109,"W"&amp;W45,$J$10:$J$109,"删除")&gt;0),0,1)</f>
        <v>0</v>
      </c>
      <c r="Q45" s="1">
        <f>IF(AA45=0,0,IF(I45="里程碑",1,F45))</f>
        <v>0</v>
      </c>
      <c r="R45" s="1">
        <f>IF(AA45=0,0,Q45*G45)</f>
        <v>0</v>
      </c>
      <c r="S45" s="1">
        <f>IF(P45=0,1000000000000000,AB45*1000000+AC45*1000+AD45)</f>
        <v>1000000000000000</v>
      </c>
      <c r="T45" s="1">
        <f>IF(P45=0,0,IF(Timing浏览!$D$5="全部",1,IF(Timing浏览!$D$5="仅里程碑",IF(K45="里程碑",1,0),IF(L45&lt;=VALUE(LEFT(Timing浏览!$D$5,1)),1,0))))</f>
        <v>0</v>
      </c>
      <c r="U45" s="1" t="str">
        <f>IF(T45=0,"",COUNTIFS($S$10:$S$109,"&lt;"&amp;S45,$T$10:$T$109,1)+1)</f>
        <v/>
      </c>
      <c r="V45" s="1" t="str">
        <f>IF(OR(A45="",L45=1),"",IF(L45=2,TEXT(AB45,"0"),TEXT(AB45,"0")&amp;"."&amp;TEXT(AC45,"0")))</f>
        <v/>
      </c>
      <c r="W45" s="1" t="str">
        <f>IF(OR(A45="",L45=1),"",TEXT(AB45,"0"))</f>
        <v/>
      </c>
      <c r="X45" s="1" t="str">
        <f>IF(AND(A45="",B45=""),"",IF(OR(A45="",B45=""),"请补编号和名称",IF(AE45=0,"编号需为1至3级正整数",IF(COUNTIFS($AG$10:$AG$109,"W"&amp;A45)&lt;&gt;1,"编号重复",IF(AND(L45&gt;1,COUNTIFS($AG$10:$AG$109,"W"&amp;V45,$B$10:$B$109,"&lt;&gt;")&lt;&gt;1),"缺少父任务",IF(J45="删除","待删除",IF(P45=0,"父任务已删除或无效",IF(K45="汇总",IF(COUNTIFS($S$10:$S$109,"&gt;"&amp;S45,$S$10:$S$109,"&lt;"&amp;(S45+IF(L45=1,1000000,IF(L45=2,1000,1))),$P$10:$P$109,1)=0,"等待子任务","由下级汇总"),IF(OR(D45="",E45=""),"待补日期",IF(E45&lt;D45,"结束早于开始",IF(AND(I45="里程碑",D45&lt;&gt;E45),"里程碑须同日","")))))))))))</f>
        <v/>
      </c>
      <c r="Y45" s="1">
        <f>IF(AA45=1,D45,100000000)</f>
        <v>100000000</v>
      </c>
      <c r="Z45" s="1">
        <f>IF(AA45=1,E45,0)</f>
        <v>0</v>
      </c>
      <c r="AA45" s="1">
        <f>IF(AND(P45=1,K45&lt;&gt;"汇总",ISNUMBER(F45),OR(I45&lt;&gt;"里程碑",D45=E45)),1,0)</f>
        <v>0</v>
      </c>
      <c r="AB45" s="1">
        <f>IF(A45="",0,IFERROR(VALUE(MID(("W"&amp;A45),2,FIND(".",("W"&amp;A45)&amp;".")-2)),-1))</f>
        <v>0</v>
      </c>
      <c r="AC45" s="1">
        <f>IF(OR(A45="",L45&lt;2),0,IFERROR(VALUE(MID(("W"&amp;A45),FIND(".",("W"&amp;A45))+1,FIND(".",("W"&amp;A45)&amp;".",FIND(".",("W"&amp;A45))+1)-FIND(".",("W"&amp;A45))-1)),-1))</f>
        <v>0</v>
      </c>
      <c r="AD45" s="1">
        <f>IF(OR(A45="",L45&lt;3),0,IFERROR(VALUE(RIGHT(("W"&amp;A45),LEN(("W"&amp;A45))-FIND(".",("W"&amp;A45),FIND(".",("W"&amp;A45))+1))),-1))</f>
        <v>0</v>
      </c>
      <c r="AE45" s="1">
        <f>IF(A45="",0,IF(AND(L45&lt;=3,AB45&gt;=1,AB45&lt;=999,AC45&gt;=0,AC45&lt;=999,AD45&gt;=0,AD45&lt;=999,A45=TEXT(AB45,"0")&amp;IF(L45&gt;1,"."&amp;TEXT(AC45,"0"),"")&amp;IF(L45&gt;2,"."&amp;TEXT(AD45,"0"),""),OR(L45&lt;2,AC45&gt;=1),OR(L45&lt;3,AD45&gt;=1)),1,0))</f>
        <v>0</v>
      </c>
      <c r="AF45" s="1"/>
      <c r="AG45" t="str">
        <f>"W"&amp;A45</f>
        <v>W</v>
      </c>
    </row>
    <row r="46" spans="1:33" ht="16.5">
      <c r="A46" s="12" t="str">
        <f>IF(ROW()-9&gt;ROWS(TimingTasks[WBS]),"",IF(AND(INDEX(TimingTasks[WBS],ROW()-9)="",NOT(ISNUMBER(INDEX(TimingTasks[WBS],ROW()-9)))),"",INDEX(TimingTasks[WBS],ROW()-9)))</f>
        <v/>
      </c>
      <c r="B46" s="10" t="str">
        <f>IF(ROW()-9&gt;ROWS(TimingTasks[WBS]),"",IF(AND(INDEX(TimingTasks[任务名称],ROW()-9)="",NOT(ISNUMBER(INDEX(TimingTasks[任务名称],ROW()-9)))),"",INDEX(TimingTasks[任务名称],ROW()-9)))</f>
        <v/>
      </c>
      <c r="C46" s="10" t="str">
        <f>IF(ROW()-9&gt;ROWS(TimingTasks[WBS]),"",IF(AND(INDEX(TimingTasks[负责人],ROW()-9)="",NOT(ISNUMBER(INDEX(TimingTasks[负责人],ROW()-9)))),"",INDEX(TimingTasks[负责人],ROW()-9)))</f>
        <v/>
      </c>
      <c r="D46" s="11" t="str">
        <f>IF(ROW()-9&gt;ROWS(TimingTasks[WBS]),"",IF(AND(INDEX(TimingTasks[输入开始],ROW()-9)="",NOT(ISNUMBER(INDEX(TimingTasks[输入开始],ROW()-9)))),"",INDEX(TimingTasks[输入开始],ROW()-9)))</f>
        <v/>
      </c>
      <c r="E46" s="11" t="str">
        <f>IF(ROW()-9&gt;ROWS(TimingTasks[WBS]),"",IF(AND(INDEX(TimingTasks[输入结束],ROW()-9)="",NOT(ISNUMBER(INDEX(TimingTasks[输入结束],ROW()-9)))),"",INDEX(TimingTasks[输入结束],ROW()-9)))</f>
        <v/>
      </c>
      <c r="F46" s="1" t="str">
        <f>IF(OR(P46=0,K46="汇总",D46="",E46="",E46&lt;D46),"",IF(I46="里程碑",0,NETWORKDAYS(D46,E46)))</f>
        <v/>
      </c>
      <c r="G46" s="15" t="str">
        <f>IF(ROW()-9&gt;ROWS(TimingTasks[WBS]),"",IF(AND(INDEX(TimingTasks[输入完成度],ROW()-9)="",NOT(ISNUMBER(INDEX(TimingTasks[输入完成度],ROW()-9)))),0,INDEX(TimingTasks[输入完成度],ROW()-9)))</f>
        <v/>
      </c>
      <c r="H46" s="10" t="str">
        <f>IF(ROW()-9&gt;ROWS(TimingTasks[WBS]),"",IF(AND(INDEX(TimingTasks[前置任务 WBS],ROW()-9)="",NOT(ISNUMBER(INDEX(TimingTasks[前置任务 WBS],ROW()-9)))),"",INDEX(TimingTasks[前置任务 WBS],ROW()-9)))</f>
        <v/>
      </c>
      <c r="I46" s="10" t="str">
        <f>IF(ROW()-9&gt;ROWS(TimingTasks[WBS]),"",IF(AND(INDEX(TimingTasks[叶子类型],ROW()-9)="",NOT(ISNUMBER(INDEX(TimingTasks[叶子类型],ROW()-9)))),"普通任务",INDEX(TimingTasks[叶子类型],ROW()-9)))</f>
        <v/>
      </c>
      <c r="J46" s="10" t="str">
        <f>IF(ROW()-9&gt;ROWS(TimingTasks[WBS]),"",IF(AND(INDEX(TimingTasks[操作],ROW()-9)="",NOT(ISNUMBER(INDEX(TimingTasks[操作],ROW()-9)))),"保留",INDEX(TimingTasks[操作],ROW()-9)))</f>
        <v/>
      </c>
      <c r="K46" s="1" t="str">
        <f>IF(P46=0,"",IF(OR(AND(L46=1,D46="",E46="",I46&lt;&gt;"里程碑"),COUNTIFS($S$10:$S$109,"&gt;"&amp;S46,$S$10:$S$109,"&lt;"&amp;(S46+IF(L46=1,1000000,IF(L46=2,1000,1))),$P$10:$P$109,1)&gt;0),"汇总",I46))</f>
        <v/>
      </c>
      <c r="L46" s="1" t="str">
        <f>IF(A46="","",LEN(("W"&amp;A46))-LEN(SUBSTITUTE(("W"&amp;A46),".",""))+1)</f>
        <v/>
      </c>
      <c r="M46" s="3" t="str">
        <f>IF(P46=0,"",IF(K46="汇总",IF(COUNTIFS($S$10:$S$109,"&gt;"&amp;S46,$S$10:$S$109,"&lt;"&amp;(S46+IF(L46=1,1000000,IF(L46=2,1000,1))),$AA$10:$AA$109,1)=0,"",_xlfn.MINIFS($Y$10:$Y$109,$S$10:$S$109,"&gt;"&amp;S46,$S$10:$S$109,"&lt;"&amp;(S46+IF(L46=1,1000000,IF(L46=2,1000,1))),$AA$10:$AA$109,1)),IF(AA46=1,D46,"")))</f>
        <v/>
      </c>
      <c r="N46" s="3" t="str">
        <f>IF(P46=0,"",IF(K46="汇总",IF(COUNTIFS($S$10:$S$109,"&gt;"&amp;S46,$S$10:$S$109,"&lt;"&amp;(S46+IF(L46=1,1000000,IF(L46=2,1000,1))),$AA$10:$AA$109,1)=0,"",_xlfn.MAXIFS($Z$10:$Z$109,$S$10:$S$109,"&gt;"&amp;S46,$S$10:$S$109,"&lt;"&amp;(S46+IF(L46=1,1000000,IF(L46=2,1000,1))),$AA$10:$AA$109,1)),IF(AA46=1,E46,"")))</f>
        <v/>
      </c>
      <c r="O46" s="7" t="str">
        <f>IF(K46="汇总",ROUND((IF(P46=0,"",IF(K46="汇总",IF(SUMIFS($Q$10:$Q$109,$S$10:$S$109,"&gt;"&amp;S46,$S$10:$S$109,"&lt;"&amp;(S46+IF(L46=1,1000000,IF(L46=2,1000,1))))=0,0,SUMIFS($R$10:$R$109,$S$10:$S$109,"&gt;"&amp;S46,$S$10:$S$109,"&lt;"&amp;(S46+IF(L46=1,1000000,IF(L46=2,1000,1))))/SUMIFS($Q$10:$Q$109,$S$10:$S$109,"&gt;"&amp;S46,$S$10:$S$109,"&lt;"&amp;(S46+IF(L46=1,1000000,IF(L46=2,1000,1))))),G46)))*100,0)/100,IF(P46=0,"",IF(K46="汇总",IF(SUMIFS($Q$10:$Q$109,$S$10:$S$109,"&gt;"&amp;S46,$S$10:$S$109,"&lt;"&amp;(S46+IF(L46=1,1000000,IF(L46=2,1000,1))))=0,0,SUMIFS($R$10:$R$109,$S$10:$S$109,"&gt;"&amp;S46,$S$10:$S$109,"&lt;"&amp;(S46+IF(L46=1,1000000,IF(L46=2,1000,1))))/SUMIFS($Q$10:$Q$109,$S$10:$S$109,"&gt;"&amp;S46,$S$10:$S$109,"&lt;"&amp;(S46+IF(L46=1,1000000,IF(L46=2,1000,1))))),G46)))</f>
        <v/>
      </c>
      <c r="P46" s="1">
        <f>IF(OR(A46="",B46="",J46="删除",AE46=0,COUNTIFS($AG$10:$AG$109,"W"&amp;A46)&lt;&gt;1,AND(L46&gt;1,COUNTIFS($AG$10:$AG$109,"W"&amp;V46,$B$10:$B$109,"&lt;&gt;")&lt;&gt;1),AND(L46=3,COUNTIFS($AG$10:$AG$109,"W"&amp;W46,$B$10:$B$109,"&lt;&gt;")&lt;&gt;1),COUNTIFS($AG$10:$AG$109,"W"&amp;V46,$J$10:$J$109,"删除")&gt;0,COUNTIFS($AG$10:$AG$109,"W"&amp;W46,$J$10:$J$109,"删除")&gt;0),0,1)</f>
        <v>0</v>
      </c>
      <c r="Q46" s="1">
        <f>IF(AA46=0,0,IF(I46="里程碑",1,F46))</f>
        <v>0</v>
      </c>
      <c r="R46" s="1">
        <f>IF(AA46=0,0,Q46*G46)</f>
        <v>0</v>
      </c>
      <c r="S46" s="1">
        <f>IF(P46=0,1000000000000000,AB46*1000000+AC46*1000+AD46)</f>
        <v>1000000000000000</v>
      </c>
      <c r="T46" s="1">
        <f>IF(P46=0,0,IF(Timing浏览!$D$5="全部",1,IF(Timing浏览!$D$5="仅里程碑",IF(K46="里程碑",1,0),IF(L46&lt;=VALUE(LEFT(Timing浏览!$D$5,1)),1,0))))</f>
        <v>0</v>
      </c>
      <c r="U46" s="1" t="str">
        <f>IF(T46=0,"",COUNTIFS($S$10:$S$109,"&lt;"&amp;S46,$T$10:$T$109,1)+1)</f>
        <v/>
      </c>
      <c r="V46" s="1" t="str">
        <f>IF(OR(A46="",L46=1),"",IF(L46=2,TEXT(AB46,"0"),TEXT(AB46,"0")&amp;"."&amp;TEXT(AC46,"0")))</f>
        <v/>
      </c>
      <c r="W46" s="1" t="str">
        <f>IF(OR(A46="",L46=1),"",TEXT(AB46,"0"))</f>
        <v/>
      </c>
      <c r="X46" s="1" t="str">
        <f>IF(AND(A46="",B46=""),"",IF(OR(A46="",B46=""),"请补编号和名称",IF(AE46=0,"编号需为1至3级正整数",IF(COUNTIFS($AG$10:$AG$109,"W"&amp;A46)&lt;&gt;1,"编号重复",IF(AND(L46&gt;1,COUNTIFS($AG$10:$AG$109,"W"&amp;V46,$B$10:$B$109,"&lt;&gt;")&lt;&gt;1),"缺少父任务",IF(J46="删除","待删除",IF(P46=0,"父任务已删除或无效",IF(K46="汇总",IF(COUNTIFS($S$10:$S$109,"&gt;"&amp;S46,$S$10:$S$109,"&lt;"&amp;(S46+IF(L46=1,1000000,IF(L46=2,1000,1))),$P$10:$P$109,1)=0,"等待子任务","由下级汇总"),IF(OR(D46="",E46=""),"待补日期",IF(E46&lt;D46,"结束早于开始",IF(AND(I46="里程碑",D46&lt;&gt;E46),"里程碑须同日","")))))))))))</f>
        <v/>
      </c>
      <c r="Y46" s="1">
        <f>IF(AA46=1,D46,100000000)</f>
        <v>100000000</v>
      </c>
      <c r="Z46" s="1">
        <f>IF(AA46=1,E46,0)</f>
        <v>0</v>
      </c>
      <c r="AA46" s="1">
        <f>IF(AND(P46=1,K46&lt;&gt;"汇总",ISNUMBER(F46),OR(I46&lt;&gt;"里程碑",D46=E46)),1,0)</f>
        <v>0</v>
      </c>
      <c r="AB46" s="1">
        <f>IF(A46="",0,IFERROR(VALUE(MID(("W"&amp;A46),2,FIND(".",("W"&amp;A46)&amp;".")-2)),-1))</f>
        <v>0</v>
      </c>
      <c r="AC46" s="1">
        <f>IF(OR(A46="",L46&lt;2),0,IFERROR(VALUE(MID(("W"&amp;A46),FIND(".",("W"&amp;A46))+1,FIND(".",("W"&amp;A46)&amp;".",FIND(".",("W"&amp;A46))+1)-FIND(".",("W"&amp;A46))-1)),-1))</f>
        <v>0</v>
      </c>
      <c r="AD46" s="1">
        <f>IF(OR(A46="",L46&lt;3),0,IFERROR(VALUE(RIGHT(("W"&amp;A46),LEN(("W"&amp;A46))-FIND(".",("W"&amp;A46),FIND(".",("W"&amp;A46))+1))),-1))</f>
        <v>0</v>
      </c>
      <c r="AE46" s="1">
        <f>IF(A46="",0,IF(AND(L46&lt;=3,AB46&gt;=1,AB46&lt;=999,AC46&gt;=0,AC46&lt;=999,AD46&gt;=0,AD46&lt;=999,A46=TEXT(AB46,"0")&amp;IF(L46&gt;1,"."&amp;TEXT(AC46,"0"),"")&amp;IF(L46&gt;2,"."&amp;TEXT(AD46,"0"),""),OR(L46&lt;2,AC46&gt;=1),OR(L46&lt;3,AD46&gt;=1)),1,0))</f>
        <v>0</v>
      </c>
      <c r="AF46" s="1"/>
      <c r="AG46" t="str">
        <f>"W"&amp;A46</f>
        <v>W</v>
      </c>
    </row>
    <row r="47" spans="1:33" ht="16.5">
      <c r="A47" s="12" t="str">
        <f>IF(ROW()-9&gt;ROWS(TimingTasks[WBS]),"",IF(AND(INDEX(TimingTasks[WBS],ROW()-9)="",NOT(ISNUMBER(INDEX(TimingTasks[WBS],ROW()-9)))),"",INDEX(TimingTasks[WBS],ROW()-9)))</f>
        <v/>
      </c>
      <c r="B47" s="10" t="str">
        <f>IF(ROW()-9&gt;ROWS(TimingTasks[WBS]),"",IF(AND(INDEX(TimingTasks[任务名称],ROW()-9)="",NOT(ISNUMBER(INDEX(TimingTasks[任务名称],ROW()-9)))),"",INDEX(TimingTasks[任务名称],ROW()-9)))</f>
        <v/>
      </c>
      <c r="C47" s="10" t="str">
        <f>IF(ROW()-9&gt;ROWS(TimingTasks[WBS]),"",IF(AND(INDEX(TimingTasks[负责人],ROW()-9)="",NOT(ISNUMBER(INDEX(TimingTasks[负责人],ROW()-9)))),"",INDEX(TimingTasks[负责人],ROW()-9)))</f>
        <v/>
      </c>
      <c r="D47" s="11" t="str">
        <f>IF(ROW()-9&gt;ROWS(TimingTasks[WBS]),"",IF(AND(INDEX(TimingTasks[输入开始],ROW()-9)="",NOT(ISNUMBER(INDEX(TimingTasks[输入开始],ROW()-9)))),"",INDEX(TimingTasks[输入开始],ROW()-9)))</f>
        <v/>
      </c>
      <c r="E47" s="11" t="str">
        <f>IF(ROW()-9&gt;ROWS(TimingTasks[WBS]),"",IF(AND(INDEX(TimingTasks[输入结束],ROW()-9)="",NOT(ISNUMBER(INDEX(TimingTasks[输入结束],ROW()-9)))),"",INDEX(TimingTasks[输入结束],ROW()-9)))</f>
        <v/>
      </c>
      <c r="F47" s="1" t="str">
        <f>IF(OR(P47=0,K47="汇总",D47="",E47="",E47&lt;D47),"",IF(I47="里程碑",0,NETWORKDAYS(D47,E47)))</f>
        <v/>
      </c>
      <c r="G47" s="15" t="str">
        <f>IF(ROW()-9&gt;ROWS(TimingTasks[WBS]),"",IF(AND(INDEX(TimingTasks[输入完成度],ROW()-9)="",NOT(ISNUMBER(INDEX(TimingTasks[输入完成度],ROW()-9)))),0,INDEX(TimingTasks[输入完成度],ROW()-9)))</f>
        <v/>
      </c>
      <c r="H47" s="10" t="str">
        <f>IF(ROW()-9&gt;ROWS(TimingTasks[WBS]),"",IF(AND(INDEX(TimingTasks[前置任务 WBS],ROW()-9)="",NOT(ISNUMBER(INDEX(TimingTasks[前置任务 WBS],ROW()-9)))),"",INDEX(TimingTasks[前置任务 WBS],ROW()-9)))</f>
        <v/>
      </c>
      <c r="I47" s="10" t="str">
        <f>IF(ROW()-9&gt;ROWS(TimingTasks[WBS]),"",IF(AND(INDEX(TimingTasks[叶子类型],ROW()-9)="",NOT(ISNUMBER(INDEX(TimingTasks[叶子类型],ROW()-9)))),"普通任务",INDEX(TimingTasks[叶子类型],ROW()-9)))</f>
        <v/>
      </c>
      <c r="J47" s="10" t="str">
        <f>IF(ROW()-9&gt;ROWS(TimingTasks[WBS]),"",IF(AND(INDEX(TimingTasks[操作],ROW()-9)="",NOT(ISNUMBER(INDEX(TimingTasks[操作],ROW()-9)))),"保留",INDEX(TimingTasks[操作],ROW()-9)))</f>
        <v/>
      </c>
      <c r="K47" s="1" t="str">
        <f>IF(P47=0,"",IF(OR(AND(L47=1,D47="",E47="",I47&lt;&gt;"里程碑"),COUNTIFS($S$10:$S$109,"&gt;"&amp;S47,$S$10:$S$109,"&lt;"&amp;(S47+IF(L47=1,1000000,IF(L47=2,1000,1))),$P$10:$P$109,1)&gt;0),"汇总",I47))</f>
        <v/>
      </c>
      <c r="L47" s="1" t="str">
        <f>IF(A47="","",LEN(("W"&amp;A47))-LEN(SUBSTITUTE(("W"&amp;A47),".",""))+1)</f>
        <v/>
      </c>
      <c r="M47" s="3" t="str">
        <f>IF(P47=0,"",IF(K47="汇总",IF(COUNTIFS($S$10:$S$109,"&gt;"&amp;S47,$S$10:$S$109,"&lt;"&amp;(S47+IF(L47=1,1000000,IF(L47=2,1000,1))),$AA$10:$AA$109,1)=0,"",_xlfn.MINIFS($Y$10:$Y$109,$S$10:$S$109,"&gt;"&amp;S47,$S$10:$S$109,"&lt;"&amp;(S47+IF(L47=1,1000000,IF(L47=2,1000,1))),$AA$10:$AA$109,1)),IF(AA47=1,D47,"")))</f>
        <v/>
      </c>
      <c r="N47" s="3" t="str">
        <f>IF(P47=0,"",IF(K47="汇总",IF(COUNTIFS($S$10:$S$109,"&gt;"&amp;S47,$S$10:$S$109,"&lt;"&amp;(S47+IF(L47=1,1000000,IF(L47=2,1000,1))),$AA$10:$AA$109,1)=0,"",_xlfn.MAXIFS($Z$10:$Z$109,$S$10:$S$109,"&gt;"&amp;S47,$S$10:$S$109,"&lt;"&amp;(S47+IF(L47=1,1000000,IF(L47=2,1000,1))),$AA$10:$AA$109,1)),IF(AA47=1,E47,"")))</f>
        <v/>
      </c>
      <c r="O47" s="7" t="str">
        <f>IF(K47="汇总",ROUND((IF(P47=0,"",IF(K47="汇总",IF(SUMIFS($Q$10:$Q$109,$S$10:$S$109,"&gt;"&amp;S47,$S$10:$S$109,"&lt;"&amp;(S47+IF(L47=1,1000000,IF(L47=2,1000,1))))=0,0,SUMIFS($R$10:$R$109,$S$10:$S$109,"&gt;"&amp;S47,$S$10:$S$109,"&lt;"&amp;(S47+IF(L47=1,1000000,IF(L47=2,1000,1))))/SUMIFS($Q$10:$Q$109,$S$10:$S$109,"&gt;"&amp;S47,$S$10:$S$109,"&lt;"&amp;(S47+IF(L47=1,1000000,IF(L47=2,1000,1))))),G47)))*100,0)/100,IF(P47=0,"",IF(K47="汇总",IF(SUMIFS($Q$10:$Q$109,$S$10:$S$109,"&gt;"&amp;S47,$S$10:$S$109,"&lt;"&amp;(S47+IF(L47=1,1000000,IF(L47=2,1000,1))))=0,0,SUMIFS($R$10:$R$109,$S$10:$S$109,"&gt;"&amp;S47,$S$10:$S$109,"&lt;"&amp;(S47+IF(L47=1,1000000,IF(L47=2,1000,1))))/SUMIFS($Q$10:$Q$109,$S$10:$S$109,"&gt;"&amp;S47,$S$10:$S$109,"&lt;"&amp;(S47+IF(L47=1,1000000,IF(L47=2,1000,1))))),G47)))</f>
        <v/>
      </c>
      <c r="P47" s="1">
        <f>IF(OR(A47="",B47="",J47="删除",AE47=0,COUNTIFS($AG$10:$AG$109,"W"&amp;A47)&lt;&gt;1,AND(L47&gt;1,COUNTIFS($AG$10:$AG$109,"W"&amp;V47,$B$10:$B$109,"&lt;&gt;")&lt;&gt;1),AND(L47=3,COUNTIFS($AG$10:$AG$109,"W"&amp;W47,$B$10:$B$109,"&lt;&gt;")&lt;&gt;1),COUNTIFS($AG$10:$AG$109,"W"&amp;V47,$J$10:$J$109,"删除")&gt;0,COUNTIFS($AG$10:$AG$109,"W"&amp;W47,$J$10:$J$109,"删除")&gt;0),0,1)</f>
        <v>0</v>
      </c>
      <c r="Q47" s="1">
        <f>IF(AA47=0,0,IF(I47="里程碑",1,F47))</f>
        <v>0</v>
      </c>
      <c r="R47" s="1">
        <f>IF(AA47=0,0,Q47*G47)</f>
        <v>0</v>
      </c>
      <c r="S47" s="1">
        <f>IF(P47=0,1000000000000000,AB47*1000000+AC47*1000+AD47)</f>
        <v>1000000000000000</v>
      </c>
      <c r="T47" s="1">
        <f>IF(P47=0,0,IF(Timing浏览!$D$5="全部",1,IF(Timing浏览!$D$5="仅里程碑",IF(K47="里程碑",1,0),IF(L47&lt;=VALUE(LEFT(Timing浏览!$D$5,1)),1,0))))</f>
        <v>0</v>
      </c>
      <c r="U47" s="1" t="str">
        <f>IF(T47=0,"",COUNTIFS($S$10:$S$109,"&lt;"&amp;S47,$T$10:$T$109,1)+1)</f>
        <v/>
      </c>
      <c r="V47" s="1" t="str">
        <f>IF(OR(A47="",L47=1),"",IF(L47=2,TEXT(AB47,"0"),TEXT(AB47,"0")&amp;"."&amp;TEXT(AC47,"0")))</f>
        <v/>
      </c>
      <c r="W47" s="1" t="str">
        <f>IF(OR(A47="",L47=1),"",TEXT(AB47,"0"))</f>
        <v/>
      </c>
      <c r="X47" s="1" t="str">
        <f>IF(AND(A47="",B47=""),"",IF(OR(A47="",B47=""),"请补编号和名称",IF(AE47=0,"编号需为1至3级正整数",IF(COUNTIFS($AG$10:$AG$109,"W"&amp;A47)&lt;&gt;1,"编号重复",IF(AND(L47&gt;1,COUNTIFS($AG$10:$AG$109,"W"&amp;V47,$B$10:$B$109,"&lt;&gt;")&lt;&gt;1),"缺少父任务",IF(J47="删除","待删除",IF(P47=0,"父任务已删除或无效",IF(K47="汇总",IF(COUNTIFS($S$10:$S$109,"&gt;"&amp;S47,$S$10:$S$109,"&lt;"&amp;(S47+IF(L47=1,1000000,IF(L47=2,1000,1))),$P$10:$P$109,1)=0,"等待子任务","由下级汇总"),IF(OR(D47="",E47=""),"待补日期",IF(E47&lt;D47,"结束早于开始",IF(AND(I47="里程碑",D47&lt;&gt;E47),"里程碑须同日","")))))))))))</f>
        <v/>
      </c>
      <c r="Y47" s="1">
        <f>IF(AA47=1,D47,100000000)</f>
        <v>100000000</v>
      </c>
      <c r="Z47" s="1">
        <f>IF(AA47=1,E47,0)</f>
        <v>0</v>
      </c>
      <c r="AA47" s="1">
        <f>IF(AND(P47=1,K47&lt;&gt;"汇总",ISNUMBER(F47),OR(I47&lt;&gt;"里程碑",D47=E47)),1,0)</f>
        <v>0</v>
      </c>
      <c r="AB47" s="1">
        <f>IF(A47="",0,IFERROR(VALUE(MID(("W"&amp;A47),2,FIND(".",("W"&amp;A47)&amp;".")-2)),-1))</f>
        <v>0</v>
      </c>
      <c r="AC47" s="1">
        <f>IF(OR(A47="",L47&lt;2),0,IFERROR(VALUE(MID(("W"&amp;A47),FIND(".",("W"&amp;A47))+1,FIND(".",("W"&amp;A47)&amp;".",FIND(".",("W"&amp;A47))+1)-FIND(".",("W"&amp;A47))-1)),-1))</f>
        <v>0</v>
      </c>
      <c r="AD47" s="1">
        <f>IF(OR(A47="",L47&lt;3),0,IFERROR(VALUE(RIGHT(("W"&amp;A47),LEN(("W"&amp;A47))-FIND(".",("W"&amp;A47),FIND(".",("W"&amp;A47))+1))),-1))</f>
        <v>0</v>
      </c>
      <c r="AE47" s="1">
        <f>IF(A47="",0,IF(AND(L47&lt;=3,AB47&gt;=1,AB47&lt;=999,AC47&gt;=0,AC47&lt;=999,AD47&gt;=0,AD47&lt;=999,A47=TEXT(AB47,"0")&amp;IF(L47&gt;1,"."&amp;TEXT(AC47,"0"),"")&amp;IF(L47&gt;2,"."&amp;TEXT(AD47,"0"),""),OR(L47&lt;2,AC47&gt;=1),OR(L47&lt;3,AD47&gt;=1)),1,0))</f>
        <v>0</v>
      </c>
      <c r="AF47" s="1"/>
      <c r="AG47" t="str">
        <f>"W"&amp;A47</f>
        <v>W</v>
      </c>
    </row>
    <row r="48" spans="1:33" ht="16.5">
      <c r="A48" s="12" t="str">
        <f>IF(ROW()-9&gt;ROWS(TimingTasks[WBS]),"",IF(AND(INDEX(TimingTasks[WBS],ROW()-9)="",NOT(ISNUMBER(INDEX(TimingTasks[WBS],ROW()-9)))),"",INDEX(TimingTasks[WBS],ROW()-9)))</f>
        <v/>
      </c>
      <c r="B48" s="10" t="str">
        <f>IF(ROW()-9&gt;ROWS(TimingTasks[WBS]),"",IF(AND(INDEX(TimingTasks[任务名称],ROW()-9)="",NOT(ISNUMBER(INDEX(TimingTasks[任务名称],ROW()-9)))),"",INDEX(TimingTasks[任务名称],ROW()-9)))</f>
        <v/>
      </c>
      <c r="C48" s="10" t="str">
        <f>IF(ROW()-9&gt;ROWS(TimingTasks[WBS]),"",IF(AND(INDEX(TimingTasks[负责人],ROW()-9)="",NOT(ISNUMBER(INDEX(TimingTasks[负责人],ROW()-9)))),"",INDEX(TimingTasks[负责人],ROW()-9)))</f>
        <v/>
      </c>
      <c r="D48" s="11" t="str">
        <f>IF(ROW()-9&gt;ROWS(TimingTasks[WBS]),"",IF(AND(INDEX(TimingTasks[输入开始],ROW()-9)="",NOT(ISNUMBER(INDEX(TimingTasks[输入开始],ROW()-9)))),"",INDEX(TimingTasks[输入开始],ROW()-9)))</f>
        <v/>
      </c>
      <c r="E48" s="11" t="str">
        <f>IF(ROW()-9&gt;ROWS(TimingTasks[WBS]),"",IF(AND(INDEX(TimingTasks[输入结束],ROW()-9)="",NOT(ISNUMBER(INDEX(TimingTasks[输入结束],ROW()-9)))),"",INDEX(TimingTasks[输入结束],ROW()-9)))</f>
        <v/>
      </c>
      <c r="F48" s="1" t="str">
        <f>IF(OR(P48=0,K48="汇总",D48="",E48="",E48&lt;D48),"",IF(I48="里程碑",0,NETWORKDAYS(D48,E48)))</f>
        <v/>
      </c>
      <c r="G48" s="15" t="str">
        <f>IF(ROW()-9&gt;ROWS(TimingTasks[WBS]),"",IF(AND(INDEX(TimingTasks[输入完成度],ROW()-9)="",NOT(ISNUMBER(INDEX(TimingTasks[输入完成度],ROW()-9)))),0,INDEX(TimingTasks[输入完成度],ROW()-9)))</f>
        <v/>
      </c>
      <c r="H48" s="10" t="str">
        <f>IF(ROW()-9&gt;ROWS(TimingTasks[WBS]),"",IF(AND(INDEX(TimingTasks[前置任务 WBS],ROW()-9)="",NOT(ISNUMBER(INDEX(TimingTasks[前置任务 WBS],ROW()-9)))),"",INDEX(TimingTasks[前置任务 WBS],ROW()-9)))</f>
        <v/>
      </c>
      <c r="I48" s="10" t="str">
        <f>IF(ROW()-9&gt;ROWS(TimingTasks[WBS]),"",IF(AND(INDEX(TimingTasks[叶子类型],ROW()-9)="",NOT(ISNUMBER(INDEX(TimingTasks[叶子类型],ROW()-9)))),"普通任务",INDEX(TimingTasks[叶子类型],ROW()-9)))</f>
        <v/>
      </c>
      <c r="J48" s="10" t="str">
        <f>IF(ROW()-9&gt;ROWS(TimingTasks[WBS]),"",IF(AND(INDEX(TimingTasks[操作],ROW()-9)="",NOT(ISNUMBER(INDEX(TimingTasks[操作],ROW()-9)))),"保留",INDEX(TimingTasks[操作],ROW()-9)))</f>
        <v/>
      </c>
      <c r="K48" s="1" t="str">
        <f>IF(P48=0,"",IF(OR(AND(L48=1,D48="",E48="",I48&lt;&gt;"里程碑"),COUNTIFS($S$10:$S$109,"&gt;"&amp;S48,$S$10:$S$109,"&lt;"&amp;(S48+IF(L48=1,1000000,IF(L48=2,1000,1))),$P$10:$P$109,1)&gt;0),"汇总",I48))</f>
        <v/>
      </c>
      <c r="L48" s="1" t="str">
        <f>IF(A48="","",LEN(("W"&amp;A48))-LEN(SUBSTITUTE(("W"&amp;A48),".",""))+1)</f>
        <v/>
      </c>
      <c r="M48" s="3" t="str">
        <f>IF(P48=0,"",IF(K48="汇总",IF(COUNTIFS($S$10:$S$109,"&gt;"&amp;S48,$S$10:$S$109,"&lt;"&amp;(S48+IF(L48=1,1000000,IF(L48=2,1000,1))),$AA$10:$AA$109,1)=0,"",_xlfn.MINIFS($Y$10:$Y$109,$S$10:$S$109,"&gt;"&amp;S48,$S$10:$S$109,"&lt;"&amp;(S48+IF(L48=1,1000000,IF(L48=2,1000,1))),$AA$10:$AA$109,1)),IF(AA48=1,D48,"")))</f>
        <v/>
      </c>
      <c r="N48" s="3" t="str">
        <f>IF(P48=0,"",IF(K48="汇总",IF(COUNTIFS($S$10:$S$109,"&gt;"&amp;S48,$S$10:$S$109,"&lt;"&amp;(S48+IF(L48=1,1000000,IF(L48=2,1000,1))),$AA$10:$AA$109,1)=0,"",_xlfn.MAXIFS($Z$10:$Z$109,$S$10:$S$109,"&gt;"&amp;S48,$S$10:$S$109,"&lt;"&amp;(S48+IF(L48=1,1000000,IF(L48=2,1000,1))),$AA$10:$AA$109,1)),IF(AA48=1,E48,"")))</f>
        <v/>
      </c>
      <c r="O48" s="7" t="str">
        <f>IF(K48="汇总",ROUND((IF(P48=0,"",IF(K48="汇总",IF(SUMIFS($Q$10:$Q$109,$S$10:$S$109,"&gt;"&amp;S48,$S$10:$S$109,"&lt;"&amp;(S48+IF(L48=1,1000000,IF(L48=2,1000,1))))=0,0,SUMIFS($R$10:$R$109,$S$10:$S$109,"&gt;"&amp;S48,$S$10:$S$109,"&lt;"&amp;(S48+IF(L48=1,1000000,IF(L48=2,1000,1))))/SUMIFS($Q$10:$Q$109,$S$10:$S$109,"&gt;"&amp;S48,$S$10:$S$109,"&lt;"&amp;(S48+IF(L48=1,1000000,IF(L48=2,1000,1))))),G48)))*100,0)/100,IF(P48=0,"",IF(K48="汇总",IF(SUMIFS($Q$10:$Q$109,$S$10:$S$109,"&gt;"&amp;S48,$S$10:$S$109,"&lt;"&amp;(S48+IF(L48=1,1000000,IF(L48=2,1000,1))))=0,0,SUMIFS($R$10:$R$109,$S$10:$S$109,"&gt;"&amp;S48,$S$10:$S$109,"&lt;"&amp;(S48+IF(L48=1,1000000,IF(L48=2,1000,1))))/SUMIFS($Q$10:$Q$109,$S$10:$S$109,"&gt;"&amp;S48,$S$10:$S$109,"&lt;"&amp;(S48+IF(L48=1,1000000,IF(L48=2,1000,1))))),G48)))</f>
        <v/>
      </c>
      <c r="P48" s="1">
        <f>IF(OR(A48="",B48="",J48="删除",AE48=0,COUNTIFS($AG$10:$AG$109,"W"&amp;A48)&lt;&gt;1,AND(L48&gt;1,COUNTIFS($AG$10:$AG$109,"W"&amp;V48,$B$10:$B$109,"&lt;&gt;")&lt;&gt;1),AND(L48=3,COUNTIFS($AG$10:$AG$109,"W"&amp;W48,$B$10:$B$109,"&lt;&gt;")&lt;&gt;1),COUNTIFS($AG$10:$AG$109,"W"&amp;V48,$J$10:$J$109,"删除")&gt;0,COUNTIFS($AG$10:$AG$109,"W"&amp;W48,$J$10:$J$109,"删除")&gt;0),0,1)</f>
        <v>0</v>
      </c>
      <c r="Q48" s="1">
        <f>IF(AA48=0,0,IF(I48="里程碑",1,F48))</f>
        <v>0</v>
      </c>
      <c r="R48" s="1">
        <f>IF(AA48=0,0,Q48*G48)</f>
        <v>0</v>
      </c>
      <c r="S48" s="1">
        <f>IF(P48=0,1000000000000000,AB48*1000000+AC48*1000+AD48)</f>
        <v>1000000000000000</v>
      </c>
      <c r="T48" s="1">
        <f>IF(P48=0,0,IF(Timing浏览!$D$5="全部",1,IF(Timing浏览!$D$5="仅里程碑",IF(K48="里程碑",1,0),IF(L48&lt;=VALUE(LEFT(Timing浏览!$D$5,1)),1,0))))</f>
        <v>0</v>
      </c>
      <c r="U48" s="1" t="str">
        <f>IF(T48=0,"",COUNTIFS($S$10:$S$109,"&lt;"&amp;S48,$T$10:$T$109,1)+1)</f>
        <v/>
      </c>
      <c r="V48" s="1" t="str">
        <f>IF(OR(A48="",L48=1),"",IF(L48=2,TEXT(AB48,"0"),TEXT(AB48,"0")&amp;"."&amp;TEXT(AC48,"0")))</f>
        <v/>
      </c>
      <c r="W48" s="1" t="str">
        <f>IF(OR(A48="",L48=1),"",TEXT(AB48,"0"))</f>
        <v/>
      </c>
      <c r="X48" s="1" t="str">
        <f>IF(AND(A48="",B48=""),"",IF(OR(A48="",B48=""),"请补编号和名称",IF(AE48=0,"编号需为1至3级正整数",IF(COUNTIFS($AG$10:$AG$109,"W"&amp;A48)&lt;&gt;1,"编号重复",IF(AND(L48&gt;1,COUNTIFS($AG$10:$AG$109,"W"&amp;V48,$B$10:$B$109,"&lt;&gt;")&lt;&gt;1),"缺少父任务",IF(J48="删除","待删除",IF(P48=0,"父任务已删除或无效",IF(K48="汇总",IF(COUNTIFS($S$10:$S$109,"&gt;"&amp;S48,$S$10:$S$109,"&lt;"&amp;(S48+IF(L48=1,1000000,IF(L48=2,1000,1))),$P$10:$P$109,1)=0,"等待子任务","由下级汇总"),IF(OR(D48="",E48=""),"待补日期",IF(E48&lt;D48,"结束早于开始",IF(AND(I48="里程碑",D48&lt;&gt;E48),"里程碑须同日","")))))))))))</f>
        <v/>
      </c>
      <c r="Y48" s="1">
        <f>IF(AA48=1,D48,100000000)</f>
        <v>100000000</v>
      </c>
      <c r="Z48" s="1">
        <f>IF(AA48=1,E48,0)</f>
        <v>0</v>
      </c>
      <c r="AA48" s="1">
        <f>IF(AND(P48=1,K48&lt;&gt;"汇总",ISNUMBER(F48),OR(I48&lt;&gt;"里程碑",D48=E48)),1,0)</f>
        <v>0</v>
      </c>
      <c r="AB48" s="1">
        <f>IF(A48="",0,IFERROR(VALUE(MID(("W"&amp;A48),2,FIND(".",("W"&amp;A48)&amp;".")-2)),-1))</f>
        <v>0</v>
      </c>
      <c r="AC48" s="1">
        <f>IF(OR(A48="",L48&lt;2),0,IFERROR(VALUE(MID(("W"&amp;A48),FIND(".",("W"&amp;A48))+1,FIND(".",("W"&amp;A48)&amp;".",FIND(".",("W"&amp;A48))+1)-FIND(".",("W"&amp;A48))-1)),-1))</f>
        <v>0</v>
      </c>
      <c r="AD48" s="1">
        <f>IF(OR(A48="",L48&lt;3),0,IFERROR(VALUE(RIGHT(("W"&amp;A48),LEN(("W"&amp;A48))-FIND(".",("W"&amp;A48),FIND(".",("W"&amp;A48))+1))),-1))</f>
        <v>0</v>
      </c>
      <c r="AE48" s="1">
        <f>IF(A48="",0,IF(AND(L48&lt;=3,AB48&gt;=1,AB48&lt;=999,AC48&gt;=0,AC48&lt;=999,AD48&gt;=0,AD48&lt;=999,A48=TEXT(AB48,"0")&amp;IF(L48&gt;1,"."&amp;TEXT(AC48,"0"),"")&amp;IF(L48&gt;2,"."&amp;TEXT(AD48,"0"),""),OR(L48&lt;2,AC48&gt;=1),OR(L48&lt;3,AD48&gt;=1)),1,0))</f>
        <v>0</v>
      </c>
      <c r="AF48" s="1"/>
      <c r="AG48" t="str">
        <f>"W"&amp;A48</f>
        <v>W</v>
      </c>
    </row>
    <row r="49" spans="1:33" ht="16.5">
      <c r="A49" s="12" t="str">
        <f>IF(ROW()-9&gt;ROWS(TimingTasks[WBS]),"",IF(AND(INDEX(TimingTasks[WBS],ROW()-9)="",NOT(ISNUMBER(INDEX(TimingTasks[WBS],ROW()-9)))),"",INDEX(TimingTasks[WBS],ROW()-9)))</f>
        <v/>
      </c>
      <c r="B49" s="10" t="str">
        <f>IF(ROW()-9&gt;ROWS(TimingTasks[WBS]),"",IF(AND(INDEX(TimingTasks[任务名称],ROW()-9)="",NOT(ISNUMBER(INDEX(TimingTasks[任务名称],ROW()-9)))),"",INDEX(TimingTasks[任务名称],ROW()-9)))</f>
        <v/>
      </c>
      <c r="C49" s="10" t="str">
        <f>IF(ROW()-9&gt;ROWS(TimingTasks[WBS]),"",IF(AND(INDEX(TimingTasks[负责人],ROW()-9)="",NOT(ISNUMBER(INDEX(TimingTasks[负责人],ROW()-9)))),"",INDEX(TimingTasks[负责人],ROW()-9)))</f>
        <v/>
      </c>
      <c r="D49" s="11" t="str">
        <f>IF(ROW()-9&gt;ROWS(TimingTasks[WBS]),"",IF(AND(INDEX(TimingTasks[输入开始],ROW()-9)="",NOT(ISNUMBER(INDEX(TimingTasks[输入开始],ROW()-9)))),"",INDEX(TimingTasks[输入开始],ROW()-9)))</f>
        <v/>
      </c>
      <c r="E49" s="11" t="str">
        <f>IF(ROW()-9&gt;ROWS(TimingTasks[WBS]),"",IF(AND(INDEX(TimingTasks[输入结束],ROW()-9)="",NOT(ISNUMBER(INDEX(TimingTasks[输入结束],ROW()-9)))),"",INDEX(TimingTasks[输入结束],ROW()-9)))</f>
        <v/>
      </c>
      <c r="F49" s="1" t="str">
        <f>IF(OR(P49=0,K49="汇总",D49="",E49="",E49&lt;D49),"",IF(I49="里程碑",0,NETWORKDAYS(D49,E49)))</f>
        <v/>
      </c>
      <c r="G49" s="15" t="str">
        <f>IF(ROW()-9&gt;ROWS(TimingTasks[WBS]),"",IF(AND(INDEX(TimingTasks[输入完成度],ROW()-9)="",NOT(ISNUMBER(INDEX(TimingTasks[输入完成度],ROW()-9)))),0,INDEX(TimingTasks[输入完成度],ROW()-9)))</f>
        <v/>
      </c>
      <c r="H49" s="10" t="str">
        <f>IF(ROW()-9&gt;ROWS(TimingTasks[WBS]),"",IF(AND(INDEX(TimingTasks[前置任务 WBS],ROW()-9)="",NOT(ISNUMBER(INDEX(TimingTasks[前置任务 WBS],ROW()-9)))),"",INDEX(TimingTasks[前置任务 WBS],ROW()-9)))</f>
        <v/>
      </c>
      <c r="I49" s="10" t="str">
        <f>IF(ROW()-9&gt;ROWS(TimingTasks[WBS]),"",IF(AND(INDEX(TimingTasks[叶子类型],ROW()-9)="",NOT(ISNUMBER(INDEX(TimingTasks[叶子类型],ROW()-9)))),"普通任务",INDEX(TimingTasks[叶子类型],ROW()-9)))</f>
        <v/>
      </c>
      <c r="J49" s="10" t="str">
        <f>IF(ROW()-9&gt;ROWS(TimingTasks[WBS]),"",IF(AND(INDEX(TimingTasks[操作],ROW()-9)="",NOT(ISNUMBER(INDEX(TimingTasks[操作],ROW()-9)))),"保留",INDEX(TimingTasks[操作],ROW()-9)))</f>
        <v/>
      </c>
      <c r="K49" s="1" t="str">
        <f>IF(P49=0,"",IF(OR(AND(L49=1,D49="",E49="",I49&lt;&gt;"里程碑"),COUNTIFS($S$10:$S$109,"&gt;"&amp;S49,$S$10:$S$109,"&lt;"&amp;(S49+IF(L49=1,1000000,IF(L49=2,1000,1))),$P$10:$P$109,1)&gt;0),"汇总",I49))</f>
        <v/>
      </c>
      <c r="L49" s="1" t="str">
        <f>IF(A49="","",LEN(("W"&amp;A49))-LEN(SUBSTITUTE(("W"&amp;A49),".",""))+1)</f>
        <v/>
      </c>
      <c r="M49" s="3" t="str">
        <f>IF(P49=0,"",IF(K49="汇总",IF(COUNTIFS($S$10:$S$109,"&gt;"&amp;S49,$S$10:$S$109,"&lt;"&amp;(S49+IF(L49=1,1000000,IF(L49=2,1000,1))),$AA$10:$AA$109,1)=0,"",_xlfn.MINIFS($Y$10:$Y$109,$S$10:$S$109,"&gt;"&amp;S49,$S$10:$S$109,"&lt;"&amp;(S49+IF(L49=1,1000000,IF(L49=2,1000,1))),$AA$10:$AA$109,1)),IF(AA49=1,D49,"")))</f>
        <v/>
      </c>
      <c r="N49" s="3" t="str">
        <f>IF(P49=0,"",IF(K49="汇总",IF(COUNTIFS($S$10:$S$109,"&gt;"&amp;S49,$S$10:$S$109,"&lt;"&amp;(S49+IF(L49=1,1000000,IF(L49=2,1000,1))),$AA$10:$AA$109,1)=0,"",_xlfn.MAXIFS($Z$10:$Z$109,$S$10:$S$109,"&gt;"&amp;S49,$S$10:$S$109,"&lt;"&amp;(S49+IF(L49=1,1000000,IF(L49=2,1000,1))),$AA$10:$AA$109,1)),IF(AA49=1,E49,"")))</f>
        <v/>
      </c>
      <c r="O49" s="7" t="str">
        <f>IF(K49="汇总",ROUND((IF(P49=0,"",IF(K49="汇总",IF(SUMIFS($Q$10:$Q$109,$S$10:$S$109,"&gt;"&amp;S49,$S$10:$S$109,"&lt;"&amp;(S49+IF(L49=1,1000000,IF(L49=2,1000,1))))=0,0,SUMIFS($R$10:$R$109,$S$10:$S$109,"&gt;"&amp;S49,$S$10:$S$109,"&lt;"&amp;(S49+IF(L49=1,1000000,IF(L49=2,1000,1))))/SUMIFS($Q$10:$Q$109,$S$10:$S$109,"&gt;"&amp;S49,$S$10:$S$109,"&lt;"&amp;(S49+IF(L49=1,1000000,IF(L49=2,1000,1))))),G49)))*100,0)/100,IF(P49=0,"",IF(K49="汇总",IF(SUMIFS($Q$10:$Q$109,$S$10:$S$109,"&gt;"&amp;S49,$S$10:$S$109,"&lt;"&amp;(S49+IF(L49=1,1000000,IF(L49=2,1000,1))))=0,0,SUMIFS($R$10:$R$109,$S$10:$S$109,"&gt;"&amp;S49,$S$10:$S$109,"&lt;"&amp;(S49+IF(L49=1,1000000,IF(L49=2,1000,1))))/SUMIFS($Q$10:$Q$109,$S$10:$S$109,"&gt;"&amp;S49,$S$10:$S$109,"&lt;"&amp;(S49+IF(L49=1,1000000,IF(L49=2,1000,1))))),G49)))</f>
        <v/>
      </c>
      <c r="P49" s="1">
        <f>IF(OR(A49="",B49="",J49="删除",AE49=0,COUNTIFS($AG$10:$AG$109,"W"&amp;A49)&lt;&gt;1,AND(L49&gt;1,COUNTIFS($AG$10:$AG$109,"W"&amp;V49,$B$10:$B$109,"&lt;&gt;")&lt;&gt;1),AND(L49=3,COUNTIFS($AG$10:$AG$109,"W"&amp;W49,$B$10:$B$109,"&lt;&gt;")&lt;&gt;1),COUNTIFS($AG$10:$AG$109,"W"&amp;V49,$J$10:$J$109,"删除")&gt;0,COUNTIFS($AG$10:$AG$109,"W"&amp;W49,$J$10:$J$109,"删除")&gt;0),0,1)</f>
        <v>0</v>
      </c>
      <c r="Q49" s="1">
        <f>IF(AA49=0,0,IF(I49="里程碑",1,F49))</f>
        <v>0</v>
      </c>
      <c r="R49" s="1">
        <f>IF(AA49=0,0,Q49*G49)</f>
        <v>0</v>
      </c>
      <c r="S49" s="1">
        <f>IF(P49=0,1000000000000000,AB49*1000000+AC49*1000+AD49)</f>
        <v>1000000000000000</v>
      </c>
      <c r="T49" s="1">
        <f>IF(P49=0,0,IF(Timing浏览!$D$5="全部",1,IF(Timing浏览!$D$5="仅里程碑",IF(K49="里程碑",1,0),IF(L49&lt;=VALUE(LEFT(Timing浏览!$D$5,1)),1,0))))</f>
        <v>0</v>
      </c>
      <c r="U49" s="1" t="str">
        <f>IF(T49=0,"",COUNTIFS($S$10:$S$109,"&lt;"&amp;S49,$T$10:$T$109,1)+1)</f>
        <v/>
      </c>
      <c r="V49" s="1" t="str">
        <f>IF(OR(A49="",L49=1),"",IF(L49=2,TEXT(AB49,"0"),TEXT(AB49,"0")&amp;"."&amp;TEXT(AC49,"0")))</f>
        <v/>
      </c>
      <c r="W49" s="1" t="str">
        <f>IF(OR(A49="",L49=1),"",TEXT(AB49,"0"))</f>
        <v/>
      </c>
      <c r="X49" s="1" t="str">
        <f>IF(AND(A49="",B49=""),"",IF(OR(A49="",B49=""),"请补编号和名称",IF(AE49=0,"编号需为1至3级正整数",IF(COUNTIFS($AG$10:$AG$109,"W"&amp;A49)&lt;&gt;1,"编号重复",IF(AND(L49&gt;1,COUNTIFS($AG$10:$AG$109,"W"&amp;V49,$B$10:$B$109,"&lt;&gt;")&lt;&gt;1),"缺少父任务",IF(J49="删除","待删除",IF(P49=0,"父任务已删除或无效",IF(K49="汇总",IF(COUNTIFS($S$10:$S$109,"&gt;"&amp;S49,$S$10:$S$109,"&lt;"&amp;(S49+IF(L49=1,1000000,IF(L49=2,1000,1))),$P$10:$P$109,1)=0,"等待子任务","由下级汇总"),IF(OR(D49="",E49=""),"待补日期",IF(E49&lt;D49,"结束早于开始",IF(AND(I49="里程碑",D49&lt;&gt;E49),"里程碑须同日","")))))))))))</f>
        <v/>
      </c>
      <c r="Y49" s="1">
        <f>IF(AA49=1,D49,100000000)</f>
        <v>100000000</v>
      </c>
      <c r="Z49" s="1">
        <f>IF(AA49=1,E49,0)</f>
        <v>0</v>
      </c>
      <c r="AA49" s="1">
        <f>IF(AND(P49=1,K49&lt;&gt;"汇总",ISNUMBER(F49),OR(I49&lt;&gt;"里程碑",D49=E49)),1,0)</f>
        <v>0</v>
      </c>
      <c r="AB49" s="1">
        <f>IF(A49="",0,IFERROR(VALUE(MID(("W"&amp;A49),2,FIND(".",("W"&amp;A49)&amp;".")-2)),-1))</f>
        <v>0</v>
      </c>
      <c r="AC49" s="1">
        <f>IF(OR(A49="",L49&lt;2),0,IFERROR(VALUE(MID(("W"&amp;A49),FIND(".",("W"&amp;A49))+1,FIND(".",("W"&amp;A49)&amp;".",FIND(".",("W"&amp;A49))+1)-FIND(".",("W"&amp;A49))-1)),-1))</f>
        <v>0</v>
      </c>
      <c r="AD49" s="1">
        <f>IF(OR(A49="",L49&lt;3),0,IFERROR(VALUE(RIGHT(("W"&amp;A49),LEN(("W"&amp;A49))-FIND(".",("W"&amp;A49),FIND(".",("W"&amp;A49))+1))),-1))</f>
        <v>0</v>
      </c>
      <c r="AE49" s="1">
        <f>IF(A49="",0,IF(AND(L49&lt;=3,AB49&gt;=1,AB49&lt;=999,AC49&gt;=0,AC49&lt;=999,AD49&gt;=0,AD49&lt;=999,A49=TEXT(AB49,"0")&amp;IF(L49&gt;1,"."&amp;TEXT(AC49,"0"),"")&amp;IF(L49&gt;2,"."&amp;TEXT(AD49,"0"),""),OR(L49&lt;2,AC49&gt;=1),OR(L49&lt;3,AD49&gt;=1)),1,0))</f>
        <v>0</v>
      </c>
      <c r="AF49" s="1"/>
      <c r="AG49" t="str">
        <f>"W"&amp;A49</f>
        <v>W</v>
      </c>
    </row>
    <row r="50" spans="1:33" ht="16.5">
      <c r="A50" s="12" t="str">
        <f>IF(ROW()-9&gt;ROWS(TimingTasks[WBS]),"",IF(AND(INDEX(TimingTasks[WBS],ROW()-9)="",NOT(ISNUMBER(INDEX(TimingTasks[WBS],ROW()-9)))),"",INDEX(TimingTasks[WBS],ROW()-9)))</f>
        <v/>
      </c>
      <c r="B50" s="10" t="str">
        <f>IF(ROW()-9&gt;ROWS(TimingTasks[WBS]),"",IF(AND(INDEX(TimingTasks[任务名称],ROW()-9)="",NOT(ISNUMBER(INDEX(TimingTasks[任务名称],ROW()-9)))),"",INDEX(TimingTasks[任务名称],ROW()-9)))</f>
        <v/>
      </c>
      <c r="C50" s="10" t="str">
        <f>IF(ROW()-9&gt;ROWS(TimingTasks[WBS]),"",IF(AND(INDEX(TimingTasks[负责人],ROW()-9)="",NOT(ISNUMBER(INDEX(TimingTasks[负责人],ROW()-9)))),"",INDEX(TimingTasks[负责人],ROW()-9)))</f>
        <v/>
      </c>
      <c r="D50" s="11" t="str">
        <f>IF(ROW()-9&gt;ROWS(TimingTasks[WBS]),"",IF(AND(INDEX(TimingTasks[输入开始],ROW()-9)="",NOT(ISNUMBER(INDEX(TimingTasks[输入开始],ROW()-9)))),"",INDEX(TimingTasks[输入开始],ROW()-9)))</f>
        <v/>
      </c>
      <c r="E50" s="11" t="str">
        <f>IF(ROW()-9&gt;ROWS(TimingTasks[WBS]),"",IF(AND(INDEX(TimingTasks[输入结束],ROW()-9)="",NOT(ISNUMBER(INDEX(TimingTasks[输入结束],ROW()-9)))),"",INDEX(TimingTasks[输入结束],ROW()-9)))</f>
        <v/>
      </c>
      <c r="F50" s="1" t="str">
        <f>IF(OR(P50=0,K50="汇总",D50="",E50="",E50&lt;D50),"",IF(I50="里程碑",0,NETWORKDAYS(D50,E50)))</f>
        <v/>
      </c>
      <c r="G50" s="15" t="str">
        <f>IF(ROW()-9&gt;ROWS(TimingTasks[WBS]),"",IF(AND(INDEX(TimingTasks[输入完成度],ROW()-9)="",NOT(ISNUMBER(INDEX(TimingTasks[输入完成度],ROW()-9)))),0,INDEX(TimingTasks[输入完成度],ROW()-9)))</f>
        <v/>
      </c>
      <c r="H50" s="10" t="str">
        <f>IF(ROW()-9&gt;ROWS(TimingTasks[WBS]),"",IF(AND(INDEX(TimingTasks[前置任务 WBS],ROW()-9)="",NOT(ISNUMBER(INDEX(TimingTasks[前置任务 WBS],ROW()-9)))),"",INDEX(TimingTasks[前置任务 WBS],ROW()-9)))</f>
        <v/>
      </c>
      <c r="I50" s="10" t="str">
        <f>IF(ROW()-9&gt;ROWS(TimingTasks[WBS]),"",IF(AND(INDEX(TimingTasks[叶子类型],ROW()-9)="",NOT(ISNUMBER(INDEX(TimingTasks[叶子类型],ROW()-9)))),"普通任务",INDEX(TimingTasks[叶子类型],ROW()-9)))</f>
        <v/>
      </c>
      <c r="J50" s="10" t="str">
        <f>IF(ROW()-9&gt;ROWS(TimingTasks[WBS]),"",IF(AND(INDEX(TimingTasks[操作],ROW()-9)="",NOT(ISNUMBER(INDEX(TimingTasks[操作],ROW()-9)))),"保留",INDEX(TimingTasks[操作],ROW()-9)))</f>
        <v/>
      </c>
      <c r="K50" s="1" t="str">
        <f>IF(P50=0,"",IF(OR(AND(L50=1,D50="",E50="",I50&lt;&gt;"里程碑"),COUNTIFS($S$10:$S$109,"&gt;"&amp;S50,$S$10:$S$109,"&lt;"&amp;(S50+IF(L50=1,1000000,IF(L50=2,1000,1))),$P$10:$P$109,1)&gt;0),"汇总",I50))</f>
        <v/>
      </c>
      <c r="L50" s="1" t="str">
        <f>IF(A50="","",LEN(("W"&amp;A50))-LEN(SUBSTITUTE(("W"&amp;A50),".",""))+1)</f>
        <v/>
      </c>
      <c r="M50" s="3" t="str">
        <f>IF(P50=0,"",IF(K50="汇总",IF(COUNTIFS($S$10:$S$109,"&gt;"&amp;S50,$S$10:$S$109,"&lt;"&amp;(S50+IF(L50=1,1000000,IF(L50=2,1000,1))),$AA$10:$AA$109,1)=0,"",_xlfn.MINIFS($Y$10:$Y$109,$S$10:$S$109,"&gt;"&amp;S50,$S$10:$S$109,"&lt;"&amp;(S50+IF(L50=1,1000000,IF(L50=2,1000,1))),$AA$10:$AA$109,1)),IF(AA50=1,D50,"")))</f>
        <v/>
      </c>
      <c r="N50" s="3" t="str">
        <f>IF(P50=0,"",IF(K50="汇总",IF(COUNTIFS($S$10:$S$109,"&gt;"&amp;S50,$S$10:$S$109,"&lt;"&amp;(S50+IF(L50=1,1000000,IF(L50=2,1000,1))),$AA$10:$AA$109,1)=0,"",_xlfn.MAXIFS($Z$10:$Z$109,$S$10:$S$109,"&gt;"&amp;S50,$S$10:$S$109,"&lt;"&amp;(S50+IF(L50=1,1000000,IF(L50=2,1000,1))),$AA$10:$AA$109,1)),IF(AA50=1,E50,"")))</f>
        <v/>
      </c>
      <c r="O50" s="7" t="str">
        <f>IF(K50="汇总",ROUND((IF(P50=0,"",IF(K50="汇总",IF(SUMIFS($Q$10:$Q$109,$S$10:$S$109,"&gt;"&amp;S50,$S$10:$S$109,"&lt;"&amp;(S50+IF(L50=1,1000000,IF(L50=2,1000,1))))=0,0,SUMIFS($R$10:$R$109,$S$10:$S$109,"&gt;"&amp;S50,$S$10:$S$109,"&lt;"&amp;(S50+IF(L50=1,1000000,IF(L50=2,1000,1))))/SUMIFS($Q$10:$Q$109,$S$10:$S$109,"&gt;"&amp;S50,$S$10:$S$109,"&lt;"&amp;(S50+IF(L50=1,1000000,IF(L50=2,1000,1))))),G50)))*100,0)/100,IF(P50=0,"",IF(K50="汇总",IF(SUMIFS($Q$10:$Q$109,$S$10:$S$109,"&gt;"&amp;S50,$S$10:$S$109,"&lt;"&amp;(S50+IF(L50=1,1000000,IF(L50=2,1000,1))))=0,0,SUMIFS($R$10:$R$109,$S$10:$S$109,"&gt;"&amp;S50,$S$10:$S$109,"&lt;"&amp;(S50+IF(L50=1,1000000,IF(L50=2,1000,1))))/SUMIFS($Q$10:$Q$109,$S$10:$S$109,"&gt;"&amp;S50,$S$10:$S$109,"&lt;"&amp;(S50+IF(L50=1,1000000,IF(L50=2,1000,1))))),G50)))</f>
        <v/>
      </c>
      <c r="P50" s="1">
        <f>IF(OR(A50="",B50="",J50="删除",AE50=0,COUNTIFS($AG$10:$AG$109,"W"&amp;A50)&lt;&gt;1,AND(L50&gt;1,COUNTIFS($AG$10:$AG$109,"W"&amp;V50,$B$10:$B$109,"&lt;&gt;")&lt;&gt;1),AND(L50=3,COUNTIFS($AG$10:$AG$109,"W"&amp;W50,$B$10:$B$109,"&lt;&gt;")&lt;&gt;1),COUNTIFS($AG$10:$AG$109,"W"&amp;V50,$J$10:$J$109,"删除")&gt;0,COUNTIFS($AG$10:$AG$109,"W"&amp;W50,$J$10:$J$109,"删除")&gt;0),0,1)</f>
        <v>0</v>
      </c>
      <c r="Q50" s="1">
        <f>IF(AA50=0,0,IF(I50="里程碑",1,F50))</f>
        <v>0</v>
      </c>
      <c r="R50" s="1">
        <f>IF(AA50=0,0,Q50*G50)</f>
        <v>0</v>
      </c>
      <c r="S50" s="1">
        <f>IF(P50=0,1000000000000000,AB50*1000000+AC50*1000+AD50)</f>
        <v>1000000000000000</v>
      </c>
      <c r="T50" s="1">
        <f>IF(P50=0,0,IF(Timing浏览!$D$5="全部",1,IF(Timing浏览!$D$5="仅里程碑",IF(K50="里程碑",1,0),IF(L50&lt;=VALUE(LEFT(Timing浏览!$D$5,1)),1,0))))</f>
        <v>0</v>
      </c>
      <c r="U50" s="1" t="str">
        <f>IF(T50=0,"",COUNTIFS($S$10:$S$109,"&lt;"&amp;S50,$T$10:$T$109,1)+1)</f>
        <v/>
      </c>
      <c r="V50" s="1" t="str">
        <f>IF(OR(A50="",L50=1),"",IF(L50=2,TEXT(AB50,"0"),TEXT(AB50,"0")&amp;"."&amp;TEXT(AC50,"0")))</f>
        <v/>
      </c>
      <c r="W50" s="1" t="str">
        <f>IF(OR(A50="",L50=1),"",TEXT(AB50,"0"))</f>
        <v/>
      </c>
      <c r="X50" s="1" t="str">
        <f>IF(AND(A50="",B50=""),"",IF(OR(A50="",B50=""),"请补编号和名称",IF(AE50=0,"编号需为1至3级正整数",IF(COUNTIFS($AG$10:$AG$109,"W"&amp;A50)&lt;&gt;1,"编号重复",IF(AND(L50&gt;1,COUNTIFS($AG$10:$AG$109,"W"&amp;V50,$B$10:$B$109,"&lt;&gt;")&lt;&gt;1),"缺少父任务",IF(J50="删除","待删除",IF(P50=0,"父任务已删除或无效",IF(K50="汇总",IF(COUNTIFS($S$10:$S$109,"&gt;"&amp;S50,$S$10:$S$109,"&lt;"&amp;(S50+IF(L50=1,1000000,IF(L50=2,1000,1))),$P$10:$P$109,1)=0,"等待子任务","由下级汇总"),IF(OR(D50="",E50=""),"待补日期",IF(E50&lt;D50,"结束早于开始",IF(AND(I50="里程碑",D50&lt;&gt;E50),"里程碑须同日","")))))))))))</f>
        <v/>
      </c>
      <c r="Y50" s="1">
        <f>IF(AA50=1,D50,100000000)</f>
        <v>100000000</v>
      </c>
      <c r="Z50" s="1">
        <f>IF(AA50=1,E50,0)</f>
        <v>0</v>
      </c>
      <c r="AA50" s="1">
        <f>IF(AND(P50=1,K50&lt;&gt;"汇总",ISNUMBER(F50),OR(I50&lt;&gt;"里程碑",D50=E50)),1,0)</f>
        <v>0</v>
      </c>
      <c r="AB50" s="1">
        <f>IF(A50="",0,IFERROR(VALUE(MID(("W"&amp;A50),2,FIND(".",("W"&amp;A50)&amp;".")-2)),-1))</f>
        <v>0</v>
      </c>
      <c r="AC50" s="1">
        <f>IF(OR(A50="",L50&lt;2),0,IFERROR(VALUE(MID(("W"&amp;A50),FIND(".",("W"&amp;A50))+1,FIND(".",("W"&amp;A50)&amp;".",FIND(".",("W"&amp;A50))+1)-FIND(".",("W"&amp;A50))-1)),-1))</f>
        <v>0</v>
      </c>
      <c r="AD50" s="1">
        <f>IF(OR(A50="",L50&lt;3),0,IFERROR(VALUE(RIGHT(("W"&amp;A50),LEN(("W"&amp;A50))-FIND(".",("W"&amp;A50),FIND(".",("W"&amp;A50))+1))),-1))</f>
        <v>0</v>
      </c>
      <c r="AE50" s="1">
        <f>IF(A50="",0,IF(AND(L50&lt;=3,AB50&gt;=1,AB50&lt;=999,AC50&gt;=0,AC50&lt;=999,AD50&gt;=0,AD50&lt;=999,A50=TEXT(AB50,"0")&amp;IF(L50&gt;1,"."&amp;TEXT(AC50,"0"),"")&amp;IF(L50&gt;2,"."&amp;TEXT(AD50,"0"),""),OR(L50&lt;2,AC50&gt;=1),OR(L50&lt;3,AD50&gt;=1)),1,0))</f>
        <v>0</v>
      </c>
      <c r="AF50" s="1"/>
      <c r="AG50" t="str">
        <f>"W"&amp;A50</f>
        <v>W</v>
      </c>
    </row>
    <row r="51" spans="1:33" ht="16.5">
      <c r="A51" s="12" t="str">
        <f>IF(ROW()-9&gt;ROWS(TimingTasks[WBS]),"",IF(AND(INDEX(TimingTasks[WBS],ROW()-9)="",NOT(ISNUMBER(INDEX(TimingTasks[WBS],ROW()-9)))),"",INDEX(TimingTasks[WBS],ROW()-9)))</f>
        <v/>
      </c>
      <c r="B51" s="10" t="str">
        <f>IF(ROW()-9&gt;ROWS(TimingTasks[WBS]),"",IF(AND(INDEX(TimingTasks[任务名称],ROW()-9)="",NOT(ISNUMBER(INDEX(TimingTasks[任务名称],ROW()-9)))),"",INDEX(TimingTasks[任务名称],ROW()-9)))</f>
        <v/>
      </c>
      <c r="C51" s="10" t="str">
        <f>IF(ROW()-9&gt;ROWS(TimingTasks[WBS]),"",IF(AND(INDEX(TimingTasks[负责人],ROW()-9)="",NOT(ISNUMBER(INDEX(TimingTasks[负责人],ROW()-9)))),"",INDEX(TimingTasks[负责人],ROW()-9)))</f>
        <v/>
      </c>
      <c r="D51" s="11" t="str">
        <f>IF(ROW()-9&gt;ROWS(TimingTasks[WBS]),"",IF(AND(INDEX(TimingTasks[输入开始],ROW()-9)="",NOT(ISNUMBER(INDEX(TimingTasks[输入开始],ROW()-9)))),"",INDEX(TimingTasks[输入开始],ROW()-9)))</f>
        <v/>
      </c>
      <c r="E51" s="11" t="str">
        <f>IF(ROW()-9&gt;ROWS(TimingTasks[WBS]),"",IF(AND(INDEX(TimingTasks[输入结束],ROW()-9)="",NOT(ISNUMBER(INDEX(TimingTasks[输入结束],ROW()-9)))),"",INDEX(TimingTasks[输入结束],ROW()-9)))</f>
        <v/>
      </c>
      <c r="F51" s="1" t="str">
        <f>IF(OR(P51=0,K51="汇总",D51="",E51="",E51&lt;D51),"",IF(I51="里程碑",0,NETWORKDAYS(D51,E51)))</f>
        <v/>
      </c>
      <c r="G51" s="15" t="str">
        <f>IF(ROW()-9&gt;ROWS(TimingTasks[WBS]),"",IF(AND(INDEX(TimingTasks[输入完成度],ROW()-9)="",NOT(ISNUMBER(INDEX(TimingTasks[输入完成度],ROW()-9)))),0,INDEX(TimingTasks[输入完成度],ROW()-9)))</f>
        <v/>
      </c>
      <c r="H51" s="10" t="str">
        <f>IF(ROW()-9&gt;ROWS(TimingTasks[WBS]),"",IF(AND(INDEX(TimingTasks[前置任务 WBS],ROW()-9)="",NOT(ISNUMBER(INDEX(TimingTasks[前置任务 WBS],ROW()-9)))),"",INDEX(TimingTasks[前置任务 WBS],ROW()-9)))</f>
        <v/>
      </c>
      <c r="I51" s="10" t="str">
        <f>IF(ROW()-9&gt;ROWS(TimingTasks[WBS]),"",IF(AND(INDEX(TimingTasks[叶子类型],ROW()-9)="",NOT(ISNUMBER(INDEX(TimingTasks[叶子类型],ROW()-9)))),"普通任务",INDEX(TimingTasks[叶子类型],ROW()-9)))</f>
        <v/>
      </c>
      <c r="J51" s="10" t="str">
        <f>IF(ROW()-9&gt;ROWS(TimingTasks[WBS]),"",IF(AND(INDEX(TimingTasks[操作],ROW()-9)="",NOT(ISNUMBER(INDEX(TimingTasks[操作],ROW()-9)))),"保留",INDEX(TimingTasks[操作],ROW()-9)))</f>
        <v/>
      </c>
      <c r="K51" s="1" t="str">
        <f>IF(P51=0,"",IF(OR(AND(L51=1,D51="",E51="",I51&lt;&gt;"里程碑"),COUNTIFS($S$10:$S$109,"&gt;"&amp;S51,$S$10:$S$109,"&lt;"&amp;(S51+IF(L51=1,1000000,IF(L51=2,1000,1))),$P$10:$P$109,1)&gt;0),"汇总",I51))</f>
        <v/>
      </c>
      <c r="L51" s="1" t="str">
        <f>IF(A51="","",LEN(("W"&amp;A51))-LEN(SUBSTITUTE(("W"&amp;A51),".",""))+1)</f>
        <v/>
      </c>
      <c r="M51" s="3" t="str">
        <f>IF(P51=0,"",IF(K51="汇总",IF(COUNTIFS($S$10:$S$109,"&gt;"&amp;S51,$S$10:$S$109,"&lt;"&amp;(S51+IF(L51=1,1000000,IF(L51=2,1000,1))),$AA$10:$AA$109,1)=0,"",_xlfn.MINIFS($Y$10:$Y$109,$S$10:$S$109,"&gt;"&amp;S51,$S$10:$S$109,"&lt;"&amp;(S51+IF(L51=1,1000000,IF(L51=2,1000,1))),$AA$10:$AA$109,1)),IF(AA51=1,D51,"")))</f>
        <v/>
      </c>
      <c r="N51" s="3" t="str">
        <f>IF(P51=0,"",IF(K51="汇总",IF(COUNTIFS($S$10:$S$109,"&gt;"&amp;S51,$S$10:$S$109,"&lt;"&amp;(S51+IF(L51=1,1000000,IF(L51=2,1000,1))),$AA$10:$AA$109,1)=0,"",_xlfn.MAXIFS($Z$10:$Z$109,$S$10:$S$109,"&gt;"&amp;S51,$S$10:$S$109,"&lt;"&amp;(S51+IF(L51=1,1000000,IF(L51=2,1000,1))),$AA$10:$AA$109,1)),IF(AA51=1,E51,"")))</f>
        <v/>
      </c>
      <c r="O51" s="7" t="str">
        <f>IF(K51="汇总",ROUND((IF(P51=0,"",IF(K51="汇总",IF(SUMIFS($Q$10:$Q$109,$S$10:$S$109,"&gt;"&amp;S51,$S$10:$S$109,"&lt;"&amp;(S51+IF(L51=1,1000000,IF(L51=2,1000,1))))=0,0,SUMIFS($R$10:$R$109,$S$10:$S$109,"&gt;"&amp;S51,$S$10:$S$109,"&lt;"&amp;(S51+IF(L51=1,1000000,IF(L51=2,1000,1))))/SUMIFS($Q$10:$Q$109,$S$10:$S$109,"&gt;"&amp;S51,$S$10:$S$109,"&lt;"&amp;(S51+IF(L51=1,1000000,IF(L51=2,1000,1))))),G51)))*100,0)/100,IF(P51=0,"",IF(K51="汇总",IF(SUMIFS($Q$10:$Q$109,$S$10:$S$109,"&gt;"&amp;S51,$S$10:$S$109,"&lt;"&amp;(S51+IF(L51=1,1000000,IF(L51=2,1000,1))))=0,0,SUMIFS($R$10:$R$109,$S$10:$S$109,"&gt;"&amp;S51,$S$10:$S$109,"&lt;"&amp;(S51+IF(L51=1,1000000,IF(L51=2,1000,1))))/SUMIFS($Q$10:$Q$109,$S$10:$S$109,"&gt;"&amp;S51,$S$10:$S$109,"&lt;"&amp;(S51+IF(L51=1,1000000,IF(L51=2,1000,1))))),G51)))</f>
        <v/>
      </c>
      <c r="P51" s="1">
        <f>IF(OR(A51="",B51="",J51="删除",AE51=0,COUNTIFS($AG$10:$AG$109,"W"&amp;A51)&lt;&gt;1,AND(L51&gt;1,COUNTIFS($AG$10:$AG$109,"W"&amp;V51,$B$10:$B$109,"&lt;&gt;")&lt;&gt;1),AND(L51=3,COUNTIFS($AG$10:$AG$109,"W"&amp;W51,$B$10:$B$109,"&lt;&gt;")&lt;&gt;1),COUNTIFS($AG$10:$AG$109,"W"&amp;V51,$J$10:$J$109,"删除")&gt;0,COUNTIFS($AG$10:$AG$109,"W"&amp;W51,$J$10:$J$109,"删除")&gt;0),0,1)</f>
        <v>0</v>
      </c>
      <c r="Q51" s="1">
        <f>IF(AA51=0,0,IF(I51="里程碑",1,F51))</f>
        <v>0</v>
      </c>
      <c r="R51" s="1">
        <f>IF(AA51=0,0,Q51*G51)</f>
        <v>0</v>
      </c>
      <c r="S51" s="1">
        <f>IF(P51=0,1000000000000000,AB51*1000000+AC51*1000+AD51)</f>
        <v>1000000000000000</v>
      </c>
      <c r="T51" s="1">
        <f>IF(P51=0,0,IF(Timing浏览!$D$5="全部",1,IF(Timing浏览!$D$5="仅里程碑",IF(K51="里程碑",1,0),IF(L51&lt;=VALUE(LEFT(Timing浏览!$D$5,1)),1,0))))</f>
        <v>0</v>
      </c>
      <c r="U51" s="1" t="str">
        <f>IF(T51=0,"",COUNTIFS($S$10:$S$109,"&lt;"&amp;S51,$T$10:$T$109,1)+1)</f>
        <v/>
      </c>
      <c r="V51" s="1" t="str">
        <f>IF(OR(A51="",L51=1),"",IF(L51=2,TEXT(AB51,"0"),TEXT(AB51,"0")&amp;"."&amp;TEXT(AC51,"0")))</f>
        <v/>
      </c>
      <c r="W51" s="1" t="str">
        <f>IF(OR(A51="",L51=1),"",TEXT(AB51,"0"))</f>
        <v/>
      </c>
      <c r="X51" s="1" t="str">
        <f>IF(AND(A51="",B51=""),"",IF(OR(A51="",B51=""),"请补编号和名称",IF(AE51=0,"编号需为1至3级正整数",IF(COUNTIFS($AG$10:$AG$109,"W"&amp;A51)&lt;&gt;1,"编号重复",IF(AND(L51&gt;1,COUNTIFS($AG$10:$AG$109,"W"&amp;V51,$B$10:$B$109,"&lt;&gt;")&lt;&gt;1),"缺少父任务",IF(J51="删除","待删除",IF(P51=0,"父任务已删除或无效",IF(K51="汇总",IF(COUNTIFS($S$10:$S$109,"&gt;"&amp;S51,$S$10:$S$109,"&lt;"&amp;(S51+IF(L51=1,1000000,IF(L51=2,1000,1))),$P$10:$P$109,1)=0,"等待子任务","由下级汇总"),IF(OR(D51="",E51=""),"待补日期",IF(E51&lt;D51,"结束早于开始",IF(AND(I51="里程碑",D51&lt;&gt;E51),"里程碑须同日","")))))))))))</f>
        <v/>
      </c>
      <c r="Y51" s="1">
        <f>IF(AA51=1,D51,100000000)</f>
        <v>100000000</v>
      </c>
      <c r="Z51" s="1">
        <f>IF(AA51=1,E51,0)</f>
        <v>0</v>
      </c>
      <c r="AA51" s="1">
        <f>IF(AND(P51=1,K51&lt;&gt;"汇总",ISNUMBER(F51),OR(I51&lt;&gt;"里程碑",D51=E51)),1,0)</f>
        <v>0</v>
      </c>
      <c r="AB51" s="1">
        <f>IF(A51="",0,IFERROR(VALUE(MID(("W"&amp;A51),2,FIND(".",("W"&amp;A51)&amp;".")-2)),-1))</f>
        <v>0</v>
      </c>
      <c r="AC51" s="1">
        <f>IF(OR(A51="",L51&lt;2),0,IFERROR(VALUE(MID(("W"&amp;A51),FIND(".",("W"&amp;A51))+1,FIND(".",("W"&amp;A51)&amp;".",FIND(".",("W"&amp;A51))+1)-FIND(".",("W"&amp;A51))-1)),-1))</f>
        <v>0</v>
      </c>
      <c r="AD51" s="1">
        <f>IF(OR(A51="",L51&lt;3),0,IFERROR(VALUE(RIGHT(("W"&amp;A51),LEN(("W"&amp;A51))-FIND(".",("W"&amp;A51),FIND(".",("W"&amp;A51))+1))),-1))</f>
        <v>0</v>
      </c>
      <c r="AE51" s="1">
        <f>IF(A51="",0,IF(AND(L51&lt;=3,AB51&gt;=1,AB51&lt;=999,AC51&gt;=0,AC51&lt;=999,AD51&gt;=0,AD51&lt;=999,A51=TEXT(AB51,"0")&amp;IF(L51&gt;1,"."&amp;TEXT(AC51,"0"),"")&amp;IF(L51&gt;2,"."&amp;TEXT(AD51,"0"),""),OR(L51&lt;2,AC51&gt;=1),OR(L51&lt;3,AD51&gt;=1)),1,0))</f>
        <v>0</v>
      </c>
      <c r="AF51" s="1"/>
      <c r="AG51" t="str">
        <f>"W"&amp;A51</f>
        <v>W</v>
      </c>
    </row>
    <row r="52" spans="1:33" ht="16.5">
      <c r="A52" s="12" t="str">
        <f>IF(ROW()-9&gt;ROWS(TimingTasks[WBS]),"",IF(AND(INDEX(TimingTasks[WBS],ROW()-9)="",NOT(ISNUMBER(INDEX(TimingTasks[WBS],ROW()-9)))),"",INDEX(TimingTasks[WBS],ROW()-9)))</f>
        <v/>
      </c>
      <c r="B52" s="10" t="str">
        <f>IF(ROW()-9&gt;ROWS(TimingTasks[WBS]),"",IF(AND(INDEX(TimingTasks[任务名称],ROW()-9)="",NOT(ISNUMBER(INDEX(TimingTasks[任务名称],ROW()-9)))),"",INDEX(TimingTasks[任务名称],ROW()-9)))</f>
        <v/>
      </c>
      <c r="C52" s="10" t="str">
        <f>IF(ROW()-9&gt;ROWS(TimingTasks[WBS]),"",IF(AND(INDEX(TimingTasks[负责人],ROW()-9)="",NOT(ISNUMBER(INDEX(TimingTasks[负责人],ROW()-9)))),"",INDEX(TimingTasks[负责人],ROW()-9)))</f>
        <v/>
      </c>
      <c r="D52" s="11" t="str">
        <f>IF(ROW()-9&gt;ROWS(TimingTasks[WBS]),"",IF(AND(INDEX(TimingTasks[输入开始],ROW()-9)="",NOT(ISNUMBER(INDEX(TimingTasks[输入开始],ROW()-9)))),"",INDEX(TimingTasks[输入开始],ROW()-9)))</f>
        <v/>
      </c>
      <c r="E52" s="11" t="str">
        <f>IF(ROW()-9&gt;ROWS(TimingTasks[WBS]),"",IF(AND(INDEX(TimingTasks[输入结束],ROW()-9)="",NOT(ISNUMBER(INDEX(TimingTasks[输入结束],ROW()-9)))),"",INDEX(TimingTasks[输入结束],ROW()-9)))</f>
        <v/>
      </c>
      <c r="F52" s="1" t="str">
        <f>IF(OR(P52=0,K52="汇总",D52="",E52="",E52&lt;D52),"",IF(I52="里程碑",0,NETWORKDAYS(D52,E52)))</f>
        <v/>
      </c>
      <c r="G52" s="15" t="str">
        <f>IF(ROW()-9&gt;ROWS(TimingTasks[WBS]),"",IF(AND(INDEX(TimingTasks[输入完成度],ROW()-9)="",NOT(ISNUMBER(INDEX(TimingTasks[输入完成度],ROW()-9)))),0,INDEX(TimingTasks[输入完成度],ROW()-9)))</f>
        <v/>
      </c>
      <c r="H52" s="10" t="str">
        <f>IF(ROW()-9&gt;ROWS(TimingTasks[WBS]),"",IF(AND(INDEX(TimingTasks[前置任务 WBS],ROW()-9)="",NOT(ISNUMBER(INDEX(TimingTasks[前置任务 WBS],ROW()-9)))),"",INDEX(TimingTasks[前置任务 WBS],ROW()-9)))</f>
        <v/>
      </c>
      <c r="I52" s="10" t="str">
        <f>IF(ROW()-9&gt;ROWS(TimingTasks[WBS]),"",IF(AND(INDEX(TimingTasks[叶子类型],ROW()-9)="",NOT(ISNUMBER(INDEX(TimingTasks[叶子类型],ROW()-9)))),"普通任务",INDEX(TimingTasks[叶子类型],ROW()-9)))</f>
        <v/>
      </c>
      <c r="J52" s="10" t="str">
        <f>IF(ROW()-9&gt;ROWS(TimingTasks[WBS]),"",IF(AND(INDEX(TimingTasks[操作],ROW()-9)="",NOT(ISNUMBER(INDEX(TimingTasks[操作],ROW()-9)))),"保留",INDEX(TimingTasks[操作],ROW()-9)))</f>
        <v/>
      </c>
      <c r="K52" s="1" t="str">
        <f>IF(P52=0,"",IF(OR(AND(L52=1,D52="",E52="",I52&lt;&gt;"里程碑"),COUNTIFS($S$10:$S$109,"&gt;"&amp;S52,$S$10:$S$109,"&lt;"&amp;(S52+IF(L52=1,1000000,IF(L52=2,1000,1))),$P$10:$P$109,1)&gt;0),"汇总",I52))</f>
        <v/>
      </c>
      <c r="L52" s="1" t="str">
        <f>IF(A52="","",LEN(("W"&amp;A52))-LEN(SUBSTITUTE(("W"&amp;A52),".",""))+1)</f>
        <v/>
      </c>
      <c r="M52" s="3" t="str">
        <f>IF(P52=0,"",IF(K52="汇总",IF(COUNTIFS($S$10:$S$109,"&gt;"&amp;S52,$S$10:$S$109,"&lt;"&amp;(S52+IF(L52=1,1000000,IF(L52=2,1000,1))),$AA$10:$AA$109,1)=0,"",_xlfn.MINIFS($Y$10:$Y$109,$S$10:$S$109,"&gt;"&amp;S52,$S$10:$S$109,"&lt;"&amp;(S52+IF(L52=1,1000000,IF(L52=2,1000,1))),$AA$10:$AA$109,1)),IF(AA52=1,D52,"")))</f>
        <v/>
      </c>
      <c r="N52" s="3" t="str">
        <f>IF(P52=0,"",IF(K52="汇总",IF(COUNTIFS($S$10:$S$109,"&gt;"&amp;S52,$S$10:$S$109,"&lt;"&amp;(S52+IF(L52=1,1000000,IF(L52=2,1000,1))),$AA$10:$AA$109,1)=0,"",_xlfn.MAXIFS($Z$10:$Z$109,$S$10:$S$109,"&gt;"&amp;S52,$S$10:$S$109,"&lt;"&amp;(S52+IF(L52=1,1000000,IF(L52=2,1000,1))),$AA$10:$AA$109,1)),IF(AA52=1,E52,"")))</f>
        <v/>
      </c>
      <c r="O52" s="7" t="str">
        <f>IF(K52="汇总",ROUND((IF(P52=0,"",IF(K52="汇总",IF(SUMIFS($Q$10:$Q$109,$S$10:$S$109,"&gt;"&amp;S52,$S$10:$S$109,"&lt;"&amp;(S52+IF(L52=1,1000000,IF(L52=2,1000,1))))=0,0,SUMIFS($R$10:$R$109,$S$10:$S$109,"&gt;"&amp;S52,$S$10:$S$109,"&lt;"&amp;(S52+IF(L52=1,1000000,IF(L52=2,1000,1))))/SUMIFS($Q$10:$Q$109,$S$10:$S$109,"&gt;"&amp;S52,$S$10:$S$109,"&lt;"&amp;(S52+IF(L52=1,1000000,IF(L52=2,1000,1))))),G52)))*100,0)/100,IF(P52=0,"",IF(K52="汇总",IF(SUMIFS($Q$10:$Q$109,$S$10:$S$109,"&gt;"&amp;S52,$S$10:$S$109,"&lt;"&amp;(S52+IF(L52=1,1000000,IF(L52=2,1000,1))))=0,0,SUMIFS($R$10:$R$109,$S$10:$S$109,"&gt;"&amp;S52,$S$10:$S$109,"&lt;"&amp;(S52+IF(L52=1,1000000,IF(L52=2,1000,1))))/SUMIFS($Q$10:$Q$109,$S$10:$S$109,"&gt;"&amp;S52,$S$10:$S$109,"&lt;"&amp;(S52+IF(L52=1,1000000,IF(L52=2,1000,1))))),G52)))</f>
        <v/>
      </c>
      <c r="P52" s="1">
        <f>IF(OR(A52="",B52="",J52="删除",AE52=0,COUNTIFS($AG$10:$AG$109,"W"&amp;A52)&lt;&gt;1,AND(L52&gt;1,COUNTIFS($AG$10:$AG$109,"W"&amp;V52,$B$10:$B$109,"&lt;&gt;")&lt;&gt;1),AND(L52=3,COUNTIFS($AG$10:$AG$109,"W"&amp;W52,$B$10:$B$109,"&lt;&gt;")&lt;&gt;1),COUNTIFS($AG$10:$AG$109,"W"&amp;V52,$J$10:$J$109,"删除")&gt;0,COUNTIFS($AG$10:$AG$109,"W"&amp;W52,$J$10:$J$109,"删除")&gt;0),0,1)</f>
        <v>0</v>
      </c>
      <c r="Q52" s="1">
        <f>IF(AA52=0,0,IF(I52="里程碑",1,F52))</f>
        <v>0</v>
      </c>
      <c r="R52" s="1">
        <f>IF(AA52=0,0,Q52*G52)</f>
        <v>0</v>
      </c>
      <c r="S52" s="1">
        <f>IF(P52=0,1000000000000000,AB52*1000000+AC52*1000+AD52)</f>
        <v>1000000000000000</v>
      </c>
      <c r="T52" s="1">
        <f>IF(P52=0,0,IF(Timing浏览!$D$5="全部",1,IF(Timing浏览!$D$5="仅里程碑",IF(K52="里程碑",1,0),IF(L52&lt;=VALUE(LEFT(Timing浏览!$D$5,1)),1,0))))</f>
        <v>0</v>
      </c>
      <c r="U52" s="1" t="str">
        <f>IF(T52=0,"",COUNTIFS($S$10:$S$109,"&lt;"&amp;S52,$T$10:$T$109,1)+1)</f>
        <v/>
      </c>
      <c r="V52" s="1" t="str">
        <f>IF(OR(A52="",L52=1),"",IF(L52=2,TEXT(AB52,"0"),TEXT(AB52,"0")&amp;"."&amp;TEXT(AC52,"0")))</f>
        <v/>
      </c>
      <c r="W52" s="1" t="str">
        <f>IF(OR(A52="",L52=1),"",TEXT(AB52,"0"))</f>
        <v/>
      </c>
      <c r="X52" s="1" t="str">
        <f>IF(AND(A52="",B52=""),"",IF(OR(A52="",B52=""),"请补编号和名称",IF(AE52=0,"编号需为1至3级正整数",IF(COUNTIFS($AG$10:$AG$109,"W"&amp;A52)&lt;&gt;1,"编号重复",IF(AND(L52&gt;1,COUNTIFS($AG$10:$AG$109,"W"&amp;V52,$B$10:$B$109,"&lt;&gt;")&lt;&gt;1),"缺少父任务",IF(J52="删除","待删除",IF(P52=0,"父任务已删除或无效",IF(K52="汇总",IF(COUNTIFS($S$10:$S$109,"&gt;"&amp;S52,$S$10:$S$109,"&lt;"&amp;(S52+IF(L52=1,1000000,IF(L52=2,1000,1))),$P$10:$P$109,1)=0,"等待子任务","由下级汇总"),IF(OR(D52="",E52=""),"待补日期",IF(E52&lt;D52,"结束早于开始",IF(AND(I52="里程碑",D52&lt;&gt;E52),"里程碑须同日","")))))))))))</f>
        <v/>
      </c>
      <c r="Y52" s="1">
        <f>IF(AA52=1,D52,100000000)</f>
        <v>100000000</v>
      </c>
      <c r="Z52" s="1">
        <f>IF(AA52=1,E52,0)</f>
        <v>0</v>
      </c>
      <c r="AA52" s="1">
        <f>IF(AND(P52=1,K52&lt;&gt;"汇总",ISNUMBER(F52),OR(I52&lt;&gt;"里程碑",D52=E52)),1,0)</f>
        <v>0</v>
      </c>
      <c r="AB52" s="1">
        <f>IF(A52="",0,IFERROR(VALUE(MID(("W"&amp;A52),2,FIND(".",("W"&amp;A52)&amp;".")-2)),-1))</f>
        <v>0</v>
      </c>
      <c r="AC52" s="1">
        <f>IF(OR(A52="",L52&lt;2),0,IFERROR(VALUE(MID(("W"&amp;A52),FIND(".",("W"&amp;A52))+1,FIND(".",("W"&amp;A52)&amp;".",FIND(".",("W"&amp;A52))+1)-FIND(".",("W"&amp;A52))-1)),-1))</f>
        <v>0</v>
      </c>
      <c r="AD52" s="1">
        <f>IF(OR(A52="",L52&lt;3),0,IFERROR(VALUE(RIGHT(("W"&amp;A52),LEN(("W"&amp;A52))-FIND(".",("W"&amp;A52),FIND(".",("W"&amp;A52))+1))),-1))</f>
        <v>0</v>
      </c>
      <c r="AE52" s="1">
        <f>IF(A52="",0,IF(AND(L52&lt;=3,AB52&gt;=1,AB52&lt;=999,AC52&gt;=0,AC52&lt;=999,AD52&gt;=0,AD52&lt;=999,A52=TEXT(AB52,"0")&amp;IF(L52&gt;1,"."&amp;TEXT(AC52,"0"),"")&amp;IF(L52&gt;2,"."&amp;TEXT(AD52,"0"),""),OR(L52&lt;2,AC52&gt;=1),OR(L52&lt;3,AD52&gt;=1)),1,0))</f>
        <v>0</v>
      </c>
      <c r="AF52" s="1"/>
      <c r="AG52" t="str">
        <f>"W"&amp;A52</f>
        <v>W</v>
      </c>
    </row>
    <row r="53" spans="1:33" ht="16.5">
      <c r="A53" s="12" t="str">
        <f>IF(ROW()-9&gt;ROWS(TimingTasks[WBS]),"",IF(AND(INDEX(TimingTasks[WBS],ROW()-9)="",NOT(ISNUMBER(INDEX(TimingTasks[WBS],ROW()-9)))),"",INDEX(TimingTasks[WBS],ROW()-9)))</f>
        <v/>
      </c>
      <c r="B53" s="10" t="str">
        <f>IF(ROW()-9&gt;ROWS(TimingTasks[WBS]),"",IF(AND(INDEX(TimingTasks[任务名称],ROW()-9)="",NOT(ISNUMBER(INDEX(TimingTasks[任务名称],ROW()-9)))),"",INDEX(TimingTasks[任务名称],ROW()-9)))</f>
        <v/>
      </c>
      <c r="C53" s="10" t="str">
        <f>IF(ROW()-9&gt;ROWS(TimingTasks[WBS]),"",IF(AND(INDEX(TimingTasks[负责人],ROW()-9)="",NOT(ISNUMBER(INDEX(TimingTasks[负责人],ROW()-9)))),"",INDEX(TimingTasks[负责人],ROW()-9)))</f>
        <v/>
      </c>
      <c r="D53" s="11" t="str">
        <f>IF(ROW()-9&gt;ROWS(TimingTasks[WBS]),"",IF(AND(INDEX(TimingTasks[输入开始],ROW()-9)="",NOT(ISNUMBER(INDEX(TimingTasks[输入开始],ROW()-9)))),"",INDEX(TimingTasks[输入开始],ROW()-9)))</f>
        <v/>
      </c>
      <c r="E53" s="11" t="str">
        <f>IF(ROW()-9&gt;ROWS(TimingTasks[WBS]),"",IF(AND(INDEX(TimingTasks[输入结束],ROW()-9)="",NOT(ISNUMBER(INDEX(TimingTasks[输入结束],ROW()-9)))),"",INDEX(TimingTasks[输入结束],ROW()-9)))</f>
        <v/>
      </c>
      <c r="F53" s="1" t="str">
        <f>IF(OR(P53=0,K53="汇总",D53="",E53="",E53&lt;D53),"",IF(I53="里程碑",0,NETWORKDAYS(D53,E53)))</f>
        <v/>
      </c>
      <c r="G53" s="15" t="str">
        <f>IF(ROW()-9&gt;ROWS(TimingTasks[WBS]),"",IF(AND(INDEX(TimingTasks[输入完成度],ROW()-9)="",NOT(ISNUMBER(INDEX(TimingTasks[输入完成度],ROW()-9)))),0,INDEX(TimingTasks[输入完成度],ROW()-9)))</f>
        <v/>
      </c>
      <c r="H53" s="10" t="str">
        <f>IF(ROW()-9&gt;ROWS(TimingTasks[WBS]),"",IF(AND(INDEX(TimingTasks[前置任务 WBS],ROW()-9)="",NOT(ISNUMBER(INDEX(TimingTasks[前置任务 WBS],ROW()-9)))),"",INDEX(TimingTasks[前置任务 WBS],ROW()-9)))</f>
        <v/>
      </c>
      <c r="I53" s="10" t="str">
        <f>IF(ROW()-9&gt;ROWS(TimingTasks[WBS]),"",IF(AND(INDEX(TimingTasks[叶子类型],ROW()-9)="",NOT(ISNUMBER(INDEX(TimingTasks[叶子类型],ROW()-9)))),"普通任务",INDEX(TimingTasks[叶子类型],ROW()-9)))</f>
        <v/>
      </c>
      <c r="J53" s="10" t="str">
        <f>IF(ROW()-9&gt;ROWS(TimingTasks[WBS]),"",IF(AND(INDEX(TimingTasks[操作],ROW()-9)="",NOT(ISNUMBER(INDEX(TimingTasks[操作],ROW()-9)))),"保留",INDEX(TimingTasks[操作],ROW()-9)))</f>
        <v/>
      </c>
      <c r="K53" s="1" t="str">
        <f>IF(P53=0,"",IF(OR(AND(L53=1,D53="",E53="",I53&lt;&gt;"里程碑"),COUNTIFS($S$10:$S$109,"&gt;"&amp;S53,$S$10:$S$109,"&lt;"&amp;(S53+IF(L53=1,1000000,IF(L53=2,1000,1))),$P$10:$P$109,1)&gt;0),"汇总",I53))</f>
        <v/>
      </c>
      <c r="L53" s="1" t="str">
        <f>IF(A53="","",LEN(("W"&amp;A53))-LEN(SUBSTITUTE(("W"&amp;A53),".",""))+1)</f>
        <v/>
      </c>
      <c r="M53" s="3" t="str">
        <f>IF(P53=0,"",IF(K53="汇总",IF(COUNTIFS($S$10:$S$109,"&gt;"&amp;S53,$S$10:$S$109,"&lt;"&amp;(S53+IF(L53=1,1000000,IF(L53=2,1000,1))),$AA$10:$AA$109,1)=0,"",_xlfn.MINIFS($Y$10:$Y$109,$S$10:$S$109,"&gt;"&amp;S53,$S$10:$S$109,"&lt;"&amp;(S53+IF(L53=1,1000000,IF(L53=2,1000,1))),$AA$10:$AA$109,1)),IF(AA53=1,D53,"")))</f>
        <v/>
      </c>
      <c r="N53" s="3" t="str">
        <f>IF(P53=0,"",IF(K53="汇总",IF(COUNTIFS($S$10:$S$109,"&gt;"&amp;S53,$S$10:$S$109,"&lt;"&amp;(S53+IF(L53=1,1000000,IF(L53=2,1000,1))),$AA$10:$AA$109,1)=0,"",_xlfn.MAXIFS($Z$10:$Z$109,$S$10:$S$109,"&gt;"&amp;S53,$S$10:$S$109,"&lt;"&amp;(S53+IF(L53=1,1000000,IF(L53=2,1000,1))),$AA$10:$AA$109,1)),IF(AA53=1,E53,"")))</f>
        <v/>
      </c>
      <c r="O53" s="7" t="str">
        <f>IF(K53="汇总",ROUND((IF(P53=0,"",IF(K53="汇总",IF(SUMIFS($Q$10:$Q$109,$S$10:$S$109,"&gt;"&amp;S53,$S$10:$S$109,"&lt;"&amp;(S53+IF(L53=1,1000000,IF(L53=2,1000,1))))=0,0,SUMIFS($R$10:$R$109,$S$10:$S$109,"&gt;"&amp;S53,$S$10:$S$109,"&lt;"&amp;(S53+IF(L53=1,1000000,IF(L53=2,1000,1))))/SUMIFS($Q$10:$Q$109,$S$10:$S$109,"&gt;"&amp;S53,$S$10:$S$109,"&lt;"&amp;(S53+IF(L53=1,1000000,IF(L53=2,1000,1))))),G53)))*100,0)/100,IF(P53=0,"",IF(K53="汇总",IF(SUMIFS($Q$10:$Q$109,$S$10:$S$109,"&gt;"&amp;S53,$S$10:$S$109,"&lt;"&amp;(S53+IF(L53=1,1000000,IF(L53=2,1000,1))))=0,0,SUMIFS($R$10:$R$109,$S$10:$S$109,"&gt;"&amp;S53,$S$10:$S$109,"&lt;"&amp;(S53+IF(L53=1,1000000,IF(L53=2,1000,1))))/SUMIFS($Q$10:$Q$109,$S$10:$S$109,"&gt;"&amp;S53,$S$10:$S$109,"&lt;"&amp;(S53+IF(L53=1,1000000,IF(L53=2,1000,1))))),G53)))</f>
        <v/>
      </c>
      <c r="P53" s="1">
        <f>IF(OR(A53="",B53="",J53="删除",AE53=0,COUNTIFS($AG$10:$AG$109,"W"&amp;A53)&lt;&gt;1,AND(L53&gt;1,COUNTIFS($AG$10:$AG$109,"W"&amp;V53,$B$10:$B$109,"&lt;&gt;")&lt;&gt;1),AND(L53=3,COUNTIFS($AG$10:$AG$109,"W"&amp;W53,$B$10:$B$109,"&lt;&gt;")&lt;&gt;1),COUNTIFS($AG$10:$AG$109,"W"&amp;V53,$J$10:$J$109,"删除")&gt;0,COUNTIFS($AG$10:$AG$109,"W"&amp;W53,$J$10:$J$109,"删除")&gt;0),0,1)</f>
        <v>0</v>
      </c>
      <c r="Q53" s="1">
        <f>IF(AA53=0,0,IF(I53="里程碑",1,F53))</f>
        <v>0</v>
      </c>
      <c r="R53" s="1">
        <f>IF(AA53=0,0,Q53*G53)</f>
        <v>0</v>
      </c>
      <c r="S53" s="1">
        <f>IF(P53=0,1000000000000000,AB53*1000000+AC53*1000+AD53)</f>
        <v>1000000000000000</v>
      </c>
      <c r="T53" s="1">
        <f>IF(P53=0,0,IF(Timing浏览!$D$5="全部",1,IF(Timing浏览!$D$5="仅里程碑",IF(K53="里程碑",1,0),IF(L53&lt;=VALUE(LEFT(Timing浏览!$D$5,1)),1,0))))</f>
        <v>0</v>
      </c>
      <c r="U53" s="1" t="str">
        <f>IF(T53=0,"",COUNTIFS($S$10:$S$109,"&lt;"&amp;S53,$T$10:$T$109,1)+1)</f>
        <v/>
      </c>
      <c r="V53" s="1" t="str">
        <f>IF(OR(A53="",L53=1),"",IF(L53=2,TEXT(AB53,"0"),TEXT(AB53,"0")&amp;"."&amp;TEXT(AC53,"0")))</f>
        <v/>
      </c>
      <c r="W53" s="1" t="str">
        <f>IF(OR(A53="",L53=1),"",TEXT(AB53,"0"))</f>
        <v/>
      </c>
      <c r="X53" s="1" t="str">
        <f>IF(AND(A53="",B53=""),"",IF(OR(A53="",B53=""),"请补编号和名称",IF(AE53=0,"编号需为1至3级正整数",IF(COUNTIFS($AG$10:$AG$109,"W"&amp;A53)&lt;&gt;1,"编号重复",IF(AND(L53&gt;1,COUNTIFS($AG$10:$AG$109,"W"&amp;V53,$B$10:$B$109,"&lt;&gt;")&lt;&gt;1),"缺少父任务",IF(J53="删除","待删除",IF(P53=0,"父任务已删除或无效",IF(K53="汇总",IF(COUNTIFS($S$10:$S$109,"&gt;"&amp;S53,$S$10:$S$109,"&lt;"&amp;(S53+IF(L53=1,1000000,IF(L53=2,1000,1))),$P$10:$P$109,1)=0,"等待子任务","由下级汇总"),IF(OR(D53="",E53=""),"待补日期",IF(E53&lt;D53,"结束早于开始",IF(AND(I53="里程碑",D53&lt;&gt;E53),"里程碑须同日","")))))))))))</f>
        <v/>
      </c>
      <c r="Y53" s="1">
        <f>IF(AA53=1,D53,100000000)</f>
        <v>100000000</v>
      </c>
      <c r="Z53" s="1">
        <f>IF(AA53=1,E53,0)</f>
        <v>0</v>
      </c>
      <c r="AA53" s="1">
        <f>IF(AND(P53=1,K53&lt;&gt;"汇总",ISNUMBER(F53),OR(I53&lt;&gt;"里程碑",D53=E53)),1,0)</f>
        <v>0</v>
      </c>
      <c r="AB53" s="1">
        <f>IF(A53="",0,IFERROR(VALUE(MID(("W"&amp;A53),2,FIND(".",("W"&amp;A53)&amp;".")-2)),-1))</f>
        <v>0</v>
      </c>
      <c r="AC53" s="1">
        <f>IF(OR(A53="",L53&lt;2),0,IFERROR(VALUE(MID(("W"&amp;A53),FIND(".",("W"&amp;A53))+1,FIND(".",("W"&amp;A53)&amp;".",FIND(".",("W"&amp;A53))+1)-FIND(".",("W"&amp;A53))-1)),-1))</f>
        <v>0</v>
      </c>
      <c r="AD53" s="1">
        <f>IF(OR(A53="",L53&lt;3),0,IFERROR(VALUE(RIGHT(("W"&amp;A53),LEN(("W"&amp;A53))-FIND(".",("W"&amp;A53),FIND(".",("W"&amp;A53))+1))),-1))</f>
        <v>0</v>
      </c>
      <c r="AE53" s="1">
        <f>IF(A53="",0,IF(AND(L53&lt;=3,AB53&gt;=1,AB53&lt;=999,AC53&gt;=0,AC53&lt;=999,AD53&gt;=0,AD53&lt;=999,A53=TEXT(AB53,"0")&amp;IF(L53&gt;1,"."&amp;TEXT(AC53,"0"),"")&amp;IF(L53&gt;2,"."&amp;TEXT(AD53,"0"),""),OR(L53&lt;2,AC53&gt;=1),OR(L53&lt;3,AD53&gt;=1)),1,0))</f>
        <v>0</v>
      </c>
      <c r="AF53" s="1"/>
      <c r="AG53" t="str">
        <f>"W"&amp;A53</f>
        <v>W</v>
      </c>
    </row>
    <row r="54" spans="1:33" ht="16.5">
      <c r="A54" s="12" t="str">
        <f>IF(ROW()-9&gt;ROWS(TimingTasks[WBS]),"",IF(AND(INDEX(TimingTasks[WBS],ROW()-9)="",NOT(ISNUMBER(INDEX(TimingTasks[WBS],ROW()-9)))),"",INDEX(TimingTasks[WBS],ROW()-9)))</f>
        <v/>
      </c>
      <c r="B54" s="10" t="str">
        <f>IF(ROW()-9&gt;ROWS(TimingTasks[WBS]),"",IF(AND(INDEX(TimingTasks[任务名称],ROW()-9)="",NOT(ISNUMBER(INDEX(TimingTasks[任务名称],ROW()-9)))),"",INDEX(TimingTasks[任务名称],ROW()-9)))</f>
        <v/>
      </c>
      <c r="C54" s="10" t="str">
        <f>IF(ROW()-9&gt;ROWS(TimingTasks[WBS]),"",IF(AND(INDEX(TimingTasks[负责人],ROW()-9)="",NOT(ISNUMBER(INDEX(TimingTasks[负责人],ROW()-9)))),"",INDEX(TimingTasks[负责人],ROW()-9)))</f>
        <v/>
      </c>
      <c r="D54" s="11" t="str">
        <f>IF(ROW()-9&gt;ROWS(TimingTasks[WBS]),"",IF(AND(INDEX(TimingTasks[输入开始],ROW()-9)="",NOT(ISNUMBER(INDEX(TimingTasks[输入开始],ROW()-9)))),"",INDEX(TimingTasks[输入开始],ROW()-9)))</f>
        <v/>
      </c>
      <c r="E54" s="11" t="str">
        <f>IF(ROW()-9&gt;ROWS(TimingTasks[WBS]),"",IF(AND(INDEX(TimingTasks[输入结束],ROW()-9)="",NOT(ISNUMBER(INDEX(TimingTasks[输入结束],ROW()-9)))),"",INDEX(TimingTasks[输入结束],ROW()-9)))</f>
        <v/>
      </c>
      <c r="F54" s="1" t="str">
        <f>IF(OR(P54=0,K54="汇总",D54="",E54="",E54&lt;D54),"",IF(I54="里程碑",0,NETWORKDAYS(D54,E54)))</f>
        <v/>
      </c>
      <c r="G54" s="15" t="str">
        <f>IF(ROW()-9&gt;ROWS(TimingTasks[WBS]),"",IF(AND(INDEX(TimingTasks[输入完成度],ROW()-9)="",NOT(ISNUMBER(INDEX(TimingTasks[输入完成度],ROW()-9)))),0,INDEX(TimingTasks[输入完成度],ROW()-9)))</f>
        <v/>
      </c>
      <c r="H54" s="10" t="str">
        <f>IF(ROW()-9&gt;ROWS(TimingTasks[WBS]),"",IF(AND(INDEX(TimingTasks[前置任务 WBS],ROW()-9)="",NOT(ISNUMBER(INDEX(TimingTasks[前置任务 WBS],ROW()-9)))),"",INDEX(TimingTasks[前置任务 WBS],ROW()-9)))</f>
        <v/>
      </c>
      <c r="I54" s="10" t="str">
        <f>IF(ROW()-9&gt;ROWS(TimingTasks[WBS]),"",IF(AND(INDEX(TimingTasks[叶子类型],ROW()-9)="",NOT(ISNUMBER(INDEX(TimingTasks[叶子类型],ROW()-9)))),"普通任务",INDEX(TimingTasks[叶子类型],ROW()-9)))</f>
        <v/>
      </c>
      <c r="J54" s="10" t="str">
        <f>IF(ROW()-9&gt;ROWS(TimingTasks[WBS]),"",IF(AND(INDEX(TimingTasks[操作],ROW()-9)="",NOT(ISNUMBER(INDEX(TimingTasks[操作],ROW()-9)))),"保留",INDEX(TimingTasks[操作],ROW()-9)))</f>
        <v/>
      </c>
      <c r="K54" s="1" t="str">
        <f>IF(P54=0,"",IF(OR(AND(L54=1,D54="",E54="",I54&lt;&gt;"里程碑"),COUNTIFS($S$10:$S$109,"&gt;"&amp;S54,$S$10:$S$109,"&lt;"&amp;(S54+IF(L54=1,1000000,IF(L54=2,1000,1))),$P$10:$P$109,1)&gt;0),"汇总",I54))</f>
        <v/>
      </c>
      <c r="L54" s="1" t="str">
        <f>IF(A54="","",LEN(("W"&amp;A54))-LEN(SUBSTITUTE(("W"&amp;A54),".",""))+1)</f>
        <v/>
      </c>
      <c r="M54" s="3" t="str">
        <f>IF(P54=0,"",IF(K54="汇总",IF(COUNTIFS($S$10:$S$109,"&gt;"&amp;S54,$S$10:$S$109,"&lt;"&amp;(S54+IF(L54=1,1000000,IF(L54=2,1000,1))),$AA$10:$AA$109,1)=0,"",_xlfn.MINIFS($Y$10:$Y$109,$S$10:$S$109,"&gt;"&amp;S54,$S$10:$S$109,"&lt;"&amp;(S54+IF(L54=1,1000000,IF(L54=2,1000,1))),$AA$10:$AA$109,1)),IF(AA54=1,D54,"")))</f>
        <v/>
      </c>
      <c r="N54" s="3" t="str">
        <f>IF(P54=0,"",IF(K54="汇总",IF(COUNTIFS($S$10:$S$109,"&gt;"&amp;S54,$S$10:$S$109,"&lt;"&amp;(S54+IF(L54=1,1000000,IF(L54=2,1000,1))),$AA$10:$AA$109,1)=0,"",_xlfn.MAXIFS($Z$10:$Z$109,$S$10:$S$109,"&gt;"&amp;S54,$S$10:$S$109,"&lt;"&amp;(S54+IF(L54=1,1000000,IF(L54=2,1000,1))),$AA$10:$AA$109,1)),IF(AA54=1,E54,"")))</f>
        <v/>
      </c>
      <c r="O54" s="7" t="str">
        <f>IF(K54="汇总",ROUND((IF(P54=0,"",IF(K54="汇总",IF(SUMIFS($Q$10:$Q$109,$S$10:$S$109,"&gt;"&amp;S54,$S$10:$S$109,"&lt;"&amp;(S54+IF(L54=1,1000000,IF(L54=2,1000,1))))=0,0,SUMIFS($R$10:$R$109,$S$10:$S$109,"&gt;"&amp;S54,$S$10:$S$109,"&lt;"&amp;(S54+IF(L54=1,1000000,IF(L54=2,1000,1))))/SUMIFS($Q$10:$Q$109,$S$10:$S$109,"&gt;"&amp;S54,$S$10:$S$109,"&lt;"&amp;(S54+IF(L54=1,1000000,IF(L54=2,1000,1))))),G54)))*100,0)/100,IF(P54=0,"",IF(K54="汇总",IF(SUMIFS($Q$10:$Q$109,$S$10:$S$109,"&gt;"&amp;S54,$S$10:$S$109,"&lt;"&amp;(S54+IF(L54=1,1000000,IF(L54=2,1000,1))))=0,0,SUMIFS($R$10:$R$109,$S$10:$S$109,"&gt;"&amp;S54,$S$10:$S$109,"&lt;"&amp;(S54+IF(L54=1,1000000,IF(L54=2,1000,1))))/SUMIFS($Q$10:$Q$109,$S$10:$S$109,"&gt;"&amp;S54,$S$10:$S$109,"&lt;"&amp;(S54+IF(L54=1,1000000,IF(L54=2,1000,1))))),G54)))</f>
        <v/>
      </c>
      <c r="P54" s="1">
        <f>IF(OR(A54="",B54="",J54="删除",AE54=0,COUNTIFS($AG$10:$AG$109,"W"&amp;A54)&lt;&gt;1,AND(L54&gt;1,COUNTIFS($AG$10:$AG$109,"W"&amp;V54,$B$10:$B$109,"&lt;&gt;")&lt;&gt;1),AND(L54=3,COUNTIFS($AG$10:$AG$109,"W"&amp;W54,$B$10:$B$109,"&lt;&gt;")&lt;&gt;1),COUNTIFS($AG$10:$AG$109,"W"&amp;V54,$J$10:$J$109,"删除")&gt;0,COUNTIFS($AG$10:$AG$109,"W"&amp;W54,$J$10:$J$109,"删除")&gt;0),0,1)</f>
        <v>0</v>
      </c>
      <c r="Q54" s="1">
        <f>IF(AA54=0,0,IF(I54="里程碑",1,F54))</f>
        <v>0</v>
      </c>
      <c r="R54" s="1">
        <f>IF(AA54=0,0,Q54*G54)</f>
        <v>0</v>
      </c>
      <c r="S54" s="1">
        <f>IF(P54=0,1000000000000000,AB54*1000000+AC54*1000+AD54)</f>
        <v>1000000000000000</v>
      </c>
      <c r="T54" s="1">
        <f>IF(P54=0,0,IF(Timing浏览!$D$5="全部",1,IF(Timing浏览!$D$5="仅里程碑",IF(K54="里程碑",1,0),IF(L54&lt;=VALUE(LEFT(Timing浏览!$D$5,1)),1,0))))</f>
        <v>0</v>
      </c>
      <c r="U54" s="1" t="str">
        <f>IF(T54=0,"",COUNTIFS($S$10:$S$109,"&lt;"&amp;S54,$T$10:$T$109,1)+1)</f>
        <v/>
      </c>
      <c r="V54" s="1" t="str">
        <f>IF(OR(A54="",L54=1),"",IF(L54=2,TEXT(AB54,"0"),TEXT(AB54,"0")&amp;"."&amp;TEXT(AC54,"0")))</f>
        <v/>
      </c>
      <c r="W54" s="1" t="str">
        <f>IF(OR(A54="",L54=1),"",TEXT(AB54,"0"))</f>
        <v/>
      </c>
      <c r="X54" s="1" t="str">
        <f>IF(AND(A54="",B54=""),"",IF(OR(A54="",B54=""),"请补编号和名称",IF(AE54=0,"编号需为1至3级正整数",IF(COUNTIFS($AG$10:$AG$109,"W"&amp;A54)&lt;&gt;1,"编号重复",IF(AND(L54&gt;1,COUNTIFS($AG$10:$AG$109,"W"&amp;V54,$B$10:$B$109,"&lt;&gt;")&lt;&gt;1),"缺少父任务",IF(J54="删除","待删除",IF(P54=0,"父任务已删除或无效",IF(K54="汇总",IF(COUNTIFS($S$10:$S$109,"&gt;"&amp;S54,$S$10:$S$109,"&lt;"&amp;(S54+IF(L54=1,1000000,IF(L54=2,1000,1))),$P$10:$P$109,1)=0,"等待子任务","由下级汇总"),IF(OR(D54="",E54=""),"待补日期",IF(E54&lt;D54,"结束早于开始",IF(AND(I54="里程碑",D54&lt;&gt;E54),"里程碑须同日","")))))))))))</f>
        <v/>
      </c>
      <c r="Y54" s="1">
        <f>IF(AA54=1,D54,100000000)</f>
        <v>100000000</v>
      </c>
      <c r="Z54" s="1">
        <f>IF(AA54=1,E54,0)</f>
        <v>0</v>
      </c>
      <c r="AA54" s="1">
        <f>IF(AND(P54=1,K54&lt;&gt;"汇总",ISNUMBER(F54),OR(I54&lt;&gt;"里程碑",D54=E54)),1,0)</f>
        <v>0</v>
      </c>
      <c r="AB54" s="1">
        <f>IF(A54="",0,IFERROR(VALUE(MID(("W"&amp;A54),2,FIND(".",("W"&amp;A54)&amp;".")-2)),-1))</f>
        <v>0</v>
      </c>
      <c r="AC54" s="1">
        <f>IF(OR(A54="",L54&lt;2),0,IFERROR(VALUE(MID(("W"&amp;A54),FIND(".",("W"&amp;A54))+1,FIND(".",("W"&amp;A54)&amp;".",FIND(".",("W"&amp;A54))+1)-FIND(".",("W"&amp;A54))-1)),-1))</f>
        <v>0</v>
      </c>
      <c r="AD54" s="1">
        <f>IF(OR(A54="",L54&lt;3),0,IFERROR(VALUE(RIGHT(("W"&amp;A54),LEN(("W"&amp;A54))-FIND(".",("W"&amp;A54),FIND(".",("W"&amp;A54))+1))),-1))</f>
        <v>0</v>
      </c>
      <c r="AE54" s="1">
        <f>IF(A54="",0,IF(AND(L54&lt;=3,AB54&gt;=1,AB54&lt;=999,AC54&gt;=0,AC54&lt;=999,AD54&gt;=0,AD54&lt;=999,A54=TEXT(AB54,"0")&amp;IF(L54&gt;1,"."&amp;TEXT(AC54,"0"),"")&amp;IF(L54&gt;2,"."&amp;TEXT(AD54,"0"),""),OR(L54&lt;2,AC54&gt;=1),OR(L54&lt;3,AD54&gt;=1)),1,0))</f>
        <v>0</v>
      </c>
      <c r="AF54" s="1"/>
      <c r="AG54" t="str">
        <f>"W"&amp;A54</f>
        <v>W</v>
      </c>
    </row>
    <row r="55" spans="1:33" ht="16.5">
      <c r="A55" s="12" t="str">
        <f>IF(ROW()-9&gt;ROWS(TimingTasks[WBS]),"",IF(AND(INDEX(TimingTasks[WBS],ROW()-9)="",NOT(ISNUMBER(INDEX(TimingTasks[WBS],ROW()-9)))),"",INDEX(TimingTasks[WBS],ROW()-9)))</f>
        <v/>
      </c>
      <c r="B55" s="10" t="str">
        <f>IF(ROW()-9&gt;ROWS(TimingTasks[WBS]),"",IF(AND(INDEX(TimingTasks[任务名称],ROW()-9)="",NOT(ISNUMBER(INDEX(TimingTasks[任务名称],ROW()-9)))),"",INDEX(TimingTasks[任务名称],ROW()-9)))</f>
        <v/>
      </c>
      <c r="C55" s="10" t="str">
        <f>IF(ROW()-9&gt;ROWS(TimingTasks[WBS]),"",IF(AND(INDEX(TimingTasks[负责人],ROW()-9)="",NOT(ISNUMBER(INDEX(TimingTasks[负责人],ROW()-9)))),"",INDEX(TimingTasks[负责人],ROW()-9)))</f>
        <v/>
      </c>
      <c r="D55" s="11" t="str">
        <f>IF(ROW()-9&gt;ROWS(TimingTasks[WBS]),"",IF(AND(INDEX(TimingTasks[输入开始],ROW()-9)="",NOT(ISNUMBER(INDEX(TimingTasks[输入开始],ROW()-9)))),"",INDEX(TimingTasks[输入开始],ROW()-9)))</f>
        <v/>
      </c>
      <c r="E55" s="11" t="str">
        <f>IF(ROW()-9&gt;ROWS(TimingTasks[WBS]),"",IF(AND(INDEX(TimingTasks[输入结束],ROW()-9)="",NOT(ISNUMBER(INDEX(TimingTasks[输入结束],ROW()-9)))),"",INDEX(TimingTasks[输入结束],ROW()-9)))</f>
        <v/>
      </c>
      <c r="F55" s="1" t="str">
        <f>IF(OR(P55=0,K55="汇总",D55="",E55="",E55&lt;D55),"",IF(I55="里程碑",0,NETWORKDAYS(D55,E55)))</f>
        <v/>
      </c>
      <c r="G55" s="15" t="str">
        <f>IF(ROW()-9&gt;ROWS(TimingTasks[WBS]),"",IF(AND(INDEX(TimingTasks[输入完成度],ROW()-9)="",NOT(ISNUMBER(INDEX(TimingTasks[输入完成度],ROW()-9)))),0,INDEX(TimingTasks[输入完成度],ROW()-9)))</f>
        <v/>
      </c>
      <c r="H55" s="10" t="str">
        <f>IF(ROW()-9&gt;ROWS(TimingTasks[WBS]),"",IF(AND(INDEX(TimingTasks[前置任务 WBS],ROW()-9)="",NOT(ISNUMBER(INDEX(TimingTasks[前置任务 WBS],ROW()-9)))),"",INDEX(TimingTasks[前置任务 WBS],ROW()-9)))</f>
        <v/>
      </c>
      <c r="I55" s="10" t="str">
        <f>IF(ROW()-9&gt;ROWS(TimingTasks[WBS]),"",IF(AND(INDEX(TimingTasks[叶子类型],ROW()-9)="",NOT(ISNUMBER(INDEX(TimingTasks[叶子类型],ROW()-9)))),"普通任务",INDEX(TimingTasks[叶子类型],ROW()-9)))</f>
        <v/>
      </c>
      <c r="J55" s="10" t="str">
        <f>IF(ROW()-9&gt;ROWS(TimingTasks[WBS]),"",IF(AND(INDEX(TimingTasks[操作],ROW()-9)="",NOT(ISNUMBER(INDEX(TimingTasks[操作],ROW()-9)))),"保留",INDEX(TimingTasks[操作],ROW()-9)))</f>
        <v/>
      </c>
      <c r="K55" s="1" t="str">
        <f>IF(P55=0,"",IF(OR(AND(L55=1,D55="",E55="",I55&lt;&gt;"里程碑"),COUNTIFS($S$10:$S$109,"&gt;"&amp;S55,$S$10:$S$109,"&lt;"&amp;(S55+IF(L55=1,1000000,IF(L55=2,1000,1))),$P$10:$P$109,1)&gt;0),"汇总",I55))</f>
        <v/>
      </c>
      <c r="L55" s="1" t="str">
        <f>IF(A55="","",LEN(("W"&amp;A55))-LEN(SUBSTITUTE(("W"&amp;A55),".",""))+1)</f>
        <v/>
      </c>
      <c r="M55" s="3" t="str">
        <f>IF(P55=0,"",IF(K55="汇总",IF(COUNTIFS($S$10:$S$109,"&gt;"&amp;S55,$S$10:$S$109,"&lt;"&amp;(S55+IF(L55=1,1000000,IF(L55=2,1000,1))),$AA$10:$AA$109,1)=0,"",_xlfn.MINIFS($Y$10:$Y$109,$S$10:$S$109,"&gt;"&amp;S55,$S$10:$S$109,"&lt;"&amp;(S55+IF(L55=1,1000000,IF(L55=2,1000,1))),$AA$10:$AA$109,1)),IF(AA55=1,D55,"")))</f>
        <v/>
      </c>
      <c r="N55" s="3" t="str">
        <f>IF(P55=0,"",IF(K55="汇总",IF(COUNTIFS($S$10:$S$109,"&gt;"&amp;S55,$S$10:$S$109,"&lt;"&amp;(S55+IF(L55=1,1000000,IF(L55=2,1000,1))),$AA$10:$AA$109,1)=0,"",_xlfn.MAXIFS($Z$10:$Z$109,$S$10:$S$109,"&gt;"&amp;S55,$S$10:$S$109,"&lt;"&amp;(S55+IF(L55=1,1000000,IF(L55=2,1000,1))),$AA$10:$AA$109,1)),IF(AA55=1,E55,"")))</f>
        <v/>
      </c>
      <c r="O55" s="7" t="str">
        <f>IF(K55="汇总",ROUND((IF(P55=0,"",IF(K55="汇总",IF(SUMIFS($Q$10:$Q$109,$S$10:$S$109,"&gt;"&amp;S55,$S$10:$S$109,"&lt;"&amp;(S55+IF(L55=1,1000000,IF(L55=2,1000,1))))=0,0,SUMIFS($R$10:$R$109,$S$10:$S$109,"&gt;"&amp;S55,$S$10:$S$109,"&lt;"&amp;(S55+IF(L55=1,1000000,IF(L55=2,1000,1))))/SUMIFS($Q$10:$Q$109,$S$10:$S$109,"&gt;"&amp;S55,$S$10:$S$109,"&lt;"&amp;(S55+IF(L55=1,1000000,IF(L55=2,1000,1))))),G55)))*100,0)/100,IF(P55=0,"",IF(K55="汇总",IF(SUMIFS($Q$10:$Q$109,$S$10:$S$109,"&gt;"&amp;S55,$S$10:$S$109,"&lt;"&amp;(S55+IF(L55=1,1000000,IF(L55=2,1000,1))))=0,0,SUMIFS($R$10:$R$109,$S$10:$S$109,"&gt;"&amp;S55,$S$10:$S$109,"&lt;"&amp;(S55+IF(L55=1,1000000,IF(L55=2,1000,1))))/SUMIFS($Q$10:$Q$109,$S$10:$S$109,"&gt;"&amp;S55,$S$10:$S$109,"&lt;"&amp;(S55+IF(L55=1,1000000,IF(L55=2,1000,1))))),G55)))</f>
        <v/>
      </c>
      <c r="P55" s="1">
        <f>IF(OR(A55="",B55="",J55="删除",AE55=0,COUNTIFS($AG$10:$AG$109,"W"&amp;A55)&lt;&gt;1,AND(L55&gt;1,COUNTIFS($AG$10:$AG$109,"W"&amp;V55,$B$10:$B$109,"&lt;&gt;")&lt;&gt;1),AND(L55=3,COUNTIFS($AG$10:$AG$109,"W"&amp;W55,$B$10:$B$109,"&lt;&gt;")&lt;&gt;1),COUNTIFS($AG$10:$AG$109,"W"&amp;V55,$J$10:$J$109,"删除")&gt;0,COUNTIFS($AG$10:$AG$109,"W"&amp;W55,$J$10:$J$109,"删除")&gt;0),0,1)</f>
        <v>0</v>
      </c>
      <c r="Q55" s="1">
        <f>IF(AA55=0,0,IF(I55="里程碑",1,F55))</f>
        <v>0</v>
      </c>
      <c r="R55" s="1">
        <f>IF(AA55=0,0,Q55*G55)</f>
        <v>0</v>
      </c>
      <c r="S55" s="1">
        <f>IF(P55=0,1000000000000000,AB55*1000000+AC55*1000+AD55)</f>
        <v>1000000000000000</v>
      </c>
      <c r="T55" s="1">
        <f>IF(P55=0,0,IF(Timing浏览!$D$5="全部",1,IF(Timing浏览!$D$5="仅里程碑",IF(K55="里程碑",1,0),IF(L55&lt;=VALUE(LEFT(Timing浏览!$D$5,1)),1,0))))</f>
        <v>0</v>
      </c>
      <c r="U55" s="1" t="str">
        <f>IF(T55=0,"",COUNTIFS($S$10:$S$109,"&lt;"&amp;S55,$T$10:$T$109,1)+1)</f>
        <v/>
      </c>
      <c r="V55" s="1" t="str">
        <f>IF(OR(A55="",L55=1),"",IF(L55=2,TEXT(AB55,"0"),TEXT(AB55,"0")&amp;"."&amp;TEXT(AC55,"0")))</f>
        <v/>
      </c>
      <c r="W55" s="1" t="str">
        <f>IF(OR(A55="",L55=1),"",TEXT(AB55,"0"))</f>
        <v/>
      </c>
      <c r="X55" s="1" t="str">
        <f>IF(AND(A55="",B55=""),"",IF(OR(A55="",B55=""),"请补编号和名称",IF(AE55=0,"编号需为1至3级正整数",IF(COUNTIFS($AG$10:$AG$109,"W"&amp;A55)&lt;&gt;1,"编号重复",IF(AND(L55&gt;1,COUNTIFS($AG$10:$AG$109,"W"&amp;V55,$B$10:$B$109,"&lt;&gt;")&lt;&gt;1),"缺少父任务",IF(J55="删除","待删除",IF(P55=0,"父任务已删除或无效",IF(K55="汇总",IF(COUNTIFS($S$10:$S$109,"&gt;"&amp;S55,$S$10:$S$109,"&lt;"&amp;(S55+IF(L55=1,1000000,IF(L55=2,1000,1))),$P$10:$P$109,1)=0,"等待子任务","由下级汇总"),IF(OR(D55="",E55=""),"待补日期",IF(E55&lt;D55,"结束早于开始",IF(AND(I55="里程碑",D55&lt;&gt;E55),"里程碑须同日","")))))))))))</f>
        <v/>
      </c>
      <c r="Y55" s="1">
        <f>IF(AA55=1,D55,100000000)</f>
        <v>100000000</v>
      </c>
      <c r="Z55" s="1">
        <f>IF(AA55=1,E55,0)</f>
        <v>0</v>
      </c>
      <c r="AA55" s="1">
        <f>IF(AND(P55=1,K55&lt;&gt;"汇总",ISNUMBER(F55),OR(I55&lt;&gt;"里程碑",D55=E55)),1,0)</f>
        <v>0</v>
      </c>
      <c r="AB55" s="1">
        <f>IF(A55="",0,IFERROR(VALUE(MID(("W"&amp;A55),2,FIND(".",("W"&amp;A55)&amp;".")-2)),-1))</f>
        <v>0</v>
      </c>
      <c r="AC55" s="1">
        <f>IF(OR(A55="",L55&lt;2),0,IFERROR(VALUE(MID(("W"&amp;A55),FIND(".",("W"&amp;A55))+1,FIND(".",("W"&amp;A55)&amp;".",FIND(".",("W"&amp;A55))+1)-FIND(".",("W"&amp;A55))-1)),-1))</f>
        <v>0</v>
      </c>
      <c r="AD55" s="1">
        <f>IF(OR(A55="",L55&lt;3),0,IFERROR(VALUE(RIGHT(("W"&amp;A55),LEN(("W"&amp;A55))-FIND(".",("W"&amp;A55),FIND(".",("W"&amp;A55))+1))),-1))</f>
        <v>0</v>
      </c>
      <c r="AE55" s="1">
        <f>IF(A55="",0,IF(AND(L55&lt;=3,AB55&gt;=1,AB55&lt;=999,AC55&gt;=0,AC55&lt;=999,AD55&gt;=0,AD55&lt;=999,A55=TEXT(AB55,"0")&amp;IF(L55&gt;1,"."&amp;TEXT(AC55,"0"),"")&amp;IF(L55&gt;2,"."&amp;TEXT(AD55,"0"),""),OR(L55&lt;2,AC55&gt;=1),OR(L55&lt;3,AD55&gt;=1)),1,0))</f>
        <v>0</v>
      </c>
      <c r="AF55" s="1"/>
      <c r="AG55" t="str">
        <f>"W"&amp;A55</f>
        <v>W</v>
      </c>
    </row>
    <row r="56" spans="1:33" ht="16.5">
      <c r="A56" s="12" t="str">
        <f>IF(ROW()-9&gt;ROWS(TimingTasks[WBS]),"",IF(AND(INDEX(TimingTasks[WBS],ROW()-9)="",NOT(ISNUMBER(INDEX(TimingTasks[WBS],ROW()-9)))),"",INDEX(TimingTasks[WBS],ROW()-9)))</f>
        <v/>
      </c>
      <c r="B56" s="10" t="str">
        <f>IF(ROW()-9&gt;ROWS(TimingTasks[WBS]),"",IF(AND(INDEX(TimingTasks[任务名称],ROW()-9)="",NOT(ISNUMBER(INDEX(TimingTasks[任务名称],ROW()-9)))),"",INDEX(TimingTasks[任务名称],ROW()-9)))</f>
        <v/>
      </c>
      <c r="C56" s="10" t="str">
        <f>IF(ROW()-9&gt;ROWS(TimingTasks[WBS]),"",IF(AND(INDEX(TimingTasks[负责人],ROW()-9)="",NOT(ISNUMBER(INDEX(TimingTasks[负责人],ROW()-9)))),"",INDEX(TimingTasks[负责人],ROW()-9)))</f>
        <v/>
      </c>
      <c r="D56" s="11" t="str">
        <f>IF(ROW()-9&gt;ROWS(TimingTasks[WBS]),"",IF(AND(INDEX(TimingTasks[输入开始],ROW()-9)="",NOT(ISNUMBER(INDEX(TimingTasks[输入开始],ROW()-9)))),"",INDEX(TimingTasks[输入开始],ROW()-9)))</f>
        <v/>
      </c>
      <c r="E56" s="11" t="str">
        <f>IF(ROW()-9&gt;ROWS(TimingTasks[WBS]),"",IF(AND(INDEX(TimingTasks[输入结束],ROW()-9)="",NOT(ISNUMBER(INDEX(TimingTasks[输入结束],ROW()-9)))),"",INDEX(TimingTasks[输入结束],ROW()-9)))</f>
        <v/>
      </c>
      <c r="F56" s="1" t="str">
        <f>IF(OR(P56=0,K56="汇总",D56="",E56="",E56&lt;D56),"",IF(I56="里程碑",0,NETWORKDAYS(D56,E56)))</f>
        <v/>
      </c>
      <c r="G56" s="15" t="str">
        <f>IF(ROW()-9&gt;ROWS(TimingTasks[WBS]),"",IF(AND(INDEX(TimingTasks[输入完成度],ROW()-9)="",NOT(ISNUMBER(INDEX(TimingTasks[输入完成度],ROW()-9)))),0,INDEX(TimingTasks[输入完成度],ROW()-9)))</f>
        <v/>
      </c>
      <c r="H56" s="10" t="str">
        <f>IF(ROW()-9&gt;ROWS(TimingTasks[WBS]),"",IF(AND(INDEX(TimingTasks[前置任务 WBS],ROW()-9)="",NOT(ISNUMBER(INDEX(TimingTasks[前置任务 WBS],ROW()-9)))),"",INDEX(TimingTasks[前置任务 WBS],ROW()-9)))</f>
        <v/>
      </c>
      <c r="I56" s="10" t="str">
        <f>IF(ROW()-9&gt;ROWS(TimingTasks[WBS]),"",IF(AND(INDEX(TimingTasks[叶子类型],ROW()-9)="",NOT(ISNUMBER(INDEX(TimingTasks[叶子类型],ROW()-9)))),"普通任务",INDEX(TimingTasks[叶子类型],ROW()-9)))</f>
        <v/>
      </c>
      <c r="J56" s="10" t="str">
        <f>IF(ROW()-9&gt;ROWS(TimingTasks[WBS]),"",IF(AND(INDEX(TimingTasks[操作],ROW()-9)="",NOT(ISNUMBER(INDEX(TimingTasks[操作],ROW()-9)))),"保留",INDEX(TimingTasks[操作],ROW()-9)))</f>
        <v/>
      </c>
      <c r="K56" s="1" t="str">
        <f>IF(P56=0,"",IF(OR(AND(L56=1,D56="",E56="",I56&lt;&gt;"里程碑"),COUNTIFS($S$10:$S$109,"&gt;"&amp;S56,$S$10:$S$109,"&lt;"&amp;(S56+IF(L56=1,1000000,IF(L56=2,1000,1))),$P$10:$P$109,1)&gt;0),"汇总",I56))</f>
        <v/>
      </c>
      <c r="L56" s="1" t="str">
        <f>IF(A56="","",LEN(("W"&amp;A56))-LEN(SUBSTITUTE(("W"&amp;A56),".",""))+1)</f>
        <v/>
      </c>
      <c r="M56" s="3" t="str">
        <f>IF(P56=0,"",IF(K56="汇总",IF(COUNTIFS($S$10:$S$109,"&gt;"&amp;S56,$S$10:$S$109,"&lt;"&amp;(S56+IF(L56=1,1000000,IF(L56=2,1000,1))),$AA$10:$AA$109,1)=0,"",_xlfn.MINIFS($Y$10:$Y$109,$S$10:$S$109,"&gt;"&amp;S56,$S$10:$S$109,"&lt;"&amp;(S56+IF(L56=1,1000000,IF(L56=2,1000,1))),$AA$10:$AA$109,1)),IF(AA56=1,D56,"")))</f>
        <v/>
      </c>
      <c r="N56" s="3" t="str">
        <f>IF(P56=0,"",IF(K56="汇总",IF(COUNTIFS($S$10:$S$109,"&gt;"&amp;S56,$S$10:$S$109,"&lt;"&amp;(S56+IF(L56=1,1000000,IF(L56=2,1000,1))),$AA$10:$AA$109,1)=0,"",_xlfn.MAXIFS($Z$10:$Z$109,$S$10:$S$109,"&gt;"&amp;S56,$S$10:$S$109,"&lt;"&amp;(S56+IF(L56=1,1000000,IF(L56=2,1000,1))),$AA$10:$AA$109,1)),IF(AA56=1,E56,"")))</f>
        <v/>
      </c>
      <c r="O56" s="7" t="str">
        <f>IF(K56="汇总",ROUND((IF(P56=0,"",IF(K56="汇总",IF(SUMIFS($Q$10:$Q$109,$S$10:$S$109,"&gt;"&amp;S56,$S$10:$S$109,"&lt;"&amp;(S56+IF(L56=1,1000000,IF(L56=2,1000,1))))=0,0,SUMIFS($R$10:$R$109,$S$10:$S$109,"&gt;"&amp;S56,$S$10:$S$109,"&lt;"&amp;(S56+IF(L56=1,1000000,IF(L56=2,1000,1))))/SUMIFS($Q$10:$Q$109,$S$10:$S$109,"&gt;"&amp;S56,$S$10:$S$109,"&lt;"&amp;(S56+IF(L56=1,1000000,IF(L56=2,1000,1))))),G56)))*100,0)/100,IF(P56=0,"",IF(K56="汇总",IF(SUMIFS($Q$10:$Q$109,$S$10:$S$109,"&gt;"&amp;S56,$S$10:$S$109,"&lt;"&amp;(S56+IF(L56=1,1000000,IF(L56=2,1000,1))))=0,0,SUMIFS($R$10:$R$109,$S$10:$S$109,"&gt;"&amp;S56,$S$10:$S$109,"&lt;"&amp;(S56+IF(L56=1,1000000,IF(L56=2,1000,1))))/SUMIFS($Q$10:$Q$109,$S$10:$S$109,"&gt;"&amp;S56,$S$10:$S$109,"&lt;"&amp;(S56+IF(L56=1,1000000,IF(L56=2,1000,1))))),G56)))</f>
        <v/>
      </c>
      <c r="P56" s="1">
        <f>IF(OR(A56="",B56="",J56="删除",AE56=0,COUNTIFS($AG$10:$AG$109,"W"&amp;A56)&lt;&gt;1,AND(L56&gt;1,COUNTIFS($AG$10:$AG$109,"W"&amp;V56,$B$10:$B$109,"&lt;&gt;")&lt;&gt;1),AND(L56=3,COUNTIFS($AG$10:$AG$109,"W"&amp;W56,$B$10:$B$109,"&lt;&gt;")&lt;&gt;1),COUNTIFS($AG$10:$AG$109,"W"&amp;V56,$J$10:$J$109,"删除")&gt;0,COUNTIFS($AG$10:$AG$109,"W"&amp;W56,$J$10:$J$109,"删除")&gt;0),0,1)</f>
        <v>0</v>
      </c>
      <c r="Q56" s="1">
        <f>IF(AA56=0,0,IF(I56="里程碑",1,F56))</f>
        <v>0</v>
      </c>
      <c r="R56" s="1">
        <f>IF(AA56=0,0,Q56*G56)</f>
        <v>0</v>
      </c>
      <c r="S56" s="1">
        <f>IF(P56=0,1000000000000000,AB56*1000000+AC56*1000+AD56)</f>
        <v>1000000000000000</v>
      </c>
      <c r="T56" s="1">
        <f>IF(P56=0,0,IF(Timing浏览!$D$5="全部",1,IF(Timing浏览!$D$5="仅里程碑",IF(K56="里程碑",1,0),IF(L56&lt;=VALUE(LEFT(Timing浏览!$D$5,1)),1,0))))</f>
        <v>0</v>
      </c>
      <c r="U56" s="1" t="str">
        <f>IF(T56=0,"",COUNTIFS($S$10:$S$109,"&lt;"&amp;S56,$T$10:$T$109,1)+1)</f>
        <v/>
      </c>
      <c r="V56" s="1" t="str">
        <f>IF(OR(A56="",L56=1),"",IF(L56=2,TEXT(AB56,"0"),TEXT(AB56,"0")&amp;"."&amp;TEXT(AC56,"0")))</f>
        <v/>
      </c>
      <c r="W56" s="1" t="str">
        <f>IF(OR(A56="",L56=1),"",TEXT(AB56,"0"))</f>
        <v/>
      </c>
      <c r="X56" s="1" t="str">
        <f>IF(AND(A56="",B56=""),"",IF(OR(A56="",B56=""),"请补编号和名称",IF(AE56=0,"编号需为1至3级正整数",IF(COUNTIFS($AG$10:$AG$109,"W"&amp;A56)&lt;&gt;1,"编号重复",IF(AND(L56&gt;1,COUNTIFS($AG$10:$AG$109,"W"&amp;V56,$B$10:$B$109,"&lt;&gt;")&lt;&gt;1),"缺少父任务",IF(J56="删除","待删除",IF(P56=0,"父任务已删除或无效",IF(K56="汇总",IF(COUNTIFS($S$10:$S$109,"&gt;"&amp;S56,$S$10:$S$109,"&lt;"&amp;(S56+IF(L56=1,1000000,IF(L56=2,1000,1))),$P$10:$P$109,1)=0,"等待子任务","由下级汇总"),IF(OR(D56="",E56=""),"待补日期",IF(E56&lt;D56,"结束早于开始",IF(AND(I56="里程碑",D56&lt;&gt;E56),"里程碑须同日","")))))))))))</f>
        <v/>
      </c>
      <c r="Y56" s="1">
        <f>IF(AA56=1,D56,100000000)</f>
        <v>100000000</v>
      </c>
      <c r="Z56" s="1">
        <f>IF(AA56=1,E56,0)</f>
        <v>0</v>
      </c>
      <c r="AA56" s="1">
        <f>IF(AND(P56=1,K56&lt;&gt;"汇总",ISNUMBER(F56),OR(I56&lt;&gt;"里程碑",D56=E56)),1,0)</f>
        <v>0</v>
      </c>
      <c r="AB56" s="1">
        <f>IF(A56="",0,IFERROR(VALUE(MID(("W"&amp;A56),2,FIND(".",("W"&amp;A56)&amp;".")-2)),-1))</f>
        <v>0</v>
      </c>
      <c r="AC56" s="1">
        <f>IF(OR(A56="",L56&lt;2),0,IFERROR(VALUE(MID(("W"&amp;A56),FIND(".",("W"&amp;A56))+1,FIND(".",("W"&amp;A56)&amp;".",FIND(".",("W"&amp;A56))+1)-FIND(".",("W"&amp;A56))-1)),-1))</f>
        <v>0</v>
      </c>
      <c r="AD56" s="1">
        <f>IF(OR(A56="",L56&lt;3),0,IFERROR(VALUE(RIGHT(("W"&amp;A56),LEN(("W"&amp;A56))-FIND(".",("W"&amp;A56),FIND(".",("W"&amp;A56))+1))),-1))</f>
        <v>0</v>
      </c>
      <c r="AE56" s="1">
        <f>IF(A56="",0,IF(AND(L56&lt;=3,AB56&gt;=1,AB56&lt;=999,AC56&gt;=0,AC56&lt;=999,AD56&gt;=0,AD56&lt;=999,A56=TEXT(AB56,"0")&amp;IF(L56&gt;1,"."&amp;TEXT(AC56,"0"),"")&amp;IF(L56&gt;2,"."&amp;TEXT(AD56,"0"),""),OR(L56&lt;2,AC56&gt;=1),OR(L56&lt;3,AD56&gt;=1)),1,0))</f>
        <v>0</v>
      </c>
      <c r="AF56" s="1"/>
      <c r="AG56" t="str">
        <f>"W"&amp;A56</f>
        <v>W</v>
      </c>
    </row>
    <row r="57" spans="1:33" ht="16.5">
      <c r="A57" s="12" t="str">
        <f>IF(ROW()-9&gt;ROWS(TimingTasks[WBS]),"",IF(AND(INDEX(TimingTasks[WBS],ROW()-9)="",NOT(ISNUMBER(INDEX(TimingTasks[WBS],ROW()-9)))),"",INDEX(TimingTasks[WBS],ROW()-9)))</f>
        <v/>
      </c>
      <c r="B57" s="10" t="str">
        <f>IF(ROW()-9&gt;ROWS(TimingTasks[WBS]),"",IF(AND(INDEX(TimingTasks[任务名称],ROW()-9)="",NOT(ISNUMBER(INDEX(TimingTasks[任务名称],ROW()-9)))),"",INDEX(TimingTasks[任务名称],ROW()-9)))</f>
        <v/>
      </c>
      <c r="C57" s="10" t="str">
        <f>IF(ROW()-9&gt;ROWS(TimingTasks[WBS]),"",IF(AND(INDEX(TimingTasks[负责人],ROW()-9)="",NOT(ISNUMBER(INDEX(TimingTasks[负责人],ROW()-9)))),"",INDEX(TimingTasks[负责人],ROW()-9)))</f>
        <v/>
      </c>
      <c r="D57" s="11" t="str">
        <f>IF(ROW()-9&gt;ROWS(TimingTasks[WBS]),"",IF(AND(INDEX(TimingTasks[输入开始],ROW()-9)="",NOT(ISNUMBER(INDEX(TimingTasks[输入开始],ROW()-9)))),"",INDEX(TimingTasks[输入开始],ROW()-9)))</f>
        <v/>
      </c>
      <c r="E57" s="11" t="str">
        <f>IF(ROW()-9&gt;ROWS(TimingTasks[WBS]),"",IF(AND(INDEX(TimingTasks[输入结束],ROW()-9)="",NOT(ISNUMBER(INDEX(TimingTasks[输入结束],ROW()-9)))),"",INDEX(TimingTasks[输入结束],ROW()-9)))</f>
        <v/>
      </c>
      <c r="F57" s="1" t="str">
        <f>IF(OR(P57=0,K57="汇总",D57="",E57="",E57&lt;D57),"",IF(I57="里程碑",0,NETWORKDAYS(D57,E57)))</f>
        <v/>
      </c>
      <c r="G57" s="15" t="str">
        <f>IF(ROW()-9&gt;ROWS(TimingTasks[WBS]),"",IF(AND(INDEX(TimingTasks[输入完成度],ROW()-9)="",NOT(ISNUMBER(INDEX(TimingTasks[输入完成度],ROW()-9)))),0,INDEX(TimingTasks[输入完成度],ROW()-9)))</f>
        <v/>
      </c>
      <c r="H57" s="10" t="str">
        <f>IF(ROW()-9&gt;ROWS(TimingTasks[WBS]),"",IF(AND(INDEX(TimingTasks[前置任务 WBS],ROW()-9)="",NOT(ISNUMBER(INDEX(TimingTasks[前置任务 WBS],ROW()-9)))),"",INDEX(TimingTasks[前置任务 WBS],ROW()-9)))</f>
        <v/>
      </c>
      <c r="I57" s="10" t="str">
        <f>IF(ROW()-9&gt;ROWS(TimingTasks[WBS]),"",IF(AND(INDEX(TimingTasks[叶子类型],ROW()-9)="",NOT(ISNUMBER(INDEX(TimingTasks[叶子类型],ROW()-9)))),"普通任务",INDEX(TimingTasks[叶子类型],ROW()-9)))</f>
        <v/>
      </c>
      <c r="J57" s="10" t="str">
        <f>IF(ROW()-9&gt;ROWS(TimingTasks[WBS]),"",IF(AND(INDEX(TimingTasks[操作],ROW()-9)="",NOT(ISNUMBER(INDEX(TimingTasks[操作],ROW()-9)))),"保留",INDEX(TimingTasks[操作],ROW()-9)))</f>
        <v/>
      </c>
      <c r="K57" s="1" t="str">
        <f>IF(P57=0,"",IF(OR(AND(L57=1,D57="",E57="",I57&lt;&gt;"里程碑"),COUNTIFS($S$10:$S$109,"&gt;"&amp;S57,$S$10:$S$109,"&lt;"&amp;(S57+IF(L57=1,1000000,IF(L57=2,1000,1))),$P$10:$P$109,1)&gt;0),"汇总",I57))</f>
        <v/>
      </c>
      <c r="L57" s="1" t="str">
        <f>IF(A57="","",LEN(("W"&amp;A57))-LEN(SUBSTITUTE(("W"&amp;A57),".",""))+1)</f>
        <v/>
      </c>
      <c r="M57" s="3" t="str">
        <f>IF(P57=0,"",IF(K57="汇总",IF(COUNTIFS($S$10:$S$109,"&gt;"&amp;S57,$S$10:$S$109,"&lt;"&amp;(S57+IF(L57=1,1000000,IF(L57=2,1000,1))),$AA$10:$AA$109,1)=0,"",_xlfn.MINIFS($Y$10:$Y$109,$S$10:$S$109,"&gt;"&amp;S57,$S$10:$S$109,"&lt;"&amp;(S57+IF(L57=1,1000000,IF(L57=2,1000,1))),$AA$10:$AA$109,1)),IF(AA57=1,D57,"")))</f>
        <v/>
      </c>
      <c r="N57" s="3" t="str">
        <f>IF(P57=0,"",IF(K57="汇总",IF(COUNTIFS($S$10:$S$109,"&gt;"&amp;S57,$S$10:$S$109,"&lt;"&amp;(S57+IF(L57=1,1000000,IF(L57=2,1000,1))),$AA$10:$AA$109,1)=0,"",_xlfn.MAXIFS($Z$10:$Z$109,$S$10:$S$109,"&gt;"&amp;S57,$S$10:$S$109,"&lt;"&amp;(S57+IF(L57=1,1000000,IF(L57=2,1000,1))),$AA$10:$AA$109,1)),IF(AA57=1,E57,"")))</f>
        <v/>
      </c>
      <c r="O57" s="7" t="str">
        <f>IF(K57="汇总",ROUND((IF(P57=0,"",IF(K57="汇总",IF(SUMIFS($Q$10:$Q$109,$S$10:$S$109,"&gt;"&amp;S57,$S$10:$S$109,"&lt;"&amp;(S57+IF(L57=1,1000000,IF(L57=2,1000,1))))=0,0,SUMIFS($R$10:$R$109,$S$10:$S$109,"&gt;"&amp;S57,$S$10:$S$109,"&lt;"&amp;(S57+IF(L57=1,1000000,IF(L57=2,1000,1))))/SUMIFS($Q$10:$Q$109,$S$10:$S$109,"&gt;"&amp;S57,$S$10:$S$109,"&lt;"&amp;(S57+IF(L57=1,1000000,IF(L57=2,1000,1))))),G57)))*100,0)/100,IF(P57=0,"",IF(K57="汇总",IF(SUMIFS($Q$10:$Q$109,$S$10:$S$109,"&gt;"&amp;S57,$S$10:$S$109,"&lt;"&amp;(S57+IF(L57=1,1000000,IF(L57=2,1000,1))))=0,0,SUMIFS($R$10:$R$109,$S$10:$S$109,"&gt;"&amp;S57,$S$10:$S$109,"&lt;"&amp;(S57+IF(L57=1,1000000,IF(L57=2,1000,1))))/SUMIFS($Q$10:$Q$109,$S$10:$S$109,"&gt;"&amp;S57,$S$10:$S$109,"&lt;"&amp;(S57+IF(L57=1,1000000,IF(L57=2,1000,1))))),G57)))</f>
        <v/>
      </c>
      <c r="P57" s="1">
        <f>IF(OR(A57="",B57="",J57="删除",AE57=0,COUNTIFS($AG$10:$AG$109,"W"&amp;A57)&lt;&gt;1,AND(L57&gt;1,COUNTIFS($AG$10:$AG$109,"W"&amp;V57,$B$10:$B$109,"&lt;&gt;")&lt;&gt;1),AND(L57=3,COUNTIFS($AG$10:$AG$109,"W"&amp;W57,$B$10:$B$109,"&lt;&gt;")&lt;&gt;1),COUNTIFS($AG$10:$AG$109,"W"&amp;V57,$J$10:$J$109,"删除")&gt;0,COUNTIFS($AG$10:$AG$109,"W"&amp;W57,$J$10:$J$109,"删除")&gt;0),0,1)</f>
        <v>0</v>
      </c>
      <c r="Q57" s="1">
        <f>IF(AA57=0,0,IF(I57="里程碑",1,F57))</f>
        <v>0</v>
      </c>
      <c r="R57" s="1">
        <f>IF(AA57=0,0,Q57*G57)</f>
        <v>0</v>
      </c>
      <c r="S57" s="1">
        <f>IF(P57=0,1000000000000000,AB57*1000000+AC57*1000+AD57)</f>
        <v>1000000000000000</v>
      </c>
      <c r="T57" s="1">
        <f>IF(P57=0,0,IF(Timing浏览!$D$5="全部",1,IF(Timing浏览!$D$5="仅里程碑",IF(K57="里程碑",1,0),IF(L57&lt;=VALUE(LEFT(Timing浏览!$D$5,1)),1,0))))</f>
        <v>0</v>
      </c>
      <c r="U57" s="1" t="str">
        <f>IF(T57=0,"",COUNTIFS($S$10:$S$109,"&lt;"&amp;S57,$T$10:$T$109,1)+1)</f>
        <v/>
      </c>
      <c r="V57" s="1" t="str">
        <f>IF(OR(A57="",L57=1),"",IF(L57=2,TEXT(AB57,"0"),TEXT(AB57,"0")&amp;"."&amp;TEXT(AC57,"0")))</f>
        <v/>
      </c>
      <c r="W57" s="1" t="str">
        <f>IF(OR(A57="",L57=1),"",TEXT(AB57,"0"))</f>
        <v/>
      </c>
      <c r="X57" s="1" t="str">
        <f>IF(AND(A57="",B57=""),"",IF(OR(A57="",B57=""),"请补编号和名称",IF(AE57=0,"编号需为1至3级正整数",IF(COUNTIFS($AG$10:$AG$109,"W"&amp;A57)&lt;&gt;1,"编号重复",IF(AND(L57&gt;1,COUNTIFS($AG$10:$AG$109,"W"&amp;V57,$B$10:$B$109,"&lt;&gt;")&lt;&gt;1),"缺少父任务",IF(J57="删除","待删除",IF(P57=0,"父任务已删除或无效",IF(K57="汇总",IF(COUNTIFS($S$10:$S$109,"&gt;"&amp;S57,$S$10:$S$109,"&lt;"&amp;(S57+IF(L57=1,1000000,IF(L57=2,1000,1))),$P$10:$P$109,1)=0,"等待子任务","由下级汇总"),IF(OR(D57="",E57=""),"待补日期",IF(E57&lt;D57,"结束早于开始",IF(AND(I57="里程碑",D57&lt;&gt;E57),"里程碑须同日","")))))))))))</f>
        <v/>
      </c>
      <c r="Y57" s="1">
        <f>IF(AA57=1,D57,100000000)</f>
        <v>100000000</v>
      </c>
      <c r="Z57" s="1">
        <f>IF(AA57=1,E57,0)</f>
        <v>0</v>
      </c>
      <c r="AA57" s="1">
        <f>IF(AND(P57=1,K57&lt;&gt;"汇总",ISNUMBER(F57),OR(I57&lt;&gt;"里程碑",D57=E57)),1,0)</f>
        <v>0</v>
      </c>
      <c r="AB57" s="1">
        <f>IF(A57="",0,IFERROR(VALUE(MID(("W"&amp;A57),2,FIND(".",("W"&amp;A57)&amp;".")-2)),-1))</f>
        <v>0</v>
      </c>
      <c r="AC57" s="1">
        <f>IF(OR(A57="",L57&lt;2),0,IFERROR(VALUE(MID(("W"&amp;A57),FIND(".",("W"&amp;A57))+1,FIND(".",("W"&amp;A57)&amp;".",FIND(".",("W"&amp;A57))+1)-FIND(".",("W"&amp;A57))-1)),-1))</f>
        <v>0</v>
      </c>
      <c r="AD57" s="1">
        <f>IF(OR(A57="",L57&lt;3),0,IFERROR(VALUE(RIGHT(("W"&amp;A57),LEN(("W"&amp;A57))-FIND(".",("W"&amp;A57),FIND(".",("W"&amp;A57))+1))),-1))</f>
        <v>0</v>
      </c>
      <c r="AE57" s="1">
        <f>IF(A57="",0,IF(AND(L57&lt;=3,AB57&gt;=1,AB57&lt;=999,AC57&gt;=0,AC57&lt;=999,AD57&gt;=0,AD57&lt;=999,A57=TEXT(AB57,"0")&amp;IF(L57&gt;1,"."&amp;TEXT(AC57,"0"),"")&amp;IF(L57&gt;2,"."&amp;TEXT(AD57,"0"),""),OR(L57&lt;2,AC57&gt;=1),OR(L57&lt;3,AD57&gt;=1)),1,0))</f>
        <v>0</v>
      </c>
      <c r="AF57" s="1"/>
      <c r="AG57" t="str">
        <f>"W"&amp;A57</f>
        <v>W</v>
      </c>
    </row>
    <row r="58" spans="1:33" ht="16.5">
      <c r="A58" s="12" t="str">
        <f>IF(ROW()-9&gt;ROWS(TimingTasks[WBS]),"",IF(AND(INDEX(TimingTasks[WBS],ROW()-9)="",NOT(ISNUMBER(INDEX(TimingTasks[WBS],ROW()-9)))),"",INDEX(TimingTasks[WBS],ROW()-9)))</f>
        <v/>
      </c>
      <c r="B58" s="10" t="str">
        <f>IF(ROW()-9&gt;ROWS(TimingTasks[WBS]),"",IF(AND(INDEX(TimingTasks[任务名称],ROW()-9)="",NOT(ISNUMBER(INDEX(TimingTasks[任务名称],ROW()-9)))),"",INDEX(TimingTasks[任务名称],ROW()-9)))</f>
        <v/>
      </c>
      <c r="C58" s="10" t="str">
        <f>IF(ROW()-9&gt;ROWS(TimingTasks[WBS]),"",IF(AND(INDEX(TimingTasks[负责人],ROW()-9)="",NOT(ISNUMBER(INDEX(TimingTasks[负责人],ROW()-9)))),"",INDEX(TimingTasks[负责人],ROW()-9)))</f>
        <v/>
      </c>
      <c r="D58" s="11" t="str">
        <f>IF(ROW()-9&gt;ROWS(TimingTasks[WBS]),"",IF(AND(INDEX(TimingTasks[输入开始],ROW()-9)="",NOT(ISNUMBER(INDEX(TimingTasks[输入开始],ROW()-9)))),"",INDEX(TimingTasks[输入开始],ROW()-9)))</f>
        <v/>
      </c>
      <c r="E58" s="11" t="str">
        <f>IF(ROW()-9&gt;ROWS(TimingTasks[WBS]),"",IF(AND(INDEX(TimingTasks[输入结束],ROW()-9)="",NOT(ISNUMBER(INDEX(TimingTasks[输入结束],ROW()-9)))),"",INDEX(TimingTasks[输入结束],ROW()-9)))</f>
        <v/>
      </c>
      <c r="F58" s="1" t="str">
        <f>IF(OR(P58=0,K58="汇总",D58="",E58="",E58&lt;D58),"",IF(I58="里程碑",0,NETWORKDAYS(D58,E58)))</f>
        <v/>
      </c>
      <c r="G58" s="15" t="str">
        <f>IF(ROW()-9&gt;ROWS(TimingTasks[WBS]),"",IF(AND(INDEX(TimingTasks[输入完成度],ROW()-9)="",NOT(ISNUMBER(INDEX(TimingTasks[输入完成度],ROW()-9)))),0,INDEX(TimingTasks[输入完成度],ROW()-9)))</f>
        <v/>
      </c>
      <c r="H58" s="10" t="str">
        <f>IF(ROW()-9&gt;ROWS(TimingTasks[WBS]),"",IF(AND(INDEX(TimingTasks[前置任务 WBS],ROW()-9)="",NOT(ISNUMBER(INDEX(TimingTasks[前置任务 WBS],ROW()-9)))),"",INDEX(TimingTasks[前置任务 WBS],ROW()-9)))</f>
        <v/>
      </c>
      <c r="I58" s="10" t="str">
        <f>IF(ROW()-9&gt;ROWS(TimingTasks[WBS]),"",IF(AND(INDEX(TimingTasks[叶子类型],ROW()-9)="",NOT(ISNUMBER(INDEX(TimingTasks[叶子类型],ROW()-9)))),"普通任务",INDEX(TimingTasks[叶子类型],ROW()-9)))</f>
        <v/>
      </c>
      <c r="J58" s="10" t="str">
        <f>IF(ROW()-9&gt;ROWS(TimingTasks[WBS]),"",IF(AND(INDEX(TimingTasks[操作],ROW()-9)="",NOT(ISNUMBER(INDEX(TimingTasks[操作],ROW()-9)))),"保留",INDEX(TimingTasks[操作],ROW()-9)))</f>
        <v/>
      </c>
      <c r="K58" s="1" t="str">
        <f>IF(P58=0,"",IF(OR(AND(L58=1,D58="",E58="",I58&lt;&gt;"里程碑"),COUNTIFS($S$10:$S$109,"&gt;"&amp;S58,$S$10:$S$109,"&lt;"&amp;(S58+IF(L58=1,1000000,IF(L58=2,1000,1))),$P$10:$P$109,1)&gt;0),"汇总",I58))</f>
        <v/>
      </c>
      <c r="L58" s="1" t="str">
        <f>IF(A58="","",LEN(("W"&amp;A58))-LEN(SUBSTITUTE(("W"&amp;A58),".",""))+1)</f>
        <v/>
      </c>
      <c r="M58" s="3" t="str">
        <f>IF(P58=0,"",IF(K58="汇总",IF(COUNTIFS($S$10:$S$109,"&gt;"&amp;S58,$S$10:$S$109,"&lt;"&amp;(S58+IF(L58=1,1000000,IF(L58=2,1000,1))),$AA$10:$AA$109,1)=0,"",_xlfn.MINIFS($Y$10:$Y$109,$S$10:$S$109,"&gt;"&amp;S58,$S$10:$S$109,"&lt;"&amp;(S58+IF(L58=1,1000000,IF(L58=2,1000,1))),$AA$10:$AA$109,1)),IF(AA58=1,D58,"")))</f>
        <v/>
      </c>
      <c r="N58" s="3" t="str">
        <f>IF(P58=0,"",IF(K58="汇总",IF(COUNTIFS($S$10:$S$109,"&gt;"&amp;S58,$S$10:$S$109,"&lt;"&amp;(S58+IF(L58=1,1000000,IF(L58=2,1000,1))),$AA$10:$AA$109,1)=0,"",_xlfn.MAXIFS($Z$10:$Z$109,$S$10:$S$109,"&gt;"&amp;S58,$S$10:$S$109,"&lt;"&amp;(S58+IF(L58=1,1000000,IF(L58=2,1000,1))),$AA$10:$AA$109,1)),IF(AA58=1,E58,"")))</f>
        <v/>
      </c>
      <c r="O58" s="7" t="str">
        <f>IF(K58="汇总",ROUND((IF(P58=0,"",IF(K58="汇总",IF(SUMIFS($Q$10:$Q$109,$S$10:$S$109,"&gt;"&amp;S58,$S$10:$S$109,"&lt;"&amp;(S58+IF(L58=1,1000000,IF(L58=2,1000,1))))=0,0,SUMIFS($R$10:$R$109,$S$10:$S$109,"&gt;"&amp;S58,$S$10:$S$109,"&lt;"&amp;(S58+IF(L58=1,1000000,IF(L58=2,1000,1))))/SUMIFS($Q$10:$Q$109,$S$10:$S$109,"&gt;"&amp;S58,$S$10:$S$109,"&lt;"&amp;(S58+IF(L58=1,1000000,IF(L58=2,1000,1))))),G58)))*100,0)/100,IF(P58=0,"",IF(K58="汇总",IF(SUMIFS($Q$10:$Q$109,$S$10:$S$109,"&gt;"&amp;S58,$S$10:$S$109,"&lt;"&amp;(S58+IF(L58=1,1000000,IF(L58=2,1000,1))))=0,0,SUMIFS($R$10:$R$109,$S$10:$S$109,"&gt;"&amp;S58,$S$10:$S$109,"&lt;"&amp;(S58+IF(L58=1,1000000,IF(L58=2,1000,1))))/SUMIFS($Q$10:$Q$109,$S$10:$S$109,"&gt;"&amp;S58,$S$10:$S$109,"&lt;"&amp;(S58+IF(L58=1,1000000,IF(L58=2,1000,1))))),G58)))</f>
        <v/>
      </c>
      <c r="P58" s="1">
        <f>IF(OR(A58="",B58="",J58="删除",AE58=0,COUNTIFS($AG$10:$AG$109,"W"&amp;A58)&lt;&gt;1,AND(L58&gt;1,COUNTIFS($AG$10:$AG$109,"W"&amp;V58,$B$10:$B$109,"&lt;&gt;")&lt;&gt;1),AND(L58=3,COUNTIFS($AG$10:$AG$109,"W"&amp;W58,$B$10:$B$109,"&lt;&gt;")&lt;&gt;1),COUNTIFS($AG$10:$AG$109,"W"&amp;V58,$J$10:$J$109,"删除")&gt;0,COUNTIFS($AG$10:$AG$109,"W"&amp;W58,$J$10:$J$109,"删除")&gt;0),0,1)</f>
        <v>0</v>
      </c>
      <c r="Q58" s="1">
        <f>IF(AA58=0,0,IF(I58="里程碑",1,F58))</f>
        <v>0</v>
      </c>
      <c r="R58" s="1">
        <f>IF(AA58=0,0,Q58*G58)</f>
        <v>0</v>
      </c>
      <c r="S58" s="1">
        <f>IF(P58=0,1000000000000000,AB58*1000000+AC58*1000+AD58)</f>
        <v>1000000000000000</v>
      </c>
      <c r="T58" s="1">
        <f>IF(P58=0,0,IF(Timing浏览!$D$5="全部",1,IF(Timing浏览!$D$5="仅里程碑",IF(K58="里程碑",1,0),IF(L58&lt;=VALUE(LEFT(Timing浏览!$D$5,1)),1,0))))</f>
        <v>0</v>
      </c>
      <c r="U58" s="1" t="str">
        <f>IF(T58=0,"",COUNTIFS($S$10:$S$109,"&lt;"&amp;S58,$T$10:$T$109,1)+1)</f>
        <v/>
      </c>
      <c r="V58" s="1" t="str">
        <f>IF(OR(A58="",L58=1),"",IF(L58=2,TEXT(AB58,"0"),TEXT(AB58,"0")&amp;"."&amp;TEXT(AC58,"0")))</f>
        <v/>
      </c>
      <c r="W58" s="1" t="str">
        <f>IF(OR(A58="",L58=1),"",TEXT(AB58,"0"))</f>
        <v/>
      </c>
      <c r="X58" s="1" t="str">
        <f>IF(AND(A58="",B58=""),"",IF(OR(A58="",B58=""),"请补编号和名称",IF(AE58=0,"编号需为1至3级正整数",IF(COUNTIFS($AG$10:$AG$109,"W"&amp;A58)&lt;&gt;1,"编号重复",IF(AND(L58&gt;1,COUNTIFS($AG$10:$AG$109,"W"&amp;V58,$B$10:$B$109,"&lt;&gt;")&lt;&gt;1),"缺少父任务",IF(J58="删除","待删除",IF(P58=0,"父任务已删除或无效",IF(K58="汇总",IF(COUNTIFS($S$10:$S$109,"&gt;"&amp;S58,$S$10:$S$109,"&lt;"&amp;(S58+IF(L58=1,1000000,IF(L58=2,1000,1))),$P$10:$P$109,1)=0,"等待子任务","由下级汇总"),IF(OR(D58="",E58=""),"待补日期",IF(E58&lt;D58,"结束早于开始",IF(AND(I58="里程碑",D58&lt;&gt;E58),"里程碑须同日","")))))))))))</f>
        <v/>
      </c>
      <c r="Y58" s="1">
        <f>IF(AA58=1,D58,100000000)</f>
        <v>100000000</v>
      </c>
      <c r="Z58" s="1">
        <f>IF(AA58=1,E58,0)</f>
        <v>0</v>
      </c>
      <c r="AA58" s="1">
        <f>IF(AND(P58=1,K58&lt;&gt;"汇总",ISNUMBER(F58),OR(I58&lt;&gt;"里程碑",D58=E58)),1,0)</f>
        <v>0</v>
      </c>
      <c r="AB58" s="1">
        <f>IF(A58="",0,IFERROR(VALUE(MID(("W"&amp;A58),2,FIND(".",("W"&amp;A58)&amp;".")-2)),-1))</f>
        <v>0</v>
      </c>
      <c r="AC58" s="1">
        <f>IF(OR(A58="",L58&lt;2),0,IFERROR(VALUE(MID(("W"&amp;A58),FIND(".",("W"&amp;A58))+1,FIND(".",("W"&amp;A58)&amp;".",FIND(".",("W"&amp;A58))+1)-FIND(".",("W"&amp;A58))-1)),-1))</f>
        <v>0</v>
      </c>
      <c r="AD58" s="1">
        <f>IF(OR(A58="",L58&lt;3),0,IFERROR(VALUE(RIGHT(("W"&amp;A58),LEN(("W"&amp;A58))-FIND(".",("W"&amp;A58),FIND(".",("W"&amp;A58))+1))),-1))</f>
        <v>0</v>
      </c>
      <c r="AE58" s="1">
        <f>IF(A58="",0,IF(AND(L58&lt;=3,AB58&gt;=1,AB58&lt;=999,AC58&gt;=0,AC58&lt;=999,AD58&gt;=0,AD58&lt;=999,A58=TEXT(AB58,"0")&amp;IF(L58&gt;1,"."&amp;TEXT(AC58,"0"),"")&amp;IF(L58&gt;2,"."&amp;TEXT(AD58,"0"),""),OR(L58&lt;2,AC58&gt;=1),OR(L58&lt;3,AD58&gt;=1)),1,0))</f>
        <v>0</v>
      </c>
      <c r="AF58" s="1"/>
      <c r="AG58" t="str">
        <f>"W"&amp;A58</f>
        <v>W</v>
      </c>
    </row>
    <row r="59" spans="1:33" ht="16.5">
      <c r="A59" s="12" t="str">
        <f>IF(ROW()-9&gt;ROWS(TimingTasks[WBS]),"",IF(AND(INDEX(TimingTasks[WBS],ROW()-9)="",NOT(ISNUMBER(INDEX(TimingTasks[WBS],ROW()-9)))),"",INDEX(TimingTasks[WBS],ROW()-9)))</f>
        <v/>
      </c>
      <c r="B59" s="10" t="str">
        <f>IF(ROW()-9&gt;ROWS(TimingTasks[WBS]),"",IF(AND(INDEX(TimingTasks[任务名称],ROW()-9)="",NOT(ISNUMBER(INDEX(TimingTasks[任务名称],ROW()-9)))),"",INDEX(TimingTasks[任务名称],ROW()-9)))</f>
        <v/>
      </c>
      <c r="C59" s="10" t="str">
        <f>IF(ROW()-9&gt;ROWS(TimingTasks[WBS]),"",IF(AND(INDEX(TimingTasks[负责人],ROW()-9)="",NOT(ISNUMBER(INDEX(TimingTasks[负责人],ROW()-9)))),"",INDEX(TimingTasks[负责人],ROW()-9)))</f>
        <v/>
      </c>
      <c r="D59" s="11" t="str">
        <f>IF(ROW()-9&gt;ROWS(TimingTasks[WBS]),"",IF(AND(INDEX(TimingTasks[输入开始],ROW()-9)="",NOT(ISNUMBER(INDEX(TimingTasks[输入开始],ROW()-9)))),"",INDEX(TimingTasks[输入开始],ROW()-9)))</f>
        <v/>
      </c>
      <c r="E59" s="11" t="str">
        <f>IF(ROW()-9&gt;ROWS(TimingTasks[WBS]),"",IF(AND(INDEX(TimingTasks[输入结束],ROW()-9)="",NOT(ISNUMBER(INDEX(TimingTasks[输入结束],ROW()-9)))),"",INDEX(TimingTasks[输入结束],ROW()-9)))</f>
        <v/>
      </c>
      <c r="F59" s="1" t="str">
        <f>IF(OR(P59=0,K59="汇总",D59="",E59="",E59&lt;D59),"",IF(I59="里程碑",0,NETWORKDAYS(D59,E59)))</f>
        <v/>
      </c>
      <c r="G59" s="15" t="str">
        <f>IF(ROW()-9&gt;ROWS(TimingTasks[WBS]),"",IF(AND(INDEX(TimingTasks[输入完成度],ROW()-9)="",NOT(ISNUMBER(INDEX(TimingTasks[输入完成度],ROW()-9)))),0,INDEX(TimingTasks[输入完成度],ROW()-9)))</f>
        <v/>
      </c>
      <c r="H59" s="10" t="str">
        <f>IF(ROW()-9&gt;ROWS(TimingTasks[WBS]),"",IF(AND(INDEX(TimingTasks[前置任务 WBS],ROW()-9)="",NOT(ISNUMBER(INDEX(TimingTasks[前置任务 WBS],ROW()-9)))),"",INDEX(TimingTasks[前置任务 WBS],ROW()-9)))</f>
        <v/>
      </c>
      <c r="I59" s="10" t="str">
        <f>IF(ROW()-9&gt;ROWS(TimingTasks[WBS]),"",IF(AND(INDEX(TimingTasks[叶子类型],ROW()-9)="",NOT(ISNUMBER(INDEX(TimingTasks[叶子类型],ROW()-9)))),"普通任务",INDEX(TimingTasks[叶子类型],ROW()-9)))</f>
        <v/>
      </c>
      <c r="J59" s="10" t="str">
        <f>IF(ROW()-9&gt;ROWS(TimingTasks[WBS]),"",IF(AND(INDEX(TimingTasks[操作],ROW()-9)="",NOT(ISNUMBER(INDEX(TimingTasks[操作],ROW()-9)))),"保留",INDEX(TimingTasks[操作],ROW()-9)))</f>
        <v/>
      </c>
      <c r="K59" s="1" t="str">
        <f>IF(P59=0,"",IF(OR(AND(L59=1,D59="",E59="",I59&lt;&gt;"里程碑"),COUNTIFS($S$10:$S$109,"&gt;"&amp;S59,$S$10:$S$109,"&lt;"&amp;(S59+IF(L59=1,1000000,IF(L59=2,1000,1))),$P$10:$P$109,1)&gt;0),"汇总",I59))</f>
        <v/>
      </c>
      <c r="L59" s="1" t="str">
        <f>IF(A59="","",LEN(("W"&amp;A59))-LEN(SUBSTITUTE(("W"&amp;A59),".",""))+1)</f>
        <v/>
      </c>
      <c r="M59" s="3" t="str">
        <f>IF(P59=0,"",IF(K59="汇总",IF(COUNTIFS($S$10:$S$109,"&gt;"&amp;S59,$S$10:$S$109,"&lt;"&amp;(S59+IF(L59=1,1000000,IF(L59=2,1000,1))),$AA$10:$AA$109,1)=0,"",_xlfn.MINIFS($Y$10:$Y$109,$S$10:$S$109,"&gt;"&amp;S59,$S$10:$S$109,"&lt;"&amp;(S59+IF(L59=1,1000000,IF(L59=2,1000,1))),$AA$10:$AA$109,1)),IF(AA59=1,D59,"")))</f>
        <v/>
      </c>
      <c r="N59" s="3" t="str">
        <f>IF(P59=0,"",IF(K59="汇总",IF(COUNTIFS($S$10:$S$109,"&gt;"&amp;S59,$S$10:$S$109,"&lt;"&amp;(S59+IF(L59=1,1000000,IF(L59=2,1000,1))),$AA$10:$AA$109,1)=0,"",_xlfn.MAXIFS($Z$10:$Z$109,$S$10:$S$109,"&gt;"&amp;S59,$S$10:$S$109,"&lt;"&amp;(S59+IF(L59=1,1000000,IF(L59=2,1000,1))),$AA$10:$AA$109,1)),IF(AA59=1,E59,"")))</f>
        <v/>
      </c>
      <c r="O59" s="7" t="str">
        <f>IF(K59="汇总",ROUND((IF(P59=0,"",IF(K59="汇总",IF(SUMIFS($Q$10:$Q$109,$S$10:$S$109,"&gt;"&amp;S59,$S$10:$S$109,"&lt;"&amp;(S59+IF(L59=1,1000000,IF(L59=2,1000,1))))=0,0,SUMIFS($R$10:$R$109,$S$10:$S$109,"&gt;"&amp;S59,$S$10:$S$109,"&lt;"&amp;(S59+IF(L59=1,1000000,IF(L59=2,1000,1))))/SUMIFS($Q$10:$Q$109,$S$10:$S$109,"&gt;"&amp;S59,$S$10:$S$109,"&lt;"&amp;(S59+IF(L59=1,1000000,IF(L59=2,1000,1))))),G59)))*100,0)/100,IF(P59=0,"",IF(K59="汇总",IF(SUMIFS($Q$10:$Q$109,$S$10:$S$109,"&gt;"&amp;S59,$S$10:$S$109,"&lt;"&amp;(S59+IF(L59=1,1000000,IF(L59=2,1000,1))))=0,0,SUMIFS($R$10:$R$109,$S$10:$S$109,"&gt;"&amp;S59,$S$10:$S$109,"&lt;"&amp;(S59+IF(L59=1,1000000,IF(L59=2,1000,1))))/SUMIFS($Q$10:$Q$109,$S$10:$S$109,"&gt;"&amp;S59,$S$10:$S$109,"&lt;"&amp;(S59+IF(L59=1,1000000,IF(L59=2,1000,1))))),G59)))</f>
        <v/>
      </c>
      <c r="P59" s="1">
        <f>IF(OR(A59="",B59="",J59="删除",AE59=0,COUNTIFS($AG$10:$AG$109,"W"&amp;A59)&lt;&gt;1,AND(L59&gt;1,COUNTIFS($AG$10:$AG$109,"W"&amp;V59,$B$10:$B$109,"&lt;&gt;")&lt;&gt;1),AND(L59=3,COUNTIFS($AG$10:$AG$109,"W"&amp;W59,$B$10:$B$109,"&lt;&gt;")&lt;&gt;1),COUNTIFS($AG$10:$AG$109,"W"&amp;V59,$J$10:$J$109,"删除")&gt;0,COUNTIFS($AG$10:$AG$109,"W"&amp;W59,$J$10:$J$109,"删除")&gt;0),0,1)</f>
        <v>0</v>
      </c>
      <c r="Q59" s="1">
        <f>IF(AA59=0,0,IF(I59="里程碑",1,F59))</f>
        <v>0</v>
      </c>
      <c r="R59" s="1">
        <f>IF(AA59=0,0,Q59*G59)</f>
        <v>0</v>
      </c>
      <c r="S59" s="1">
        <f>IF(P59=0,1000000000000000,AB59*1000000+AC59*1000+AD59)</f>
        <v>1000000000000000</v>
      </c>
      <c r="T59" s="1">
        <f>IF(P59=0,0,IF(Timing浏览!$D$5="全部",1,IF(Timing浏览!$D$5="仅里程碑",IF(K59="里程碑",1,0),IF(L59&lt;=VALUE(LEFT(Timing浏览!$D$5,1)),1,0))))</f>
        <v>0</v>
      </c>
      <c r="U59" s="1" t="str">
        <f>IF(T59=0,"",COUNTIFS($S$10:$S$109,"&lt;"&amp;S59,$T$10:$T$109,1)+1)</f>
        <v/>
      </c>
      <c r="V59" s="1" t="str">
        <f>IF(OR(A59="",L59=1),"",IF(L59=2,TEXT(AB59,"0"),TEXT(AB59,"0")&amp;"."&amp;TEXT(AC59,"0")))</f>
        <v/>
      </c>
      <c r="W59" s="1" t="str">
        <f>IF(OR(A59="",L59=1),"",TEXT(AB59,"0"))</f>
        <v/>
      </c>
      <c r="X59" s="1" t="str">
        <f>IF(AND(A59="",B59=""),"",IF(OR(A59="",B59=""),"请补编号和名称",IF(AE59=0,"编号需为1至3级正整数",IF(COUNTIFS($AG$10:$AG$109,"W"&amp;A59)&lt;&gt;1,"编号重复",IF(AND(L59&gt;1,COUNTIFS($AG$10:$AG$109,"W"&amp;V59,$B$10:$B$109,"&lt;&gt;")&lt;&gt;1),"缺少父任务",IF(J59="删除","待删除",IF(P59=0,"父任务已删除或无效",IF(K59="汇总",IF(COUNTIFS($S$10:$S$109,"&gt;"&amp;S59,$S$10:$S$109,"&lt;"&amp;(S59+IF(L59=1,1000000,IF(L59=2,1000,1))),$P$10:$P$109,1)=0,"等待子任务","由下级汇总"),IF(OR(D59="",E59=""),"待补日期",IF(E59&lt;D59,"结束早于开始",IF(AND(I59="里程碑",D59&lt;&gt;E59),"里程碑须同日","")))))))))))</f>
        <v/>
      </c>
      <c r="Y59" s="1">
        <f>IF(AA59=1,D59,100000000)</f>
        <v>100000000</v>
      </c>
      <c r="Z59" s="1">
        <f>IF(AA59=1,E59,0)</f>
        <v>0</v>
      </c>
      <c r="AA59" s="1">
        <f>IF(AND(P59=1,K59&lt;&gt;"汇总",ISNUMBER(F59),OR(I59&lt;&gt;"里程碑",D59=E59)),1,0)</f>
        <v>0</v>
      </c>
      <c r="AB59" s="1">
        <f>IF(A59="",0,IFERROR(VALUE(MID(("W"&amp;A59),2,FIND(".",("W"&amp;A59)&amp;".")-2)),-1))</f>
        <v>0</v>
      </c>
      <c r="AC59" s="1">
        <f>IF(OR(A59="",L59&lt;2),0,IFERROR(VALUE(MID(("W"&amp;A59),FIND(".",("W"&amp;A59))+1,FIND(".",("W"&amp;A59)&amp;".",FIND(".",("W"&amp;A59))+1)-FIND(".",("W"&amp;A59))-1)),-1))</f>
        <v>0</v>
      </c>
      <c r="AD59" s="1">
        <f>IF(OR(A59="",L59&lt;3),0,IFERROR(VALUE(RIGHT(("W"&amp;A59),LEN(("W"&amp;A59))-FIND(".",("W"&amp;A59),FIND(".",("W"&amp;A59))+1))),-1))</f>
        <v>0</v>
      </c>
      <c r="AE59" s="1">
        <f>IF(A59="",0,IF(AND(L59&lt;=3,AB59&gt;=1,AB59&lt;=999,AC59&gt;=0,AC59&lt;=999,AD59&gt;=0,AD59&lt;=999,A59=TEXT(AB59,"0")&amp;IF(L59&gt;1,"."&amp;TEXT(AC59,"0"),"")&amp;IF(L59&gt;2,"."&amp;TEXT(AD59,"0"),""),OR(L59&lt;2,AC59&gt;=1),OR(L59&lt;3,AD59&gt;=1)),1,0))</f>
        <v>0</v>
      </c>
      <c r="AF59" s="1"/>
      <c r="AG59" t="str">
        <f>"W"&amp;A59</f>
        <v>W</v>
      </c>
    </row>
    <row r="60" spans="1:33" ht="16.5">
      <c r="A60" s="12" t="str">
        <f>IF(ROW()-9&gt;ROWS(TimingTasks[WBS]),"",IF(AND(INDEX(TimingTasks[WBS],ROW()-9)="",NOT(ISNUMBER(INDEX(TimingTasks[WBS],ROW()-9)))),"",INDEX(TimingTasks[WBS],ROW()-9)))</f>
        <v/>
      </c>
      <c r="B60" s="10" t="str">
        <f>IF(ROW()-9&gt;ROWS(TimingTasks[WBS]),"",IF(AND(INDEX(TimingTasks[任务名称],ROW()-9)="",NOT(ISNUMBER(INDEX(TimingTasks[任务名称],ROW()-9)))),"",INDEX(TimingTasks[任务名称],ROW()-9)))</f>
        <v/>
      </c>
      <c r="C60" s="10" t="str">
        <f>IF(ROW()-9&gt;ROWS(TimingTasks[WBS]),"",IF(AND(INDEX(TimingTasks[负责人],ROW()-9)="",NOT(ISNUMBER(INDEX(TimingTasks[负责人],ROW()-9)))),"",INDEX(TimingTasks[负责人],ROW()-9)))</f>
        <v/>
      </c>
      <c r="D60" s="11" t="str">
        <f>IF(ROW()-9&gt;ROWS(TimingTasks[WBS]),"",IF(AND(INDEX(TimingTasks[输入开始],ROW()-9)="",NOT(ISNUMBER(INDEX(TimingTasks[输入开始],ROW()-9)))),"",INDEX(TimingTasks[输入开始],ROW()-9)))</f>
        <v/>
      </c>
      <c r="E60" s="11" t="str">
        <f>IF(ROW()-9&gt;ROWS(TimingTasks[WBS]),"",IF(AND(INDEX(TimingTasks[输入结束],ROW()-9)="",NOT(ISNUMBER(INDEX(TimingTasks[输入结束],ROW()-9)))),"",INDEX(TimingTasks[输入结束],ROW()-9)))</f>
        <v/>
      </c>
      <c r="F60" s="1" t="str">
        <f>IF(OR(P60=0,K60="汇总",D60="",E60="",E60&lt;D60),"",IF(I60="里程碑",0,NETWORKDAYS(D60,E60)))</f>
        <v/>
      </c>
      <c r="G60" s="15" t="str">
        <f>IF(ROW()-9&gt;ROWS(TimingTasks[WBS]),"",IF(AND(INDEX(TimingTasks[输入完成度],ROW()-9)="",NOT(ISNUMBER(INDEX(TimingTasks[输入完成度],ROW()-9)))),0,INDEX(TimingTasks[输入完成度],ROW()-9)))</f>
        <v/>
      </c>
      <c r="H60" s="10" t="str">
        <f>IF(ROW()-9&gt;ROWS(TimingTasks[WBS]),"",IF(AND(INDEX(TimingTasks[前置任务 WBS],ROW()-9)="",NOT(ISNUMBER(INDEX(TimingTasks[前置任务 WBS],ROW()-9)))),"",INDEX(TimingTasks[前置任务 WBS],ROW()-9)))</f>
        <v/>
      </c>
      <c r="I60" s="10" t="str">
        <f>IF(ROW()-9&gt;ROWS(TimingTasks[WBS]),"",IF(AND(INDEX(TimingTasks[叶子类型],ROW()-9)="",NOT(ISNUMBER(INDEX(TimingTasks[叶子类型],ROW()-9)))),"普通任务",INDEX(TimingTasks[叶子类型],ROW()-9)))</f>
        <v/>
      </c>
      <c r="J60" s="10" t="str">
        <f>IF(ROW()-9&gt;ROWS(TimingTasks[WBS]),"",IF(AND(INDEX(TimingTasks[操作],ROW()-9)="",NOT(ISNUMBER(INDEX(TimingTasks[操作],ROW()-9)))),"保留",INDEX(TimingTasks[操作],ROW()-9)))</f>
        <v/>
      </c>
      <c r="K60" s="1" t="str">
        <f>IF(P60=0,"",IF(OR(AND(L60=1,D60="",E60="",I60&lt;&gt;"里程碑"),COUNTIFS($S$10:$S$109,"&gt;"&amp;S60,$S$10:$S$109,"&lt;"&amp;(S60+IF(L60=1,1000000,IF(L60=2,1000,1))),$P$10:$P$109,1)&gt;0),"汇总",I60))</f>
        <v/>
      </c>
      <c r="L60" s="1" t="str">
        <f>IF(A60="","",LEN(("W"&amp;A60))-LEN(SUBSTITUTE(("W"&amp;A60),".",""))+1)</f>
        <v/>
      </c>
      <c r="M60" s="3" t="str">
        <f>IF(P60=0,"",IF(K60="汇总",IF(COUNTIFS($S$10:$S$109,"&gt;"&amp;S60,$S$10:$S$109,"&lt;"&amp;(S60+IF(L60=1,1000000,IF(L60=2,1000,1))),$AA$10:$AA$109,1)=0,"",_xlfn.MINIFS($Y$10:$Y$109,$S$10:$S$109,"&gt;"&amp;S60,$S$10:$S$109,"&lt;"&amp;(S60+IF(L60=1,1000000,IF(L60=2,1000,1))),$AA$10:$AA$109,1)),IF(AA60=1,D60,"")))</f>
        <v/>
      </c>
      <c r="N60" s="3" t="str">
        <f>IF(P60=0,"",IF(K60="汇总",IF(COUNTIFS($S$10:$S$109,"&gt;"&amp;S60,$S$10:$S$109,"&lt;"&amp;(S60+IF(L60=1,1000000,IF(L60=2,1000,1))),$AA$10:$AA$109,1)=0,"",_xlfn.MAXIFS($Z$10:$Z$109,$S$10:$S$109,"&gt;"&amp;S60,$S$10:$S$109,"&lt;"&amp;(S60+IF(L60=1,1000000,IF(L60=2,1000,1))),$AA$10:$AA$109,1)),IF(AA60=1,E60,"")))</f>
        <v/>
      </c>
      <c r="O60" s="7" t="str">
        <f>IF(K60="汇总",ROUND((IF(P60=0,"",IF(K60="汇总",IF(SUMIFS($Q$10:$Q$109,$S$10:$S$109,"&gt;"&amp;S60,$S$10:$S$109,"&lt;"&amp;(S60+IF(L60=1,1000000,IF(L60=2,1000,1))))=0,0,SUMIFS($R$10:$R$109,$S$10:$S$109,"&gt;"&amp;S60,$S$10:$S$109,"&lt;"&amp;(S60+IF(L60=1,1000000,IF(L60=2,1000,1))))/SUMIFS($Q$10:$Q$109,$S$10:$S$109,"&gt;"&amp;S60,$S$10:$S$109,"&lt;"&amp;(S60+IF(L60=1,1000000,IF(L60=2,1000,1))))),G60)))*100,0)/100,IF(P60=0,"",IF(K60="汇总",IF(SUMIFS($Q$10:$Q$109,$S$10:$S$109,"&gt;"&amp;S60,$S$10:$S$109,"&lt;"&amp;(S60+IF(L60=1,1000000,IF(L60=2,1000,1))))=0,0,SUMIFS($R$10:$R$109,$S$10:$S$109,"&gt;"&amp;S60,$S$10:$S$109,"&lt;"&amp;(S60+IF(L60=1,1000000,IF(L60=2,1000,1))))/SUMIFS($Q$10:$Q$109,$S$10:$S$109,"&gt;"&amp;S60,$S$10:$S$109,"&lt;"&amp;(S60+IF(L60=1,1000000,IF(L60=2,1000,1))))),G60)))</f>
        <v/>
      </c>
      <c r="P60" s="1">
        <f>IF(OR(A60="",B60="",J60="删除",AE60=0,COUNTIFS($AG$10:$AG$109,"W"&amp;A60)&lt;&gt;1,AND(L60&gt;1,COUNTIFS($AG$10:$AG$109,"W"&amp;V60,$B$10:$B$109,"&lt;&gt;")&lt;&gt;1),AND(L60=3,COUNTIFS($AG$10:$AG$109,"W"&amp;W60,$B$10:$B$109,"&lt;&gt;")&lt;&gt;1),COUNTIFS($AG$10:$AG$109,"W"&amp;V60,$J$10:$J$109,"删除")&gt;0,COUNTIFS($AG$10:$AG$109,"W"&amp;W60,$J$10:$J$109,"删除")&gt;0),0,1)</f>
        <v>0</v>
      </c>
      <c r="Q60" s="1">
        <f>IF(AA60=0,0,IF(I60="里程碑",1,F60))</f>
        <v>0</v>
      </c>
      <c r="R60" s="1">
        <f>IF(AA60=0,0,Q60*G60)</f>
        <v>0</v>
      </c>
      <c r="S60" s="1">
        <f>IF(P60=0,1000000000000000,AB60*1000000+AC60*1000+AD60)</f>
        <v>1000000000000000</v>
      </c>
      <c r="T60" s="1">
        <f>IF(P60=0,0,IF(Timing浏览!$D$5="全部",1,IF(Timing浏览!$D$5="仅里程碑",IF(K60="里程碑",1,0),IF(L60&lt;=VALUE(LEFT(Timing浏览!$D$5,1)),1,0))))</f>
        <v>0</v>
      </c>
      <c r="U60" s="1" t="str">
        <f>IF(T60=0,"",COUNTIFS($S$10:$S$109,"&lt;"&amp;S60,$T$10:$T$109,1)+1)</f>
        <v/>
      </c>
      <c r="V60" s="1" t="str">
        <f>IF(OR(A60="",L60=1),"",IF(L60=2,TEXT(AB60,"0"),TEXT(AB60,"0")&amp;"."&amp;TEXT(AC60,"0")))</f>
        <v/>
      </c>
      <c r="W60" s="1" t="str">
        <f>IF(OR(A60="",L60=1),"",TEXT(AB60,"0"))</f>
        <v/>
      </c>
      <c r="X60" s="1" t="str">
        <f>IF(AND(A60="",B60=""),"",IF(OR(A60="",B60=""),"请补编号和名称",IF(AE60=0,"编号需为1至3级正整数",IF(COUNTIFS($AG$10:$AG$109,"W"&amp;A60)&lt;&gt;1,"编号重复",IF(AND(L60&gt;1,COUNTIFS($AG$10:$AG$109,"W"&amp;V60,$B$10:$B$109,"&lt;&gt;")&lt;&gt;1),"缺少父任务",IF(J60="删除","待删除",IF(P60=0,"父任务已删除或无效",IF(K60="汇总",IF(COUNTIFS($S$10:$S$109,"&gt;"&amp;S60,$S$10:$S$109,"&lt;"&amp;(S60+IF(L60=1,1000000,IF(L60=2,1000,1))),$P$10:$P$109,1)=0,"等待子任务","由下级汇总"),IF(OR(D60="",E60=""),"待补日期",IF(E60&lt;D60,"结束早于开始",IF(AND(I60="里程碑",D60&lt;&gt;E60),"里程碑须同日","")))))))))))</f>
        <v/>
      </c>
      <c r="Y60" s="1">
        <f>IF(AA60=1,D60,100000000)</f>
        <v>100000000</v>
      </c>
      <c r="Z60" s="1">
        <f>IF(AA60=1,E60,0)</f>
        <v>0</v>
      </c>
      <c r="AA60" s="1">
        <f>IF(AND(P60=1,K60&lt;&gt;"汇总",ISNUMBER(F60),OR(I60&lt;&gt;"里程碑",D60=E60)),1,0)</f>
        <v>0</v>
      </c>
      <c r="AB60" s="1">
        <f>IF(A60="",0,IFERROR(VALUE(MID(("W"&amp;A60),2,FIND(".",("W"&amp;A60)&amp;".")-2)),-1))</f>
        <v>0</v>
      </c>
      <c r="AC60" s="1">
        <f>IF(OR(A60="",L60&lt;2),0,IFERROR(VALUE(MID(("W"&amp;A60),FIND(".",("W"&amp;A60))+1,FIND(".",("W"&amp;A60)&amp;".",FIND(".",("W"&amp;A60))+1)-FIND(".",("W"&amp;A60))-1)),-1))</f>
        <v>0</v>
      </c>
      <c r="AD60" s="1">
        <f>IF(OR(A60="",L60&lt;3),0,IFERROR(VALUE(RIGHT(("W"&amp;A60),LEN(("W"&amp;A60))-FIND(".",("W"&amp;A60),FIND(".",("W"&amp;A60))+1))),-1))</f>
        <v>0</v>
      </c>
      <c r="AE60" s="1">
        <f>IF(A60="",0,IF(AND(L60&lt;=3,AB60&gt;=1,AB60&lt;=999,AC60&gt;=0,AC60&lt;=999,AD60&gt;=0,AD60&lt;=999,A60=TEXT(AB60,"0")&amp;IF(L60&gt;1,"."&amp;TEXT(AC60,"0"),"")&amp;IF(L60&gt;2,"."&amp;TEXT(AD60,"0"),""),OR(L60&lt;2,AC60&gt;=1),OR(L60&lt;3,AD60&gt;=1)),1,0))</f>
        <v>0</v>
      </c>
      <c r="AF60" s="1"/>
      <c r="AG60" t="str">
        <f>"W"&amp;A60</f>
        <v>W</v>
      </c>
    </row>
    <row r="61" spans="1:33" ht="16.5">
      <c r="A61" s="12" t="str">
        <f>IF(ROW()-9&gt;ROWS(TimingTasks[WBS]),"",IF(AND(INDEX(TimingTasks[WBS],ROW()-9)="",NOT(ISNUMBER(INDEX(TimingTasks[WBS],ROW()-9)))),"",INDEX(TimingTasks[WBS],ROW()-9)))</f>
        <v/>
      </c>
      <c r="B61" s="10" t="str">
        <f>IF(ROW()-9&gt;ROWS(TimingTasks[WBS]),"",IF(AND(INDEX(TimingTasks[任务名称],ROW()-9)="",NOT(ISNUMBER(INDEX(TimingTasks[任务名称],ROW()-9)))),"",INDEX(TimingTasks[任务名称],ROW()-9)))</f>
        <v/>
      </c>
      <c r="C61" s="10" t="str">
        <f>IF(ROW()-9&gt;ROWS(TimingTasks[WBS]),"",IF(AND(INDEX(TimingTasks[负责人],ROW()-9)="",NOT(ISNUMBER(INDEX(TimingTasks[负责人],ROW()-9)))),"",INDEX(TimingTasks[负责人],ROW()-9)))</f>
        <v/>
      </c>
      <c r="D61" s="11" t="str">
        <f>IF(ROW()-9&gt;ROWS(TimingTasks[WBS]),"",IF(AND(INDEX(TimingTasks[输入开始],ROW()-9)="",NOT(ISNUMBER(INDEX(TimingTasks[输入开始],ROW()-9)))),"",INDEX(TimingTasks[输入开始],ROW()-9)))</f>
        <v/>
      </c>
      <c r="E61" s="11" t="str">
        <f>IF(ROW()-9&gt;ROWS(TimingTasks[WBS]),"",IF(AND(INDEX(TimingTasks[输入结束],ROW()-9)="",NOT(ISNUMBER(INDEX(TimingTasks[输入结束],ROW()-9)))),"",INDEX(TimingTasks[输入结束],ROW()-9)))</f>
        <v/>
      </c>
      <c r="F61" s="1" t="str">
        <f>IF(OR(P61=0,K61="汇总",D61="",E61="",E61&lt;D61),"",IF(I61="里程碑",0,NETWORKDAYS(D61,E61)))</f>
        <v/>
      </c>
      <c r="G61" s="15" t="str">
        <f>IF(ROW()-9&gt;ROWS(TimingTasks[WBS]),"",IF(AND(INDEX(TimingTasks[输入完成度],ROW()-9)="",NOT(ISNUMBER(INDEX(TimingTasks[输入完成度],ROW()-9)))),0,INDEX(TimingTasks[输入完成度],ROW()-9)))</f>
        <v/>
      </c>
      <c r="H61" s="10" t="str">
        <f>IF(ROW()-9&gt;ROWS(TimingTasks[WBS]),"",IF(AND(INDEX(TimingTasks[前置任务 WBS],ROW()-9)="",NOT(ISNUMBER(INDEX(TimingTasks[前置任务 WBS],ROW()-9)))),"",INDEX(TimingTasks[前置任务 WBS],ROW()-9)))</f>
        <v/>
      </c>
      <c r="I61" s="10" t="str">
        <f>IF(ROW()-9&gt;ROWS(TimingTasks[WBS]),"",IF(AND(INDEX(TimingTasks[叶子类型],ROW()-9)="",NOT(ISNUMBER(INDEX(TimingTasks[叶子类型],ROW()-9)))),"普通任务",INDEX(TimingTasks[叶子类型],ROW()-9)))</f>
        <v/>
      </c>
      <c r="J61" s="10" t="str">
        <f>IF(ROW()-9&gt;ROWS(TimingTasks[WBS]),"",IF(AND(INDEX(TimingTasks[操作],ROW()-9)="",NOT(ISNUMBER(INDEX(TimingTasks[操作],ROW()-9)))),"保留",INDEX(TimingTasks[操作],ROW()-9)))</f>
        <v/>
      </c>
      <c r="K61" s="1" t="str">
        <f>IF(P61=0,"",IF(OR(AND(L61=1,D61="",E61="",I61&lt;&gt;"里程碑"),COUNTIFS($S$10:$S$109,"&gt;"&amp;S61,$S$10:$S$109,"&lt;"&amp;(S61+IF(L61=1,1000000,IF(L61=2,1000,1))),$P$10:$P$109,1)&gt;0),"汇总",I61))</f>
        <v/>
      </c>
      <c r="L61" s="1" t="str">
        <f>IF(A61="","",LEN(("W"&amp;A61))-LEN(SUBSTITUTE(("W"&amp;A61),".",""))+1)</f>
        <v/>
      </c>
      <c r="M61" s="3" t="str">
        <f>IF(P61=0,"",IF(K61="汇总",IF(COUNTIFS($S$10:$S$109,"&gt;"&amp;S61,$S$10:$S$109,"&lt;"&amp;(S61+IF(L61=1,1000000,IF(L61=2,1000,1))),$AA$10:$AA$109,1)=0,"",_xlfn.MINIFS($Y$10:$Y$109,$S$10:$S$109,"&gt;"&amp;S61,$S$10:$S$109,"&lt;"&amp;(S61+IF(L61=1,1000000,IF(L61=2,1000,1))),$AA$10:$AA$109,1)),IF(AA61=1,D61,"")))</f>
        <v/>
      </c>
      <c r="N61" s="3" t="str">
        <f>IF(P61=0,"",IF(K61="汇总",IF(COUNTIFS($S$10:$S$109,"&gt;"&amp;S61,$S$10:$S$109,"&lt;"&amp;(S61+IF(L61=1,1000000,IF(L61=2,1000,1))),$AA$10:$AA$109,1)=0,"",_xlfn.MAXIFS($Z$10:$Z$109,$S$10:$S$109,"&gt;"&amp;S61,$S$10:$S$109,"&lt;"&amp;(S61+IF(L61=1,1000000,IF(L61=2,1000,1))),$AA$10:$AA$109,1)),IF(AA61=1,E61,"")))</f>
        <v/>
      </c>
      <c r="O61" s="7" t="str">
        <f>IF(K61="汇总",ROUND((IF(P61=0,"",IF(K61="汇总",IF(SUMIFS($Q$10:$Q$109,$S$10:$S$109,"&gt;"&amp;S61,$S$10:$S$109,"&lt;"&amp;(S61+IF(L61=1,1000000,IF(L61=2,1000,1))))=0,0,SUMIFS($R$10:$R$109,$S$10:$S$109,"&gt;"&amp;S61,$S$10:$S$109,"&lt;"&amp;(S61+IF(L61=1,1000000,IF(L61=2,1000,1))))/SUMIFS($Q$10:$Q$109,$S$10:$S$109,"&gt;"&amp;S61,$S$10:$S$109,"&lt;"&amp;(S61+IF(L61=1,1000000,IF(L61=2,1000,1))))),G61)))*100,0)/100,IF(P61=0,"",IF(K61="汇总",IF(SUMIFS($Q$10:$Q$109,$S$10:$S$109,"&gt;"&amp;S61,$S$10:$S$109,"&lt;"&amp;(S61+IF(L61=1,1000000,IF(L61=2,1000,1))))=0,0,SUMIFS($R$10:$R$109,$S$10:$S$109,"&gt;"&amp;S61,$S$10:$S$109,"&lt;"&amp;(S61+IF(L61=1,1000000,IF(L61=2,1000,1))))/SUMIFS($Q$10:$Q$109,$S$10:$S$109,"&gt;"&amp;S61,$S$10:$S$109,"&lt;"&amp;(S61+IF(L61=1,1000000,IF(L61=2,1000,1))))),G61)))</f>
        <v/>
      </c>
      <c r="P61" s="1">
        <f>IF(OR(A61="",B61="",J61="删除",AE61=0,COUNTIFS($AG$10:$AG$109,"W"&amp;A61)&lt;&gt;1,AND(L61&gt;1,COUNTIFS($AG$10:$AG$109,"W"&amp;V61,$B$10:$B$109,"&lt;&gt;")&lt;&gt;1),AND(L61=3,COUNTIFS($AG$10:$AG$109,"W"&amp;W61,$B$10:$B$109,"&lt;&gt;")&lt;&gt;1),COUNTIFS($AG$10:$AG$109,"W"&amp;V61,$J$10:$J$109,"删除")&gt;0,COUNTIFS($AG$10:$AG$109,"W"&amp;W61,$J$10:$J$109,"删除")&gt;0),0,1)</f>
        <v>0</v>
      </c>
      <c r="Q61" s="1">
        <f>IF(AA61=0,0,IF(I61="里程碑",1,F61))</f>
        <v>0</v>
      </c>
      <c r="R61" s="1">
        <f>IF(AA61=0,0,Q61*G61)</f>
        <v>0</v>
      </c>
      <c r="S61" s="1">
        <f>IF(P61=0,1000000000000000,AB61*1000000+AC61*1000+AD61)</f>
        <v>1000000000000000</v>
      </c>
      <c r="T61" s="1">
        <f>IF(P61=0,0,IF(Timing浏览!$D$5="全部",1,IF(Timing浏览!$D$5="仅里程碑",IF(K61="里程碑",1,0),IF(L61&lt;=VALUE(LEFT(Timing浏览!$D$5,1)),1,0))))</f>
        <v>0</v>
      </c>
      <c r="U61" s="1" t="str">
        <f>IF(T61=0,"",COUNTIFS($S$10:$S$109,"&lt;"&amp;S61,$T$10:$T$109,1)+1)</f>
        <v/>
      </c>
      <c r="V61" s="1" t="str">
        <f>IF(OR(A61="",L61=1),"",IF(L61=2,TEXT(AB61,"0"),TEXT(AB61,"0")&amp;"."&amp;TEXT(AC61,"0")))</f>
        <v/>
      </c>
      <c r="W61" s="1" t="str">
        <f>IF(OR(A61="",L61=1),"",TEXT(AB61,"0"))</f>
        <v/>
      </c>
      <c r="X61" s="1" t="str">
        <f>IF(AND(A61="",B61=""),"",IF(OR(A61="",B61=""),"请补编号和名称",IF(AE61=0,"编号需为1至3级正整数",IF(COUNTIFS($AG$10:$AG$109,"W"&amp;A61)&lt;&gt;1,"编号重复",IF(AND(L61&gt;1,COUNTIFS($AG$10:$AG$109,"W"&amp;V61,$B$10:$B$109,"&lt;&gt;")&lt;&gt;1),"缺少父任务",IF(J61="删除","待删除",IF(P61=0,"父任务已删除或无效",IF(K61="汇总",IF(COUNTIFS($S$10:$S$109,"&gt;"&amp;S61,$S$10:$S$109,"&lt;"&amp;(S61+IF(L61=1,1000000,IF(L61=2,1000,1))),$P$10:$P$109,1)=0,"等待子任务","由下级汇总"),IF(OR(D61="",E61=""),"待补日期",IF(E61&lt;D61,"结束早于开始",IF(AND(I61="里程碑",D61&lt;&gt;E61),"里程碑须同日","")))))))))))</f>
        <v/>
      </c>
      <c r="Y61" s="1">
        <f>IF(AA61=1,D61,100000000)</f>
        <v>100000000</v>
      </c>
      <c r="Z61" s="1">
        <f>IF(AA61=1,E61,0)</f>
        <v>0</v>
      </c>
      <c r="AA61" s="1">
        <f>IF(AND(P61=1,K61&lt;&gt;"汇总",ISNUMBER(F61),OR(I61&lt;&gt;"里程碑",D61=E61)),1,0)</f>
        <v>0</v>
      </c>
      <c r="AB61" s="1">
        <f>IF(A61="",0,IFERROR(VALUE(MID(("W"&amp;A61),2,FIND(".",("W"&amp;A61)&amp;".")-2)),-1))</f>
        <v>0</v>
      </c>
      <c r="AC61" s="1">
        <f>IF(OR(A61="",L61&lt;2),0,IFERROR(VALUE(MID(("W"&amp;A61),FIND(".",("W"&amp;A61))+1,FIND(".",("W"&amp;A61)&amp;".",FIND(".",("W"&amp;A61))+1)-FIND(".",("W"&amp;A61))-1)),-1))</f>
        <v>0</v>
      </c>
      <c r="AD61" s="1">
        <f>IF(OR(A61="",L61&lt;3),0,IFERROR(VALUE(RIGHT(("W"&amp;A61),LEN(("W"&amp;A61))-FIND(".",("W"&amp;A61),FIND(".",("W"&amp;A61))+1))),-1))</f>
        <v>0</v>
      </c>
      <c r="AE61" s="1">
        <f>IF(A61="",0,IF(AND(L61&lt;=3,AB61&gt;=1,AB61&lt;=999,AC61&gt;=0,AC61&lt;=999,AD61&gt;=0,AD61&lt;=999,A61=TEXT(AB61,"0")&amp;IF(L61&gt;1,"."&amp;TEXT(AC61,"0"),"")&amp;IF(L61&gt;2,"."&amp;TEXT(AD61,"0"),""),OR(L61&lt;2,AC61&gt;=1),OR(L61&lt;3,AD61&gt;=1)),1,0))</f>
        <v>0</v>
      </c>
      <c r="AF61" s="1"/>
      <c r="AG61" t="str">
        <f>"W"&amp;A61</f>
        <v>W</v>
      </c>
    </row>
    <row r="62" spans="1:33" ht="16.5">
      <c r="A62" s="12" t="str">
        <f>IF(ROW()-9&gt;ROWS(TimingTasks[WBS]),"",IF(AND(INDEX(TimingTasks[WBS],ROW()-9)="",NOT(ISNUMBER(INDEX(TimingTasks[WBS],ROW()-9)))),"",INDEX(TimingTasks[WBS],ROW()-9)))</f>
        <v/>
      </c>
      <c r="B62" s="10" t="str">
        <f>IF(ROW()-9&gt;ROWS(TimingTasks[WBS]),"",IF(AND(INDEX(TimingTasks[任务名称],ROW()-9)="",NOT(ISNUMBER(INDEX(TimingTasks[任务名称],ROW()-9)))),"",INDEX(TimingTasks[任务名称],ROW()-9)))</f>
        <v/>
      </c>
      <c r="C62" s="10" t="str">
        <f>IF(ROW()-9&gt;ROWS(TimingTasks[WBS]),"",IF(AND(INDEX(TimingTasks[负责人],ROW()-9)="",NOT(ISNUMBER(INDEX(TimingTasks[负责人],ROW()-9)))),"",INDEX(TimingTasks[负责人],ROW()-9)))</f>
        <v/>
      </c>
      <c r="D62" s="11" t="str">
        <f>IF(ROW()-9&gt;ROWS(TimingTasks[WBS]),"",IF(AND(INDEX(TimingTasks[输入开始],ROW()-9)="",NOT(ISNUMBER(INDEX(TimingTasks[输入开始],ROW()-9)))),"",INDEX(TimingTasks[输入开始],ROW()-9)))</f>
        <v/>
      </c>
      <c r="E62" s="11" t="str">
        <f>IF(ROW()-9&gt;ROWS(TimingTasks[WBS]),"",IF(AND(INDEX(TimingTasks[输入结束],ROW()-9)="",NOT(ISNUMBER(INDEX(TimingTasks[输入结束],ROW()-9)))),"",INDEX(TimingTasks[输入结束],ROW()-9)))</f>
        <v/>
      </c>
      <c r="F62" s="1" t="str">
        <f>IF(OR(P62=0,K62="汇总",D62="",E62="",E62&lt;D62),"",IF(I62="里程碑",0,NETWORKDAYS(D62,E62)))</f>
        <v/>
      </c>
      <c r="G62" s="15" t="str">
        <f>IF(ROW()-9&gt;ROWS(TimingTasks[WBS]),"",IF(AND(INDEX(TimingTasks[输入完成度],ROW()-9)="",NOT(ISNUMBER(INDEX(TimingTasks[输入完成度],ROW()-9)))),0,INDEX(TimingTasks[输入完成度],ROW()-9)))</f>
        <v/>
      </c>
      <c r="H62" s="10" t="str">
        <f>IF(ROW()-9&gt;ROWS(TimingTasks[WBS]),"",IF(AND(INDEX(TimingTasks[前置任务 WBS],ROW()-9)="",NOT(ISNUMBER(INDEX(TimingTasks[前置任务 WBS],ROW()-9)))),"",INDEX(TimingTasks[前置任务 WBS],ROW()-9)))</f>
        <v/>
      </c>
      <c r="I62" s="10" t="str">
        <f>IF(ROW()-9&gt;ROWS(TimingTasks[WBS]),"",IF(AND(INDEX(TimingTasks[叶子类型],ROW()-9)="",NOT(ISNUMBER(INDEX(TimingTasks[叶子类型],ROW()-9)))),"普通任务",INDEX(TimingTasks[叶子类型],ROW()-9)))</f>
        <v/>
      </c>
      <c r="J62" s="10" t="str">
        <f>IF(ROW()-9&gt;ROWS(TimingTasks[WBS]),"",IF(AND(INDEX(TimingTasks[操作],ROW()-9)="",NOT(ISNUMBER(INDEX(TimingTasks[操作],ROW()-9)))),"保留",INDEX(TimingTasks[操作],ROW()-9)))</f>
        <v/>
      </c>
      <c r="K62" s="1" t="str">
        <f>IF(P62=0,"",IF(OR(AND(L62=1,D62="",E62="",I62&lt;&gt;"里程碑"),COUNTIFS($S$10:$S$109,"&gt;"&amp;S62,$S$10:$S$109,"&lt;"&amp;(S62+IF(L62=1,1000000,IF(L62=2,1000,1))),$P$10:$P$109,1)&gt;0),"汇总",I62))</f>
        <v/>
      </c>
      <c r="L62" s="1" t="str">
        <f>IF(A62="","",LEN(("W"&amp;A62))-LEN(SUBSTITUTE(("W"&amp;A62),".",""))+1)</f>
        <v/>
      </c>
      <c r="M62" s="3" t="str">
        <f>IF(P62=0,"",IF(K62="汇总",IF(COUNTIFS($S$10:$S$109,"&gt;"&amp;S62,$S$10:$S$109,"&lt;"&amp;(S62+IF(L62=1,1000000,IF(L62=2,1000,1))),$AA$10:$AA$109,1)=0,"",_xlfn.MINIFS($Y$10:$Y$109,$S$10:$S$109,"&gt;"&amp;S62,$S$10:$S$109,"&lt;"&amp;(S62+IF(L62=1,1000000,IF(L62=2,1000,1))),$AA$10:$AA$109,1)),IF(AA62=1,D62,"")))</f>
        <v/>
      </c>
      <c r="N62" s="3" t="str">
        <f>IF(P62=0,"",IF(K62="汇总",IF(COUNTIFS($S$10:$S$109,"&gt;"&amp;S62,$S$10:$S$109,"&lt;"&amp;(S62+IF(L62=1,1000000,IF(L62=2,1000,1))),$AA$10:$AA$109,1)=0,"",_xlfn.MAXIFS($Z$10:$Z$109,$S$10:$S$109,"&gt;"&amp;S62,$S$10:$S$109,"&lt;"&amp;(S62+IF(L62=1,1000000,IF(L62=2,1000,1))),$AA$10:$AA$109,1)),IF(AA62=1,E62,"")))</f>
        <v/>
      </c>
      <c r="O62" s="7" t="str">
        <f>IF(K62="汇总",ROUND((IF(P62=0,"",IF(K62="汇总",IF(SUMIFS($Q$10:$Q$109,$S$10:$S$109,"&gt;"&amp;S62,$S$10:$S$109,"&lt;"&amp;(S62+IF(L62=1,1000000,IF(L62=2,1000,1))))=0,0,SUMIFS($R$10:$R$109,$S$10:$S$109,"&gt;"&amp;S62,$S$10:$S$109,"&lt;"&amp;(S62+IF(L62=1,1000000,IF(L62=2,1000,1))))/SUMIFS($Q$10:$Q$109,$S$10:$S$109,"&gt;"&amp;S62,$S$10:$S$109,"&lt;"&amp;(S62+IF(L62=1,1000000,IF(L62=2,1000,1))))),G62)))*100,0)/100,IF(P62=0,"",IF(K62="汇总",IF(SUMIFS($Q$10:$Q$109,$S$10:$S$109,"&gt;"&amp;S62,$S$10:$S$109,"&lt;"&amp;(S62+IF(L62=1,1000000,IF(L62=2,1000,1))))=0,0,SUMIFS($R$10:$R$109,$S$10:$S$109,"&gt;"&amp;S62,$S$10:$S$109,"&lt;"&amp;(S62+IF(L62=1,1000000,IF(L62=2,1000,1))))/SUMIFS($Q$10:$Q$109,$S$10:$S$109,"&gt;"&amp;S62,$S$10:$S$109,"&lt;"&amp;(S62+IF(L62=1,1000000,IF(L62=2,1000,1))))),G62)))</f>
        <v/>
      </c>
      <c r="P62" s="1">
        <f>IF(OR(A62="",B62="",J62="删除",AE62=0,COUNTIFS($AG$10:$AG$109,"W"&amp;A62)&lt;&gt;1,AND(L62&gt;1,COUNTIFS($AG$10:$AG$109,"W"&amp;V62,$B$10:$B$109,"&lt;&gt;")&lt;&gt;1),AND(L62=3,COUNTIFS($AG$10:$AG$109,"W"&amp;W62,$B$10:$B$109,"&lt;&gt;")&lt;&gt;1),COUNTIFS($AG$10:$AG$109,"W"&amp;V62,$J$10:$J$109,"删除")&gt;0,COUNTIFS($AG$10:$AG$109,"W"&amp;W62,$J$10:$J$109,"删除")&gt;0),0,1)</f>
        <v>0</v>
      </c>
      <c r="Q62" s="1">
        <f>IF(AA62=0,0,IF(I62="里程碑",1,F62))</f>
        <v>0</v>
      </c>
      <c r="R62" s="1">
        <f>IF(AA62=0,0,Q62*G62)</f>
        <v>0</v>
      </c>
      <c r="S62" s="1">
        <f>IF(P62=0,1000000000000000,AB62*1000000+AC62*1000+AD62)</f>
        <v>1000000000000000</v>
      </c>
      <c r="T62" s="1">
        <f>IF(P62=0,0,IF(Timing浏览!$D$5="全部",1,IF(Timing浏览!$D$5="仅里程碑",IF(K62="里程碑",1,0),IF(L62&lt;=VALUE(LEFT(Timing浏览!$D$5,1)),1,0))))</f>
        <v>0</v>
      </c>
      <c r="U62" s="1" t="str">
        <f>IF(T62=0,"",COUNTIFS($S$10:$S$109,"&lt;"&amp;S62,$T$10:$T$109,1)+1)</f>
        <v/>
      </c>
      <c r="V62" s="1" t="str">
        <f>IF(OR(A62="",L62=1),"",IF(L62=2,TEXT(AB62,"0"),TEXT(AB62,"0")&amp;"."&amp;TEXT(AC62,"0")))</f>
        <v/>
      </c>
      <c r="W62" s="1" t="str">
        <f>IF(OR(A62="",L62=1),"",TEXT(AB62,"0"))</f>
        <v/>
      </c>
      <c r="X62" s="1" t="str">
        <f>IF(AND(A62="",B62=""),"",IF(OR(A62="",B62=""),"请补编号和名称",IF(AE62=0,"编号需为1至3级正整数",IF(COUNTIFS($AG$10:$AG$109,"W"&amp;A62)&lt;&gt;1,"编号重复",IF(AND(L62&gt;1,COUNTIFS($AG$10:$AG$109,"W"&amp;V62,$B$10:$B$109,"&lt;&gt;")&lt;&gt;1),"缺少父任务",IF(J62="删除","待删除",IF(P62=0,"父任务已删除或无效",IF(K62="汇总",IF(COUNTIFS($S$10:$S$109,"&gt;"&amp;S62,$S$10:$S$109,"&lt;"&amp;(S62+IF(L62=1,1000000,IF(L62=2,1000,1))),$P$10:$P$109,1)=0,"等待子任务","由下级汇总"),IF(OR(D62="",E62=""),"待补日期",IF(E62&lt;D62,"结束早于开始",IF(AND(I62="里程碑",D62&lt;&gt;E62),"里程碑须同日","")))))))))))</f>
        <v/>
      </c>
      <c r="Y62" s="1">
        <f>IF(AA62=1,D62,100000000)</f>
        <v>100000000</v>
      </c>
      <c r="Z62" s="1">
        <f>IF(AA62=1,E62,0)</f>
        <v>0</v>
      </c>
      <c r="AA62" s="1">
        <f>IF(AND(P62=1,K62&lt;&gt;"汇总",ISNUMBER(F62),OR(I62&lt;&gt;"里程碑",D62=E62)),1,0)</f>
        <v>0</v>
      </c>
      <c r="AB62" s="1">
        <f>IF(A62="",0,IFERROR(VALUE(MID(("W"&amp;A62),2,FIND(".",("W"&amp;A62)&amp;".")-2)),-1))</f>
        <v>0</v>
      </c>
      <c r="AC62" s="1">
        <f>IF(OR(A62="",L62&lt;2),0,IFERROR(VALUE(MID(("W"&amp;A62),FIND(".",("W"&amp;A62))+1,FIND(".",("W"&amp;A62)&amp;".",FIND(".",("W"&amp;A62))+1)-FIND(".",("W"&amp;A62))-1)),-1))</f>
        <v>0</v>
      </c>
      <c r="AD62" s="1">
        <f>IF(OR(A62="",L62&lt;3),0,IFERROR(VALUE(RIGHT(("W"&amp;A62),LEN(("W"&amp;A62))-FIND(".",("W"&amp;A62),FIND(".",("W"&amp;A62))+1))),-1))</f>
        <v>0</v>
      </c>
      <c r="AE62" s="1">
        <f>IF(A62="",0,IF(AND(L62&lt;=3,AB62&gt;=1,AB62&lt;=999,AC62&gt;=0,AC62&lt;=999,AD62&gt;=0,AD62&lt;=999,A62=TEXT(AB62,"0")&amp;IF(L62&gt;1,"."&amp;TEXT(AC62,"0"),"")&amp;IF(L62&gt;2,"."&amp;TEXT(AD62,"0"),""),OR(L62&lt;2,AC62&gt;=1),OR(L62&lt;3,AD62&gt;=1)),1,0))</f>
        <v>0</v>
      </c>
      <c r="AF62" s="1"/>
      <c r="AG62" t="str">
        <f>"W"&amp;A62</f>
        <v>W</v>
      </c>
    </row>
    <row r="63" spans="1:33" ht="16.5">
      <c r="A63" s="12" t="str">
        <f>IF(ROW()-9&gt;ROWS(TimingTasks[WBS]),"",IF(AND(INDEX(TimingTasks[WBS],ROW()-9)="",NOT(ISNUMBER(INDEX(TimingTasks[WBS],ROW()-9)))),"",INDEX(TimingTasks[WBS],ROW()-9)))</f>
        <v/>
      </c>
      <c r="B63" s="10" t="str">
        <f>IF(ROW()-9&gt;ROWS(TimingTasks[WBS]),"",IF(AND(INDEX(TimingTasks[任务名称],ROW()-9)="",NOT(ISNUMBER(INDEX(TimingTasks[任务名称],ROW()-9)))),"",INDEX(TimingTasks[任务名称],ROW()-9)))</f>
        <v/>
      </c>
      <c r="C63" s="10" t="str">
        <f>IF(ROW()-9&gt;ROWS(TimingTasks[WBS]),"",IF(AND(INDEX(TimingTasks[负责人],ROW()-9)="",NOT(ISNUMBER(INDEX(TimingTasks[负责人],ROW()-9)))),"",INDEX(TimingTasks[负责人],ROW()-9)))</f>
        <v/>
      </c>
      <c r="D63" s="11" t="str">
        <f>IF(ROW()-9&gt;ROWS(TimingTasks[WBS]),"",IF(AND(INDEX(TimingTasks[输入开始],ROW()-9)="",NOT(ISNUMBER(INDEX(TimingTasks[输入开始],ROW()-9)))),"",INDEX(TimingTasks[输入开始],ROW()-9)))</f>
        <v/>
      </c>
      <c r="E63" s="11" t="str">
        <f>IF(ROW()-9&gt;ROWS(TimingTasks[WBS]),"",IF(AND(INDEX(TimingTasks[输入结束],ROW()-9)="",NOT(ISNUMBER(INDEX(TimingTasks[输入结束],ROW()-9)))),"",INDEX(TimingTasks[输入结束],ROW()-9)))</f>
        <v/>
      </c>
      <c r="F63" s="1" t="str">
        <f>IF(OR(P63=0,K63="汇总",D63="",E63="",E63&lt;D63),"",IF(I63="里程碑",0,NETWORKDAYS(D63,E63)))</f>
        <v/>
      </c>
      <c r="G63" s="15" t="str">
        <f>IF(ROW()-9&gt;ROWS(TimingTasks[WBS]),"",IF(AND(INDEX(TimingTasks[输入完成度],ROW()-9)="",NOT(ISNUMBER(INDEX(TimingTasks[输入完成度],ROW()-9)))),0,INDEX(TimingTasks[输入完成度],ROW()-9)))</f>
        <v/>
      </c>
      <c r="H63" s="10" t="str">
        <f>IF(ROW()-9&gt;ROWS(TimingTasks[WBS]),"",IF(AND(INDEX(TimingTasks[前置任务 WBS],ROW()-9)="",NOT(ISNUMBER(INDEX(TimingTasks[前置任务 WBS],ROW()-9)))),"",INDEX(TimingTasks[前置任务 WBS],ROW()-9)))</f>
        <v/>
      </c>
      <c r="I63" s="10" t="str">
        <f>IF(ROW()-9&gt;ROWS(TimingTasks[WBS]),"",IF(AND(INDEX(TimingTasks[叶子类型],ROW()-9)="",NOT(ISNUMBER(INDEX(TimingTasks[叶子类型],ROW()-9)))),"普通任务",INDEX(TimingTasks[叶子类型],ROW()-9)))</f>
        <v/>
      </c>
      <c r="J63" s="10" t="str">
        <f>IF(ROW()-9&gt;ROWS(TimingTasks[WBS]),"",IF(AND(INDEX(TimingTasks[操作],ROW()-9)="",NOT(ISNUMBER(INDEX(TimingTasks[操作],ROW()-9)))),"保留",INDEX(TimingTasks[操作],ROW()-9)))</f>
        <v/>
      </c>
      <c r="K63" s="1" t="str">
        <f>IF(P63=0,"",IF(OR(AND(L63=1,D63="",E63="",I63&lt;&gt;"里程碑"),COUNTIFS($S$10:$S$109,"&gt;"&amp;S63,$S$10:$S$109,"&lt;"&amp;(S63+IF(L63=1,1000000,IF(L63=2,1000,1))),$P$10:$P$109,1)&gt;0),"汇总",I63))</f>
        <v/>
      </c>
      <c r="L63" s="1" t="str">
        <f>IF(A63="","",LEN(("W"&amp;A63))-LEN(SUBSTITUTE(("W"&amp;A63),".",""))+1)</f>
        <v/>
      </c>
      <c r="M63" s="3" t="str">
        <f>IF(P63=0,"",IF(K63="汇总",IF(COUNTIFS($S$10:$S$109,"&gt;"&amp;S63,$S$10:$S$109,"&lt;"&amp;(S63+IF(L63=1,1000000,IF(L63=2,1000,1))),$AA$10:$AA$109,1)=0,"",_xlfn.MINIFS($Y$10:$Y$109,$S$10:$S$109,"&gt;"&amp;S63,$S$10:$S$109,"&lt;"&amp;(S63+IF(L63=1,1000000,IF(L63=2,1000,1))),$AA$10:$AA$109,1)),IF(AA63=1,D63,"")))</f>
        <v/>
      </c>
      <c r="N63" s="3" t="str">
        <f>IF(P63=0,"",IF(K63="汇总",IF(COUNTIFS($S$10:$S$109,"&gt;"&amp;S63,$S$10:$S$109,"&lt;"&amp;(S63+IF(L63=1,1000000,IF(L63=2,1000,1))),$AA$10:$AA$109,1)=0,"",_xlfn.MAXIFS($Z$10:$Z$109,$S$10:$S$109,"&gt;"&amp;S63,$S$10:$S$109,"&lt;"&amp;(S63+IF(L63=1,1000000,IF(L63=2,1000,1))),$AA$10:$AA$109,1)),IF(AA63=1,E63,"")))</f>
        <v/>
      </c>
      <c r="O63" s="7" t="str">
        <f>IF(K63="汇总",ROUND((IF(P63=0,"",IF(K63="汇总",IF(SUMIFS($Q$10:$Q$109,$S$10:$S$109,"&gt;"&amp;S63,$S$10:$S$109,"&lt;"&amp;(S63+IF(L63=1,1000000,IF(L63=2,1000,1))))=0,0,SUMIFS($R$10:$R$109,$S$10:$S$109,"&gt;"&amp;S63,$S$10:$S$109,"&lt;"&amp;(S63+IF(L63=1,1000000,IF(L63=2,1000,1))))/SUMIFS($Q$10:$Q$109,$S$10:$S$109,"&gt;"&amp;S63,$S$10:$S$109,"&lt;"&amp;(S63+IF(L63=1,1000000,IF(L63=2,1000,1))))),G63)))*100,0)/100,IF(P63=0,"",IF(K63="汇总",IF(SUMIFS($Q$10:$Q$109,$S$10:$S$109,"&gt;"&amp;S63,$S$10:$S$109,"&lt;"&amp;(S63+IF(L63=1,1000000,IF(L63=2,1000,1))))=0,0,SUMIFS($R$10:$R$109,$S$10:$S$109,"&gt;"&amp;S63,$S$10:$S$109,"&lt;"&amp;(S63+IF(L63=1,1000000,IF(L63=2,1000,1))))/SUMIFS($Q$10:$Q$109,$S$10:$S$109,"&gt;"&amp;S63,$S$10:$S$109,"&lt;"&amp;(S63+IF(L63=1,1000000,IF(L63=2,1000,1))))),G63)))</f>
        <v/>
      </c>
      <c r="P63" s="1">
        <f>IF(OR(A63="",B63="",J63="删除",AE63=0,COUNTIFS($AG$10:$AG$109,"W"&amp;A63)&lt;&gt;1,AND(L63&gt;1,COUNTIFS($AG$10:$AG$109,"W"&amp;V63,$B$10:$B$109,"&lt;&gt;")&lt;&gt;1),AND(L63=3,COUNTIFS($AG$10:$AG$109,"W"&amp;W63,$B$10:$B$109,"&lt;&gt;")&lt;&gt;1),COUNTIFS($AG$10:$AG$109,"W"&amp;V63,$J$10:$J$109,"删除")&gt;0,COUNTIFS($AG$10:$AG$109,"W"&amp;W63,$J$10:$J$109,"删除")&gt;0),0,1)</f>
        <v>0</v>
      </c>
      <c r="Q63" s="1">
        <f>IF(AA63=0,0,IF(I63="里程碑",1,F63))</f>
        <v>0</v>
      </c>
      <c r="R63" s="1">
        <f>IF(AA63=0,0,Q63*G63)</f>
        <v>0</v>
      </c>
      <c r="S63" s="1">
        <f>IF(P63=0,1000000000000000,AB63*1000000+AC63*1000+AD63)</f>
        <v>1000000000000000</v>
      </c>
      <c r="T63" s="1">
        <f>IF(P63=0,0,IF(Timing浏览!$D$5="全部",1,IF(Timing浏览!$D$5="仅里程碑",IF(K63="里程碑",1,0),IF(L63&lt;=VALUE(LEFT(Timing浏览!$D$5,1)),1,0))))</f>
        <v>0</v>
      </c>
      <c r="U63" s="1" t="str">
        <f>IF(T63=0,"",COUNTIFS($S$10:$S$109,"&lt;"&amp;S63,$T$10:$T$109,1)+1)</f>
        <v/>
      </c>
      <c r="V63" s="1" t="str">
        <f>IF(OR(A63="",L63=1),"",IF(L63=2,TEXT(AB63,"0"),TEXT(AB63,"0")&amp;"."&amp;TEXT(AC63,"0")))</f>
        <v/>
      </c>
      <c r="W63" s="1" t="str">
        <f>IF(OR(A63="",L63=1),"",TEXT(AB63,"0"))</f>
        <v/>
      </c>
      <c r="X63" s="1" t="str">
        <f>IF(AND(A63="",B63=""),"",IF(OR(A63="",B63=""),"请补编号和名称",IF(AE63=0,"编号需为1至3级正整数",IF(COUNTIFS($AG$10:$AG$109,"W"&amp;A63)&lt;&gt;1,"编号重复",IF(AND(L63&gt;1,COUNTIFS($AG$10:$AG$109,"W"&amp;V63,$B$10:$B$109,"&lt;&gt;")&lt;&gt;1),"缺少父任务",IF(J63="删除","待删除",IF(P63=0,"父任务已删除或无效",IF(K63="汇总",IF(COUNTIFS($S$10:$S$109,"&gt;"&amp;S63,$S$10:$S$109,"&lt;"&amp;(S63+IF(L63=1,1000000,IF(L63=2,1000,1))),$P$10:$P$109,1)=0,"等待子任务","由下级汇总"),IF(OR(D63="",E63=""),"待补日期",IF(E63&lt;D63,"结束早于开始",IF(AND(I63="里程碑",D63&lt;&gt;E63),"里程碑须同日","")))))))))))</f>
        <v/>
      </c>
      <c r="Y63" s="1">
        <f>IF(AA63=1,D63,100000000)</f>
        <v>100000000</v>
      </c>
      <c r="Z63" s="1">
        <f>IF(AA63=1,E63,0)</f>
        <v>0</v>
      </c>
      <c r="AA63" s="1">
        <f>IF(AND(P63=1,K63&lt;&gt;"汇总",ISNUMBER(F63),OR(I63&lt;&gt;"里程碑",D63=E63)),1,0)</f>
        <v>0</v>
      </c>
      <c r="AB63" s="1">
        <f>IF(A63="",0,IFERROR(VALUE(MID(("W"&amp;A63),2,FIND(".",("W"&amp;A63)&amp;".")-2)),-1))</f>
        <v>0</v>
      </c>
      <c r="AC63" s="1">
        <f>IF(OR(A63="",L63&lt;2),0,IFERROR(VALUE(MID(("W"&amp;A63),FIND(".",("W"&amp;A63))+1,FIND(".",("W"&amp;A63)&amp;".",FIND(".",("W"&amp;A63))+1)-FIND(".",("W"&amp;A63))-1)),-1))</f>
        <v>0</v>
      </c>
      <c r="AD63" s="1">
        <f>IF(OR(A63="",L63&lt;3),0,IFERROR(VALUE(RIGHT(("W"&amp;A63),LEN(("W"&amp;A63))-FIND(".",("W"&amp;A63),FIND(".",("W"&amp;A63))+1))),-1))</f>
        <v>0</v>
      </c>
      <c r="AE63" s="1">
        <f>IF(A63="",0,IF(AND(L63&lt;=3,AB63&gt;=1,AB63&lt;=999,AC63&gt;=0,AC63&lt;=999,AD63&gt;=0,AD63&lt;=999,A63=TEXT(AB63,"0")&amp;IF(L63&gt;1,"."&amp;TEXT(AC63,"0"),"")&amp;IF(L63&gt;2,"."&amp;TEXT(AD63,"0"),""),OR(L63&lt;2,AC63&gt;=1),OR(L63&lt;3,AD63&gt;=1)),1,0))</f>
        <v>0</v>
      </c>
      <c r="AF63" s="1"/>
      <c r="AG63" t="str">
        <f>"W"&amp;A63</f>
        <v>W</v>
      </c>
    </row>
    <row r="64" spans="1:33" ht="16.5">
      <c r="A64" s="12" t="str">
        <f>IF(ROW()-9&gt;ROWS(TimingTasks[WBS]),"",IF(AND(INDEX(TimingTasks[WBS],ROW()-9)="",NOT(ISNUMBER(INDEX(TimingTasks[WBS],ROW()-9)))),"",INDEX(TimingTasks[WBS],ROW()-9)))</f>
        <v/>
      </c>
      <c r="B64" s="10" t="str">
        <f>IF(ROW()-9&gt;ROWS(TimingTasks[WBS]),"",IF(AND(INDEX(TimingTasks[任务名称],ROW()-9)="",NOT(ISNUMBER(INDEX(TimingTasks[任务名称],ROW()-9)))),"",INDEX(TimingTasks[任务名称],ROW()-9)))</f>
        <v/>
      </c>
      <c r="C64" s="10" t="str">
        <f>IF(ROW()-9&gt;ROWS(TimingTasks[WBS]),"",IF(AND(INDEX(TimingTasks[负责人],ROW()-9)="",NOT(ISNUMBER(INDEX(TimingTasks[负责人],ROW()-9)))),"",INDEX(TimingTasks[负责人],ROW()-9)))</f>
        <v/>
      </c>
      <c r="D64" s="11" t="str">
        <f>IF(ROW()-9&gt;ROWS(TimingTasks[WBS]),"",IF(AND(INDEX(TimingTasks[输入开始],ROW()-9)="",NOT(ISNUMBER(INDEX(TimingTasks[输入开始],ROW()-9)))),"",INDEX(TimingTasks[输入开始],ROW()-9)))</f>
        <v/>
      </c>
      <c r="E64" s="11" t="str">
        <f>IF(ROW()-9&gt;ROWS(TimingTasks[WBS]),"",IF(AND(INDEX(TimingTasks[输入结束],ROW()-9)="",NOT(ISNUMBER(INDEX(TimingTasks[输入结束],ROW()-9)))),"",INDEX(TimingTasks[输入结束],ROW()-9)))</f>
        <v/>
      </c>
      <c r="F64" s="1" t="str">
        <f>IF(OR(P64=0,K64="汇总",D64="",E64="",E64&lt;D64),"",IF(I64="里程碑",0,NETWORKDAYS(D64,E64)))</f>
        <v/>
      </c>
      <c r="G64" s="15" t="str">
        <f>IF(ROW()-9&gt;ROWS(TimingTasks[WBS]),"",IF(AND(INDEX(TimingTasks[输入完成度],ROW()-9)="",NOT(ISNUMBER(INDEX(TimingTasks[输入完成度],ROW()-9)))),0,INDEX(TimingTasks[输入完成度],ROW()-9)))</f>
        <v/>
      </c>
      <c r="H64" s="10" t="str">
        <f>IF(ROW()-9&gt;ROWS(TimingTasks[WBS]),"",IF(AND(INDEX(TimingTasks[前置任务 WBS],ROW()-9)="",NOT(ISNUMBER(INDEX(TimingTasks[前置任务 WBS],ROW()-9)))),"",INDEX(TimingTasks[前置任务 WBS],ROW()-9)))</f>
        <v/>
      </c>
      <c r="I64" s="10" t="str">
        <f>IF(ROW()-9&gt;ROWS(TimingTasks[WBS]),"",IF(AND(INDEX(TimingTasks[叶子类型],ROW()-9)="",NOT(ISNUMBER(INDEX(TimingTasks[叶子类型],ROW()-9)))),"普通任务",INDEX(TimingTasks[叶子类型],ROW()-9)))</f>
        <v/>
      </c>
      <c r="J64" s="10" t="str">
        <f>IF(ROW()-9&gt;ROWS(TimingTasks[WBS]),"",IF(AND(INDEX(TimingTasks[操作],ROW()-9)="",NOT(ISNUMBER(INDEX(TimingTasks[操作],ROW()-9)))),"保留",INDEX(TimingTasks[操作],ROW()-9)))</f>
        <v/>
      </c>
      <c r="K64" s="1" t="str">
        <f>IF(P64=0,"",IF(OR(AND(L64=1,D64="",E64="",I64&lt;&gt;"里程碑"),COUNTIFS($S$10:$S$109,"&gt;"&amp;S64,$S$10:$S$109,"&lt;"&amp;(S64+IF(L64=1,1000000,IF(L64=2,1000,1))),$P$10:$P$109,1)&gt;0),"汇总",I64))</f>
        <v/>
      </c>
      <c r="L64" s="1" t="str">
        <f>IF(A64="","",LEN(("W"&amp;A64))-LEN(SUBSTITUTE(("W"&amp;A64),".",""))+1)</f>
        <v/>
      </c>
      <c r="M64" s="3" t="str">
        <f>IF(P64=0,"",IF(K64="汇总",IF(COUNTIFS($S$10:$S$109,"&gt;"&amp;S64,$S$10:$S$109,"&lt;"&amp;(S64+IF(L64=1,1000000,IF(L64=2,1000,1))),$AA$10:$AA$109,1)=0,"",_xlfn.MINIFS($Y$10:$Y$109,$S$10:$S$109,"&gt;"&amp;S64,$S$10:$S$109,"&lt;"&amp;(S64+IF(L64=1,1000000,IF(L64=2,1000,1))),$AA$10:$AA$109,1)),IF(AA64=1,D64,"")))</f>
        <v/>
      </c>
      <c r="N64" s="3" t="str">
        <f>IF(P64=0,"",IF(K64="汇总",IF(COUNTIFS($S$10:$S$109,"&gt;"&amp;S64,$S$10:$S$109,"&lt;"&amp;(S64+IF(L64=1,1000000,IF(L64=2,1000,1))),$AA$10:$AA$109,1)=0,"",_xlfn.MAXIFS($Z$10:$Z$109,$S$10:$S$109,"&gt;"&amp;S64,$S$10:$S$109,"&lt;"&amp;(S64+IF(L64=1,1000000,IF(L64=2,1000,1))),$AA$10:$AA$109,1)),IF(AA64=1,E64,"")))</f>
        <v/>
      </c>
      <c r="O64" s="7" t="str">
        <f>IF(K64="汇总",ROUND((IF(P64=0,"",IF(K64="汇总",IF(SUMIFS($Q$10:$Q$109,$S$10:$S$109,"&gt;"&amp;S64,$S$10:$S$109,"&lt;"&amp;(S64+IF(L64=1,1000000,IF(L64=2,1000,1))))=0,0,SUMIFS($R$10:$R$109,$S$10:$S$109,"&gt;"&amp;S64,$S$10:$S$109,"&lt;"&amp;(S64+IF(L64=1,1000000,IF(L64=2,1000,1))))/SUMIFS($Q$10:$Q$109,$S$10:$S$109,"&gt;"&amp;S64,$S$10:$S$109,"&lt;"&amp;(S64+IF(L64=1,1000000,IF(L64=2,1000,1))))),G64)))*100,0)/100,IF(P64=0,"",IF(K64="汇总",IF(SUMIFS($Q$10:$Q$109,$S$10:$S$109,"&gt;"&amp;S64,$S$10:$S$109,"&lt;"&amp;(S64+IF(L64=1,1000000,IF(L64=2,1000,1))))=0,0,SUMIFS($R$10:$R$109,$S$10:$S$109,"&gt;"&amp;S64,$S$10:$S$109,"&lt;"&amp;(S64+IF(L64=1,1000000,IF(L64=2,1000,1))))/SUMIFS($Q$10:$Q$109,$S$10:$S$109,"&gt;"&amp;S64,$S$10:$S$109,"&lt;"&amp;(S64+IF(L64=1,1000000,IF(L64=2,1000,1))))),G64)))</f>
        <v/>
      </c>
      <c r="P64" s="1">
        <f>IF(OR(A64="",B64="",J64="删除",AE64=0,COUNTIFS($AG$10:$AG$109,"W"&amp;A64)&lt;&gt;1,AND(L64&gt;1,COUNTIFS($AG$10:$AG$109,"W"&amp;V64,$B$10:$B$109,"&lt;&gt;")&lt;&gt;1),AND(L64=3,COUNTIFS($AG$10:$AG$109,"W"&amp;W64,$B$10:$B$109,"&lt;&gt;")&lt;&gt;1),COUNTIFS($AG$10:$AG$109,"W"&amp;V64,$J$10:$J$109,"删除")&gt;0,COUNTIFS($AG$10:$AG$109,"W"&amp;W64,$J$10:$J$109,"删除")&gt;0),0,1)</f>
        <v>0</v>
      </c>
      <c r="Q64" s="1">
        <f>IF(AA64=0,0,IF(I64="里程碑",1,F64))</f>
        <v>0</v>
      </c>
      <c r="R64" s="1">
        <f>IF(AA64=0,0,Q64*G64)</f>
        <v>0</v>
      </c>
      <c r="S64" s="1">
        <f>IF(P64=0,1000000000000000,AB64*1000000+AC64*1000+AD64)</f>
        <v>1000000000000000</v>
      </c>
      <c r="T64" s="1">
        <f>IF(P64=0,0,IF(Timing浏览!$D$5="全部",1,IF(Timing浏览!$D$5="仅里程碑",IF(K64="里程碑",1,0),IF(L64&lt;=VALUE(LEFT(Timing浏览!$D$5,1)),1,0))))</f>
        <v>0</v>
      </c>
      <c r="U64" s="1" t="str">
        <f>IF(T64=0,"",COUNTIFS($S$10:$S$109,"&lt;"&amp;S64,$T$10:$T$109,1)+1)</f>
        <v/>
      </c>
      <c r="V64" s="1" t="str">
        <f>IF(OR(A64="",L64=1),"",IF(L64=2,TEXT(AB64,"0"),TEXT(AB64,"0")&amp;"."&amp;TEXT(AC64,"0")))</f>
        <v/>
      </c>
      <c r="W64" s="1" t="str">
        <f>IF(OR(A64="",L64=1),"",TEXT(AB64,"0"))</f>
        <v/>
      </c>
      <c r="X64" s="1" t="str">
        <f>IF(AND(A64="",B64=""),"",IF(OR(A64="",B64=""),"请补编号和名称",IF(AE64=0,"编号需为1至3级正整数",IF(COUNTIFS($AG$10:$AG$109,"W"&amp;A64)&lt;&gt;1,"编号重复",IF(AND(L64&gt;1,COUNTIFS($AG$10:$AG$109,"W"&amp;V64,$B$10:$B$109,"&lt;&gt;")&lt;&gt;1),"缺少父任务",IF(J64="删除","待删除",IF(P64=0,"父任务已删除或无效",IF(K64="汇总",IF(COUNTIFS($S$10:$S$109,"&gt;"&amp;S64,$S$10:$S$109,"&lt;"&amp;(S64+IF(L64=1,1000000,IF(L64=2,1000,1))),$P$10:$P$109,1)=0,"等待子任务","由下级汇总"),IF(OR(D64="",E64=""),"待补日期",IF(E64&lt;D64,"结束早于开始",IF(AND(I64="里程碑",D64&lt;&gt;E64),"里程碑须同日","")))))))))))</f>
        <v/>
      </c>
      <c r="Y64" s="1">
        <f>IF(AA64=1,D64,100000000)</f>
        <v>100000000</v>
      </c>
      <c r="Z64" s="1">
        <f>IF(AA64=1,E64,0)</f>
        <v>0</v>
      </c>
      <c r="AA64" s="1">
        <f>IF(AND(P64=1,K64&lt;&gt;"汇总",ISNUMBER(F64),OR(I64&lt;&gt;"里程碑",D64=E64)),1,0)</f>
        <v>0</v>
      </c>
      <c r="AB64" s="1">
        <f>IF(A64="",0,IFERROR(VALUE(MID(("W"&amp;A64),2,FIND(".",("W"&amp;A64)&amp;".")-2)),-1))</f>
        <v>0</v>
      </c>
      <c r="AC64" s="1">
        <f>IF(OR(A64="",L64&lt;2),0,IFERROR(VALUE(MID(("W"&amp;A64),FIND(".",("W"&amp;A64))+1,FIND(".",("W"&amp;A64)&amp;".",FIND(".",("W"&amp;A64))+1)-FIND(".",("W"&amp;A64))-1)),-1))</f>
        <v>0</v>
      </c>
      <c r="AD64" s="1">
        <f>IF(OR(A64="",L64&lt;3),0,IFERROR(VALUE(RIGHT(("W"&amp;A64),LEN(("W"&amp;A64))-FIND(".",("W"&amp;A64),FIND(".",("W"&amp;A64))+1))),-1))</f>
        <v>0</v>
      </c>
      <c r="AE64" s="1">
        <f>IF(A64="",0,IF(AND(L64&lt;=3,AB64&gt;=1,AB64&lt;=999,AC64&gt;=0,AC64&lt;=999,AD64&gt;=0,AD64&lt;=999,A64=TEXT(AB64,"0")&amp;IF(L64&gt;1,"."&amp;TEXT(AC64,"0"),"")&amp;IF(L64&gt;2,"."&amp;TEXT(AD64,"0"),""),OR(L64&lt;2,AC64&gt;=1),OR(L64&lt;3,AD64&gt;=1)),1,0))</f>
        <v>0</v>
      </c>
      <c r="AF64" s="1"/>
      <c r="AG64" t="str">
        <f>"W"&amp;A64</f>
        <v>W</v>
      </c>
    </row>
    <row r="65" spans="1:33" ht="16.5">
      <c r="A65" s="12" t="str">
        <f>IF(ROW()-9&gt;ROWS(TimingTasks[WBS]),"",IF(AND(INDEX(TimingTasks[WBS],ROW()-9)="",NOT(ISNUMBER(INDEX(TimingTasks[WBS],ROW()-9)))),"",INDEX(TimingTasks[WBS],ROW()-9)))</f>
        <v/>
      </c>
      <c r="B65" s="10" t="str">
        <f>IF(ROW()-9&gt;ROWS(TimingTasks[WBS]),"",IF(AND(INDEX(TimingTasks[任务名称],ROW()-9)="",NOT(ISNUMBER(INDEX(TimingTasks[任务名称],ROW()-9)))),"",INDEX(TimingTasks[任务名称],ROW()-9)))</f>
        <v/>
      </c>
      <c r="C65" s="10" t="str">
        <f>IF(ROW()-9&gt;ROWS(TimingTasks[WBS]),"",IF(AND(INDEX(TimingTasks[负责人],ROW()-9)="",NOT(ISNUMBER(INDEX(TimingTasks[负责人],ROW()-9)))),"",INDEX(TimingTasks[负责人],ROW()-9)))</f>
        <v/>
      </c>
      <c r="D65" s="11" t="str">
        <f>IF(ROW()-9&gt;ROWS(TimingTasks[WBS]),"",IF(AND(INDEX(TimingTasks[输入开始],ROW()-9)="",NOT(ISNUMBER(INDEX(TimingTasks[输入开始],ROW()-9)))),"",INDEX(TimingTasks[输入开始],ROW()-9)))</f>
        <v/>
      </c>
      <c r="E65" s="11" t="str">
        <f>IF(ROW()-9&gt;ROWS(TimingTasks[WBS]),"",IF(AND(INDEX(TimingTasks[输入结束],ROW()-9)="",NOT(ISNUMBER(INDEX(TimingTasks[输入结束],ROW()-9)))),"",INDEX(TimingTasks[输入结束],ROW()-9)))</f>
        <v/>
      </c>
      <c r="F65" s="1" t="str">
        <f>IF(OR(P65=0,K65="汇总",D65="",E65="",E65&lt;D65),"",IF(I65="里程碑",0,NETWORKDAYS(D65,E65)))</f>
        <v/>
      </c>
      <c r="G65" s="15" t="str">
        <f>IF(ROW()-9&gt;ROWS(TimingTasks[WBS]),"",IF(AND(INDEX(TimingTasks[输入完成度],ROW()-9)="",NOT(ISNUMBER(INDEX(TimingTasks[输入完成度],ROW()-9)))),0,INDEX(TimingTasks[输入完成度],ROW()-9)))</f>
        <v/>
      </c>
      <c r="H65" s="10" t="str">
        <f>IF(ROW()-9&gt;ROWS(TimingTasks[WBS]),"",IF(AND(INDEX(TimingTasks[前置任务 WBS],ROW()-9)="",NOT(ISNUMBER(INDEX(TimingTasks[前置任务 WBS],ROW()-9)))),"",INDEX(TimingTasks[前置任务 WBS],ROW()-9)))</f>
        <v/>
      </c>
      <c r="I65" s="10" t="str">
        <f>IF(ROW()-9&gt;ROWS(TimingTasks[WBS]),"",IF(AND(INDEX(TimingTasks[叶子类型],ROW()-9)="",NOT(ISNUMBER(INDEX(TimingTasks[叶子类型],ROW()-9)))),"普通任务",INDEX(TimingTasks[叶子类型],ROW()-9)))</f>
        <v/>
      </c>
      <c r="J65" s="10" t="str">
        <f>IF(ROW()-9&gt;ROWS(TimingTasks[WBS]),"",IF(AND(INDEX(TimingTasks[操作],ROW()-9)="",NOT(ISNUMBER(INDEX(TimingTasks[操作],ROW()-9)))),"保留",INDEX(TimingTasks[操作],ROW()-9)))</f>
        <v/>
      </c>
      <c r="K65" s="1" t="str">
        <f>IF(P65=0,"",IF(OR(AND(L65=1,D65="",E65="",I65&lt;&gt;"里程碑"),COUNTIFS($S$10:$S$109,"&gt;"&amp;S65,$S$10:$S$109,"&lt;"&amp;(S65+IF(L65=1,1000000,IF(L65=2,1000,1))),$P$10:$P$109,1)&gt;0),"汇总",I65))</f>
        <v/>
      </c>
      <c r="L65" s="1" t="str">
        <f>IF(A65="","",LEN(("W"&amp;A65))-LEN(SUBSTITUTE(("W"&amp;A65),".",""))+1)</f>
        <v/>
      </c>
      <c r="M65" s="3" t="str">
        <f>IF(P65=0,"",IF(K65="汇总",IF(COUNTIFS($S$10:$S$109,"&gt;"&amp;S65,$S$10:$S$109,"&lt;"&amp;(S65+IF(L65=1,1000000,IF(L65=2,1000,1))),$AA$10:$AA$109,1)=0,"",_xlfn.MINIFS($Y$10:$Y$109,$S$10:$S$109,"&gt;"&amp;S65,$S$10:$S$109,"&lt;"&amp;(S65+IF(L65=1,1000000,IF(L65=2,1000,1))),$AA$10:$AA$109,1)),IF(AA65=1,D65,"")))</f>
        <v/>
      </c>
      <c r="N65" s="3" t="str">
        <f>IF(P65=0,"",IF(K65="汇总",IF(COUNTIFS($S$10:$S$109,"&gt;"&amp;S65,$S$10:$S$109,"&lt;"&amp;(S65+IF(L65=1,1000000,IF(L65=2,1000,1))),$AA$10:$AA$109,1)=0,"",_xlfn.MAXIFS($Z$10:$Z$109,$S$10:$S$109,"&gt;"&amp;S65,$S$10:$S$109,"&lt;"&amp;(S65+IF(L65=1,1000000,IF(L65=2,1000,1))),$AA$10:$AA$109,1)),IF(AA65=1,E65,"")))</f>
        <v/>
      </c>
      <c r="O65" s="7" t="str">
        <f>IF(K65="汇总",ROUND((IF(P65=0,"",IF(K65="汇总",IF(SUMIFS($Q$10:$Q$109,$S$10:$S$109,"&gt;"&amp;S65,$S$10:$S$109,"&lt;"&amp;(S65+IF(L65=1,1000000,IF(L65=2,1000,1))))=0,0,SUMIFS($R$10:$R$109,$S$10:$S$109,"&gt;"&amp;S65,$S$10:$S$109,"&lt;"&amp;(S65+IF(L65=1,1000000,IF(L65=2,1000,1))))/SUMIFS($Q$10:$Q$109,$S$10:$S$109,"&gt;"&amp;S65,$S$10:$S$109,"&lt;"&amp;(S65+IF(L65=1,1000000,IF(L65=2,1000,1))))),G65)))*100,0)/100,IF(P65=0,"",IF(K65="汇总",IF(SUMIFS($Q$10:$Q$109,$S$10:$S$109,"&gt;"&amp;S65,$S$10:$S$109,"&lt;"&amp;(S65+IF(L65=1,1000000,IF(L65=2,1000,1))))=0,0,SUMIFS($R$10:$R$109,$S$10:$S$109,"&gt;"&amp;S65,$S$10:$S$109,"&lt;"&amp;(S65+IF(L65=1,1000000,IF(L65=2,1000,1))))/SUMIFS($Q$10:$Q$109,$S$10:$S$109,"&gt;"&amp;S65,$S$10:$S$109,"&lt;"&amp;(S65+IF(L65=1,1000000,IF(L65=2,1000,1))))),G65)))</f>
        <v/>
      </c>
      <c r="P65" s="1">
        <f>IF(OR(A65="",B65="",J65="删除",AE65=0,COUNTIFS($AG$10:$AG$109,"W"&amp;A65)&lt;&gt;1,AND(L65&gt;1,COUNTIFS($AG$10:$AG$109,"W"&amp;V65,$B$10:$B$109,"&lt;&gt;")&lt;&gt;1),AND(L65=3,COUNTIFS($AG$10:$AG$109,"W"&amp;W65,$B$10:$B$109,"&lt;&gt;")&lt;&gt;1),COUNTIFS($AG$10:$AG$109,"W"&amp;V65,$J$10:$J$109,"删除")&gt;0,COUNTIFS($AG$10:$AG$109,"W"&amp;W65,$J$10:$J$109,"删除")&gt;0),0,1)</f>
        <v>0</v>
      </c>
      <c r="Q65" s="1">
        <f>IF(AA65=0,0,IF(I65="里程碑",1,F65))</f>
        <v>0</v>
      </c>
      <c r="R65" s="1">
        <f>IF(AA65=0,0,Q65*G65)</f>
        <v>0</v>
      </c>
      <c r="S65" s="1">
        <f>IF(P65=0,1000000000000000,AB65*1000000+AC65*1000+AD65)</f>
        <v>1000000000000000</v>
      </c>
      <c r="T65" s="1">
        <f>IF(P65=0,0,IF(Timing浏览!$D$5="全部",1,IF(Timing浏览!$D$5="仅里程碑",IF(K65="里程碑",1,0),IF(L65&lt;=VALUE(LEFT(Timing浏览!$D$5,1)),1,0))))</f>
        <v>0</v>
      </c>
      <c r="U65" s="1" t="str">
        <f>IF(T65=0,"",COUNTIFS($S$10:$S$109,"&lt;"&amp;S65,$T$10:$T$109,1)+1)</f>
        <v/>
      </c>
      <c r="V65" s="1" t="str">
        <f>IF(OR(A65="",L65=1),"",IF(L65=2,TEXT(AB65,"0"),TEXT(AB65,"0")&amp;"."&amp;TEXT(AC65,"0")))</f>
        <v/>
      </c>
      <c r="W65" s="1" t="str">
        <f>IF(OR(A65="",L65=1),"",TEXT(AB65,"0"))</f>
        <v/>
      </c>
      <c r="X65" s="1" t="str">
        <f>IF(AND(A65="",B65=""),"",IF(OR(A65="",B65=""),"请补编号和名称",IF(AE65=0,"编号需为1至3级正整数",IF(COUNTIFS($AG$10:$AG$109,"W"&amp;A65)&lt;&gt;1,"编号重复",IF(AND(L65&gt;1,COUNTIFS($AG$10:$AG$109,"W"&amp;V65,$B$10:$B$109,"&lt;&gt;")&lt;&gt;1),"缺少父任务",IF(J65="删除","待删除",IF(P65=0,"父任务已删除或无效",IF(K65="汇总",IF(COUNTIFS($S$10:$S$109,"&gt;"&amp;S65,$S$10:$S$109,"&lt;"&amp;(S65+IF(L65=1,1000000,IF(L65=2,1000,1))),$P$10:$P$109,1)=0,"等待子任务","由下级汇总"),IF(OR(D65="",E65=""),"待补日期",IF(E65&lt;D65,"结束早于开始",IF(AND(I65="里程碑",D65&lt;&gt;E65),"里程碑须同日","")))))))))))</f>
        <v/>
      </c>
      <c r="Y65" s="1">
        <f>IF(AA65=1,D65,100000000)</f>
        <v>100000000</v>
      </c>
      <c r="Z65" s="1">
        <f>IF(AA65=1,E65,0)</f>
        <v>0</v>
      </c>
      <c r="AA65" s="1">
        <f>IF(AND(P65=1,K65&lt;&gt;"汇总",ISNUMBER(F65),OR(I65&lt;&gt;"里程碑",D65=E65)),1,0)</f>
        <v>0</v>
      </c>
      <c r="AB65" s="1">
        <f>IF(A65="",0,IFERROR(VALUE(MID(("W"&amp;A65),2,FIND(".",("W"&amp;A65)&amp;".")-2)),-1))</f>
        <v>0</v>
      </c>
      <c r="AC65" s="1">
        <f>IF(OR(A65="",L65&lt;2),0,IFERROR(VALUE(MID(("W"&amp;A65),FIND(".",("W"&amp;A65))+1,FIND(".",("W"&amp;A65)&amp;".",FIND(".",("W"&amp;A65))+1)-FIND(".",("W"&amp;A65))-1)),-1))</f>
        <v>0</v>
      </c>
      <c r="AD65" s="1">
        <f>IF(OR(A65="",L65&lt;3),0,IFERROR(VALUE(RIGHT(("W"&amp;A65),LEN(("W"&amp;A65))-FIND(".",("W"&amp;A65),FIND(".",("W"&amp;A65))+1))),-1))</f>
        <v>0</v>
      </c>
      <c r="AE65" s="1">
        <f>IF(A65="",0,IF(AND(L65&lt;=3,AB65&gt;=1,AB65&lt;=999,AC65&gt;=0,AC65&lt;=999,AD65&gt;=0,AD65&lt;=999,A65=TEXT(AB65,"0")&amp;IF(L65&gt;1,"."&amp;TEXT(AC65,"0"),"")&amp;IF(L65&gt;2,"."&amp;TEXT(AD65,"0"),""),OR(L65&lt;2,AC65&gt;=1),OR(L65&lt;3,AD65&gt;=1)),1,0))</f>
        <v>0</v>
      </c>
      <c r="AF65" s="1"/>
      <c r="AG65" t="str">
        <f>"W"&amp;A65</f>
        <v>W</v>
      </c>
    </row>
    <row r="66" spans="1:33" ht="16.5">
      <c r="A66" s="12" t="str">
        <f>IF(ROW()-9&gt;ROWS(TimingTasks[WBS]),"",IF(AND(INDEX(TimingTasks[WBS],ROW()-9)="",NOT(ISNUMBER(INDEX(TimingTasks[WBS],ROW()-9)))),"",INDEX(TimingTasks[WBS],ROW()-9)))</f>
        <v/>
      </c>
      <c r="B66" s="10" t="str">
        <f>IF(ROW()-9&gt;ROWS(TimingTasks[WBS]),"",IF(AND(INDEX(TimingTasks[任务名称],ROW()-9)="",NOT(ISNUMBER(INDEX(TimingTasks[任务名称],ROW()-9)))),"",INDEX(TimingTasks[任务名称],ROW()-9)))</f>
        <v/>
      </c>
      <c r="C66" s="10" t="str">
        <f>IF(ROW()-9&gt;ROWS(TimingTasks[WBS]),"",IF(AND(INDEX(TimingTasks[负责人],ROW()-9)="",NOT(ISNUMBER(INDEX(TimingTasks[负责人],ROW()-9)))),"",INDEX(TimingTasks[负责人],ROW()-9)))</f>
        <v/>
      </c>
      <c r="D66" s="11" t="str">
        <f>IF(ROW()-9&gt;ROWS(TimingTasks[WBS]),"",IF(AND(INDEX(TimingTasks[输入开始],ROW()-9)="",NOT(ISNUMBER(INDEX(TimingTasks[输入开始],ROW()-9)))),"",INDEX(TimingTasks[输入开始],ROW()-9)))</f>
        <v/>
      </c>
      <c r="E66" s="11" t="str">
        <f>IF(ROW()-9&gt;ROWS(TimingTasks[WBS]),"",IF(AND(INDEX(TimingTasks[输入结束],ROW()-9)="",NOT(ISNUMBER(INDEX(TimingTasks[输入结束],ROW()-9)))),"",INDEX(TimingTasks[输入结束],ROW()-9)))</f>
        <v/>
      </c>
      <c r="F66" s="1" t="str">
        <f>IF(OR(P66=0,K66="汇总",D66="",E66="",E66&lt;D66),"",IF(I66="里程碑",0,NETWORKDAYS(D66,E66)))</f>
        <v/>
      </c>
      <c r="G66" s="15" t="str">
        <f>IF(ROW()-9&gt;ROWS(TimingTasks[WBS]),"",IF(AND(INDEX(TimingTasks[输入完成度],ROW()-9)="",NOT(ISNUMBER(INDEX(TimingTasks[输入完成度],ROW()-9)))),0,INDEX(TimingTasks[输入完成度],ROW()-9)))</f>
        <v/>
      </c>
      <c r="H66" s="10" t="str">
        <f>IF(ROW()-9&gt;ROWS(TimingTasks[WBS]),"",IF(AND(INDEX(TimingTasks[前置任务 WBS],ROW()-9)="",NOT(ISNUMBER(INDEX(TimingTasks[前置任务 WBS],ROW()-9)))),"",INDEX(TimingTasks[前置任务 WBS],ROW()-9)))</f>
        <v/>
      </c>
      <c r="I66" s="10" t="str">
        <f>IF(ROW()-9&gt;ROWS(TimingTasks[WBS]),"",IF(AND(INDEX(TimingTasks[叶子类型],ROW()-9)="",NOT(ISNUMBER(INDEX(TimingTasks[叶子类型],ROW()-9)))),"普通任务",INDEX(TimingTasks[叶子类型],ROW()-9)))</f>
        <v/>
      </c>
      <c r="J66" s="10" t="str">
        <f>IF(ROW()-9&gt;ROWS(TimingTasks[WBS]),"",IF(AND(INDEX(TimingTasks[操作],ROW()-9)="",NOT(ISNUMBER(INDEX(TimingTasks[操作],ROW()-9)))),"保留",INDEX(TimingTasks[操作],ROW()-9)))</f>
        <v/>
      </c>
      <c r="K66" s="1" t="str">
        <f>IF(P66=0,"",IF(OR(AND(L66=1,D66="",E66="",I66&lt;&gt;"里程碑"),COUNTIFS($S$10:$S$109,"&gt;"&amp;S66,$S$10:$S$109,"&lt;"&amp;(S66+IF(L66=1,1000000,IF(L66=2,1000,1))),$P$10:$P$109,1)&gt;0),"汇总",I66))</f>
        <v/>
      </c>
      <c r="L66" s="1" t="str">
        <f>IF(A66="","",LEN(("W"&amp;A66))-LEN(SUBSTITUTE(("W"&amp;A66),".",""))+1)</f>
        <v/>
      </c>
      <c r="M66" s="3" t="str">
        <f>IF(P66=0,"",IF(K66="汇总",IF(COUNTIFS($S$10:$S$109,"&gt;"&amp;S66,$S$10:$S$109,"&lt;"&amp;(S66+IF(L66=1,1000000,IF(L66=2,1000,1))),$AA$10:$AA$109,1)=0,"",_xlfn.MINIFS($Y$10:$Y$109,$S$10:$S$109,"&gt;"&amp;S66,$S$10:$S$109,"&lt;"&amp;(S66+IF(L66=1,1000000,IF(L66=2,1000,1))),$AA$10:$AA$109,1)),IF(AA66=1,D66,"")))</f>
        <v/>
      </c>
      <c r="N66" s="3" t="str">
        <f>IF(P66=0,"",IF(K66="汇总",IF(COUNTIFS($S$10:$S$109,"&gt;"&amp;S66,$S$10:$S$109,"&lt;"&amp;(S66+IF(L66=1,1000000,IF(L66=2,1000,1))),$AA$10:$AA$109,1)=0,"",_xlfn.MAXIFS($Z$10:$Z$109,$S$10:$S$109,"&gt;"&amp;S66,$S$10:$S$109,"&lt;"&amp;(S66+IF(L66=1,1000000,IF(L66=2,1000,1))),$AA$10:$AA$109,1)),IF(AA66=1,E66,"")))</f>
        <v/>
      </c>
      <c r="O66" s="7" t="str">
        <f>IF(K66="汇总",ROUND((IF(P66=0,"",IF(K66="汇总",IF(SUMIFS($Q$10:$Q$109,$S$10:$S$109,"&gt;"&amp;S66,$S$10:$S$109,"&lt;"&amp;(S66+IF(L66=1,1000000,IF(L66=2,1000,1))))=0,0,SUMIFS($R$10:$R$109,$S$10:$S$109,"&gt;"&amp;S66,$S$10:$S$109,"&lt;"&amp;(S66+IF(L66=1,1000000,IF(L66=2,1000,1))))/SUMIFS($Q$10:$Q$109,$S$10:$S$109,"&gt;"&amp;S66,$S$10:$S$109,"&lt;"&amp;(S66+IF(L66=1,1000000,IF(L66=2,1000,1))))),G66)))*100,0)/100,IF(P66=0,"",IF(K66="汇总",IF(SUMIFS($Q$10:$Q$109,$S$10:$S$109,"&gt;"&amp;S66,$S$10:$S$109,"&lt;"&amp;(S66+IF(L66=1,1000000,IF(L66=2,1000,1))))=0,0,SUMIFS($R$10:$R$109,$S$10:$S$109,"&gt;"&amp;S66,$S$10:$S$109,"&lt;"&amp;(S66+IF(L66=1,1000000,IF(L66=2,1000,1))))/SUMIFS($Q$10:$Q$109,$S$10:$S$109,"&gt;"&amp;S66,$S$10:$S$109,"&lt;"&amp;(S66+IF(L66=1,1000000,IF(L66=2,1000,1))))),G66)))</f>
        <v/>
      </c>
      <c r="P66" s="1">
        <f>IF(OR(A66="",B66="",J66="删除",AE66=0,COUNTIFS($AG$10:$AG$109,"W"&amp;A66)&lt;&gt;1,AND(L66&gt;1,COUNTIFS($AG$10:$AG$109,"W"&amp;V66,$B$10:$B$109,"&lt;&gt;")&lt;&gt;1),AND(L66=3,COUNTIFS($AG$10:$AG$109,"W"&amp;W66,$B$10:$B$109,"&lt;&gt;")&lt;&gt;1),COUNTIFS($AG$10:$AG$109,"W"&amp;V66,$J$10:$J$109,"删除")&gt;0,COUNTIFS($AG$10:$AG$109,"W"&amp;W66,$J$10:$J$109,"删除")&gt;0),0,1)</f>
        <v>0</v>
      </c>
      <c r="Q66" s="1">
        <f>IF(AA66=0,0,IF(I66="里程碑",1,F66))</f>
        <v>0</v>
      </c>
      <c r="R66" s="1">
        <f>IF(AA66=0,0,Q66*G66)</f>
        <v>0</v>
      </c>
      <c r="S66" s="1">
        <f>IF(P66=0,1000000000000000,AB66*1000000+AC66*1000+AD66)</f>
        <v>1000000000000000</v>
      </c>
      <c r="T66" s="1">
        <f>IF(P66=0,0,IF(Timing浏览!$D$5="全部",1,IF(Timing浏览!$D$5="仅里程碑",IF(K66="里程碑",1,0),IF(L66&lt;=VALUE(LEFT(Timing浏览!$D$5,1)),1,0))))</f>
        <v>0</v>
      </c>
      <c r="U66" s="1" t="str">
        <f>IF(T66=0,"",COUNTIFS($S$10:$S$109,"&lt;"&amp;S66,$T$10:$T$109,1)+1)</f>
        <v/>
      </c>
      <c r="V66" s="1" t="str">
        <f>IF(OR(A66="",L66=1),"",IF(L66=2,TEXT(AB66,"0"),TEXT(AB66,"0")&amp;"."&amp;TEXT(AC66,"0")))</f>
        <v/>
      </c>
      <c r="W66" s="1" t="str">
        <f>IF(OR(A66="",L66=1),"",TEXT(AB66,"0"))</f>
        <v/>
      </c>
      <c r="X66" s="1" t="str">
        <f>IF(AND(A66="",B66=""),"",IF(OR(A66="",B66=""),"请补编号和名称",IF(AE66=0,"编号需为1至3级正整数",IF(COUNTIFS($AG$10:$AG$109,"W"&amp;A66)&lt;&gt;1,"编号重复",IF(AND(L66&gt;1,COUNTIFS($AG$10:$AG$109,"W"&amp;V66,$B$10:$B$109,"&lt;&gt;")&lt;&gt;1),"缺少父任务",IF(J66="删除","待删除",IF(P66=0,"父任务已删除或无效",IF(K66="汇总",IF(COUNTIFS($S$10:$S$109,"&gt;"&amp;S66,$S$10:$S$109,"&lt;"&amp;(S66+IF(L66=1,1000000,IF(L66=2,1000,1))),$P$10:$P$109,1)=0,"等待子任务","由下级汇总"),IF(OR(D66="",E66=""),"待补日期",IF(E66&lt;D66,"结束早于开始",IF(AND(I66="里程碑",D66&lt;&gt;E66),"里程碑须同日","")))))))))))</f>
        <v/>
      </c>
      <c r="Y66" s="1">
        <f>IF(AA66=1,D66,100000000)</f>
        <v>100000000</v>
      </c>
      <c r="Z66" s="1">
        <f>IF(AA66=1,E66,0)</f>
        <v>0</v>
      </c>
      <c r="AA66" s="1">
        <f>IF(AND(P66=1,K66&lt;&gt;"汇总",ISNUMBER(F66),OR(I66&lt;&gt;"里程碑",D66=E66)),1,0)</f>
        <v>0</v>
      </c>
      <c r="AB66" s="1">
        <f>IF(A66="",0,IFERROR(VALUE(MID(("W"&amp;A66),2,FIND(".",("W"&amp;A66)&amp;".")-2)),-1))</f>
        <v>0</v>
      </c>
      <c r="AC66" s="1">
        <f>IF(OR(A66="",L66&lt;2),0,IFERROR(VALUE(MID(("W"&amp;A66),FIND(".",("W"&amp;A66))+1,FIND(".",("W"&amp;A66)&amp;".",FIND(".",("W"&amp;A66))+1)-FIND(".",("W"&amp;A66))-1)),-1))</f>
        <v>0</v>
      </c>
      <c r="AD66" s="1">
        <f>IF(OR(A66="",L66&lt;3),0,IFERROR(VALUE(RIGHT(("W"&amp;A66),LEN(("W"&amp;A66))-FIND(".",("W"&amp;A66),FIND(".",("W"&amp;A66))+1))),-1))</f>
        <v>0</v>
      </c>
      <c r="AE66" s="1">
        <f>IF(A66="",0,IF(AND(L66&lt;=3,AB66&gt;=1,AB66&lt;=999,AC66&gt;=0,AC66&lt;=999,AD66&gt;=0,AD66&lt;=999,A66=TEXT(AB66,"0")&amp;IF(L66&gt;1,"."&amp;TEXT(AC66,"0"),"")&amp;IF(L66&gt;2,"."&amp;TEXT(AD66,"0"),""),OR(L66&lt;2,AC66&gt;=1),OR(L66&lt;3,AD66&gt;=1)),1,0))</f>
        <v>0</v>
      </c>
      <c r="AF66" s="1"/>
      <c r="AG66" t="str">
        <f>"W"&amp;A66</f>
        <v>W</v>
      </c>
    </row>
    <row r="67" spans="1:33" ht="16.5">
      <c r="A67" s="12" t="str">
        <f>IF(ROW()-9&gt;ROWS(TimingTasks[WBS]),"",IF(AND(INDEX(TimingTasks[WBS],ROW()-9)="",NOT(ISNUMBER(INDEX(TimingTasks[WBS],ROW()-9)))),"",INDEX(TimingTasks[WBS],ROW()-9)))</f>
        <v/>
      </c>
      <c r="B67" s="10" t="str">
        <f>IF(ROW()-9&gt;ROWS(TimingTasks[WBS]),"",IF(AND(INDEX(TimingTasks[任务名称],ROW()-9)="",NOT(ISNUMBER(INDEX(TimingTasks[任务名称],ROW()-9)))),"",INDEX(TimingTasks[任务名称],ROW()-9)))</f>
        <v/>
      </c>
      <c r="C67" s="10" t="str">
        <f>IF(ROW()-9&gt;ROWS(TimingTasks[WBS]),"",IF(AND(INDEX(TimingTasks[负责人],ROW()-9)="",NOT(ISNUMBER(INDEX(TimingTasks[负责人],ROW()-9)))),"",INDEX(TimingTasks[负责人],ROW()-9)))</f>
        <v/>
      </c>
      <c r="D67" s="11" t="str">
        <f>IF(ROW()-9&gt;ROWS(TimingTasks[WBS]),"",IF(AND(INDEX(TimingTasks[输入开始],ROW()-9)="",NOT(ISNUMBER(INDEX(TimingTasks[输入开始],ROW()-9)))),"",INDEX(TimingTasks[输入开始],ROW()-9)))</f>
        <v/>
      </c>
      <c r="E67" s="11" t="str">
        <f>IF(ROW()-9&gt;ROWS(TimingTasks[WBS]),"",IF(AND(INDEX(TimingTasks[输入结束],ROW()-9)="",NOT(ISNUMBER(INDEX(TimingTasks[输入结束],ROW()-9)))),"",INDEX(TimingTasks[输入结束],ROW()-9)))</f>
        <v/>
      </c>
      <c r="F67" s="1" t="str">
        <f>IF(OR(P67=0,K67="汇总",D67="",E67="",E67&lt;D67),"",IF(I67="里程碑",0,NETWORKDAYS(D67,E67)))</f>
        <v/>
      </c>
      <c r="G67" s="15" t="str">
        <f>IF(ROW()-9&gt;ROWS(TimingTasks[WBS]),"",IF(AND(INDEX(TimingTasks[输入完成度],ROW()-9)="",NOT(ISNUMBER(INDEX(TimingTasks[输入完成度],ROW()-9)))),0,INDEX(TimingTasks[输入完成度],ROW()-9)))</f>
        <v/>
      </c>
      <c r="H67" s="10" t="str">
        <f>IF(ROW()-9&gt;ROWS(TimingTasks[WBS]),"",IF(AND(INDEX(TimingTasks[前置任务 WBS],ROW()-9)="",NOT(ISNUMBER(INDEX(TimingTasks[前置任务 WBS],ROW()-9)))),"",INDEX(TimingTasks[前置任务 WBS],ROW()-9)))</f>
        <v/>
      </c>
      <c r="I67" s="10" t="str">
        <f>IF(ROW()-9&gt;ROWS(TimingTasks[WBS]),"",IF(AND(INDEX(TimingTasks[叶子类型],ROW()-9)="",NOT(ISNUMBER(INDEX(TimingTasks[叶子类型],ROW()-9)))),"普通任务",INDEX(TimingTasks[叶子类型],ROW()-9)))</f>
        <v/>
      </c>
      <c r="J67" s="10" t="str">
        <f>IF(ROW()-9&gt;ROWS(TimingTasks[WBS]),"",IF(AND(INDEX(TimingTasks[操作],ROW()-9)="",NOT(ISNUMBER(INDEX(TimingTasks[操作],ROW()-9)))),"保留",INDEX(TimingTasks[操作],ROW()-9)))</f>
        <v/>
      </c>
      <c r="K67" s="1" t="str">
        <f>IF(P67=0,"",IF(OR(AND(L67=1,D67="",E67="",I67&lt;&gt;"里程碑"),COUNTIFS($S$10:$S$109,"&gt;"&amp;S67,$S$10:$S$109,"&lt;"&amp;(S67+IF(L67=1,1000000,IF(L67=2,1000,1))),$P$10:$P$109,1)&gt;0),"汇总",I67))</f>
        <v/>
      </c>
      <c r="L67" s="1" t="str">
        <f>IF(A67="","",LEN(("W"&amp;A67))-LEN(SUBSTITUTE(("W"&amp;A67),".",""))+1)</f>
        <v/>
      </c>
      <c r="M67" s="3" t="str">
        <f>IF(P67=0,"",IF(K67="汇总",IF(COUNTIFS($S$10:$S$109,"&gt;"&amp;S67,$S$10:$S$109,"&lt;"&amp;(S67+IF(L67=1,1000000,IF(L67=2,1000,1))),$AA$10:$AA$109,1)=0,"",_xlfn.MINIFS($Y$10:$Y$109,$S$10:$S$109,"&gt;"&amp;S67,$S$10:$S$109,"&lt;"&amp;(S67+IF(L67=1,1000000,IF(L67=2,1000,1))),$AA$10:$AA$109,1)),IF(AA67=1,D67,"")))</f>
        <v/>
      </c>
      <c r="N67" s="3" t="str">
        <f>IF(P67=0,"",IF(K67="汇总",IF(COUNTIFS($S$10:$S$109,"&gt;"&amp;S67,$S$10:$S$109,"&lt;"&amp;(S67+IF(L67=1,1000000,IF(L67=2,1000,1))),$AA$10:$AA$109,1)=0,"",_xlfn.MAXIFS($Z$10:$Z$109,$S$10:$S$109,"&gt;"&amp;S67,$S$10:$S$109,"&lt;"&amp;(S67+IF(L67=1,1000000,IF(L67=2,1000,1))),$AA$10:$AA$109,1)),IF(AA67=1,E67,"")))</f>
        <v/>
      </c>
      <c r="O67" s="7" t="str">
        <f>IF(K67="汇总",ROUND((IF(P67=0,"",IF(K67="汇总",IF(SUMIFS($Q$10:$Q$109,$S$10:$S$109,"&gt;"&amp;S67,$S$10:$S$109,"&lt;"&amp;(S67+IF(L67=1,1000000,IF(L67=2,1000,1))))=0,0,SUMIFS($R$10:$R$109,$S$10:$S$109,"&gt;"&amp;S67,$S$10:$S$109,"&lt;"&amp;(S67+IF(L67=1,1000000,IF(L67=2,1000,1))))/SUMIFS($Q$10:$Q$109,$S$10:$S$109,"&gt;"&amp;S67,$S$10:$S$109,"&lt;"&amp;(S67+IF(L67=1,1000000,IF(L67=2,1000,1))))),G67)))*100,0)/100,IF(P67=0,"",IF(K67="汇总",IF(SUMIFS($Q$10:$Q$109,$S$10:$S$109,"&gt;"&amp;S67,$S$10:$S$109,"&lt;"&amp;(S67+IF(L67=1,1000000,IF(L67=2,1000,1))))=0,0,SUMIFS($R$10:$R$109,$S$10:$S$109,"&gt;"&amp;S67,$S$10:$S$109,"&lt;"&amp;(S67+IF(L67=1,1000000,IF(L67=2,1000,1))))/SUMIFS($Q$10:$Q$109,$S$10:$S$109,"&gt;"&amp;S67,$S$10:$S$109,"&lt;"&amp;(S67+IF(L67=1,1000000,IF(L67=2,1000,1))))),G67)))</f>
        <v/>
      </c>
      <c r="P67" s="1">
        <f>IF(OR(A67="",B67="",J67="删除",AE67=0,COUNTIFS($AG$10:$AG$109,"W"&amp;A67)&lt;&gt;1,AND(L67&gt;1,COUNTIFS($AG$10:$AG$109,"W"&amp;V67,$B$10:$B$109,"&lt;&gt;")&lt;&gt;1),AND(L67=3,COUNTIFS($AG$10:$AG$109,"W"&amp;W67,$B$10:$B$109,"&lt;&gt;")&lt;&gt;1),COUNTIFS($AG$10:$AG$109,"W"&amp;V67,$J$10:$J$109,"删除")&gt;0,COUNTIFS($AG$10:$AG$109,"W"&amp;W67,$J$10:$J$109,"删除")&gt;0),0,1)</f>
        <v>0</v>
      </c>
      <c r="Q67" s="1">
        <f>IF(AA67=0,0,IF(I67="里程碑",1,F67))</f>
        <v>0</v>
      </c>
      <c r="R67" s="1">
        <f>IF(AA67=0,0,Q67*G67)</f>
        <v>0</v>
      </c>
      <c r="S67" s="1">
        <f>IF(P67=0,1000000000000000,AB67*1000000+AC67*1000+AD67)</f>
        <v>1000000000000000</v>
      </c>
      <c r="T67" s="1">
        <f>IF(P67=0,0,IF(Timing浏览!$D$5="全部",1,IF(Timing浏览!$D$5="仅里程碑",IF(K67="里程碑",1,0),IF(L67&lt;=VALUE(LEFT(Timing浏览!$D$5,1)),1,0))))</f>
        <v>0</v>
      </c>
      <c r="U67" s="1" t="str">
        <f>IF(T67=0,"",COUNTIFS($S$10:$S$109,"&lt;"&amp;S67,$T$10:$T$109,1)+1)</f>
        <v/>
      </c>
      <c r="V67" s="1" t="str">
        <f>IF(OR(A67="",L67=1),"",IF(L67=2,TEXT(AB67,"0"),TEXT(AB67,"0")&amp;"."&amp;TEXT(AC67,"0")))</f>
        <v/>
      </c>
      <c r="W67" s="1" t="str">
        <f>IF(OR(A67="",L67=1),"",TEXT(AB67,"0"))</f>
        <v/>
      </c>
      <c r="X67" s="1" t="str">
        <f>IF(AND(A67="",B67=""),"",IF(OR(A67="",B67=""),"请补编号和名称",IF(AE67=0,"编号需为1至3级正整数",IF(COUNTIFS($AG$10:$AG$109,"W"&amp;A67)&lt;&gt;1,"编号重复",IF(AND(L67&gt;1,COUNTIFS($AG$10:$AG$109,"W"&amp;V67,$B$10:$B$109,"&lt;&gt;")&lt;&gt;1),"缺少父任务",IF(J67="删除","待删除",IF(P67=0,"父任务已删除或无效",IF(K67="汇总",IF(COUNTIFS($S$10:$S$109,"&gt;"&amp;S67,$S$10:$S$109,"&lt;"&amp;(S67+IF(L67=1,1000000,IF(L67=2,1000,1))),$P$10:$P$109,1)=0,"等待子任务","由下级汇总"),IF(OR(D67="",E67=""),"待补日期",IF(E67&lt;D67,"结束早于开始",IF(AND(I67="里程碑",D67&lt;&gt;E67),"里程碑须同日","")))))))))))</f>
        <v/>
      </c>
      <c r="Y67" s="1">
        <f>IF(AA67=1,D67,100000000)</f>
        <v>100000000</v>
      </c>
      <c r="Z67" s="1">
        <f>IF(AA67=1,E67,0)</f>
        <v>0</v>
      </c>
      <c r="AA67" s="1">
        <f>IF(AND(P67=1,K67&lt;&gt;"汇总",ISNUMBER(F67),OR(I67&lt;&gt;"里程碑",D67=E67)),1,0)</f>
        <v>0</v>
      </c>
      <c r="AB67" s="1">
        <f>IF(A67="",0,IFERROR(VALUE(MID(("W"&amp;A67),2,FIND(".",("W"&amp;A67)&amp;".")-2)),-1))</f>
        <v>0</v>
      </c>
      <c r="AC67" s="1">
        <f>IF(OR(A67="",L67&lt;2),0,IFERROR(VALUE(MID(("W"&amp;A67),FIND(".",("W"&amp;A67))+1,FIND(".",("W"&amp;A67)&amp;".",FIND(".",("W"&amp;A67))+1)-FIND(".",("W"&amp;A67))-1)),-1))</f>
        <v>0</v>
      </c>
      <c r="AD67" s="1">
        <f>IF(OR(A67="",L67&lt;3),0,IFERROR(VALUE(RIGHT(("W"&amp;A67),LEN(("W"&amp;A67))-FIND(".",("W"&amp;A67),FIND(".",("W"&amp;A67))+1))),-1))</f>
        <v>0</v>
      </c>
      <c r="AE67" s="1">
        <f>IF(A67="",0,IF(AND(L67&lt;=3,AB67&gt;=1,AB67&lt;=999,AC67&gt;=0,AC67&lt;=999,AD67&gt;=0,AD67&lt;=999,A67=TEXT(AB67,"0")&amp;IF(L67&gt;1,"."&amp;TEXT(AC67,"0"),"")&amp;IF(L67&gt;2,"."&amp;TEXT(AD67,"0"),""),OR(L67&lt;2,AC67&gt;=1),OR(L67&lt;3,AD67&gt;=1)),1,0))</f>
        <v>0</v>
      </c>
      <c r="AF67" s="1"/>
      <c r="AG67" t="str">
        <f>"W"&amp;A67</f>
        <v>W</v>
      </c>
    </row>
    <row r="68" spans="1:33" ht="16.5">
      <c r="A68" s="12" t="str">
        <f>IF(ROW()-9&gt;ROWS(TimingTasks[WBS]),"",IF(AND(INDEX(TimingTasks[WBS],ROW()-9)="",NOT(ISNUMBER(INDEX(TimingTasks[WBS],ROW()-9)))),"",INDEX(TimingTasks[WBS],ROW()-9)))</f>
        <v/>
      </c>
      <c r="B68" s="10" t="str">
        <f>IF(ROW()-9&gt;ROWS(TimingTasks[WBS]),"",IF(AND(INDEX(TimingTasks[任务名称],ROW()-9)="",NOT(ISNUMBER(INDEX(TimingTasks[任务名称],ROW()-9)))),"",INDEX(TimingTasks[任务名称],ROW()-9)))</f>
        <v/>
      </c>
      <c r="C68" s="10" t="str">
        <f>IF(ROW()-9&gt;ROWS(TimingTasks[WBS]),"",IF(AND(INDEX(TimingTasks[负责人],ROW()-9)="",NOT(ISNUMBER(INDEX(TimingTasks[负责人],ROW()-9)))),"",INDEX(TimingTasks[负责人],ROW()-9)))</f>
        <v/>
      </c>
      <c r="D68" s="11" t="str">
        <f>IF(ROW()-9&gt;ROWS(TimingTasks[WBS]),"",IF(AND(INDEX(TimingTasks[输入开始],ROW()-9)="",NOT(ISNUMBER(INDEX(TimingTasks[输入开始],ROW()-9)))),"",INDEX(TimingTasks[输入开始],ROW()-9)))</f>
        <v/>
      </c>
      <c r="E68" s="11" t="str">
        <f>IF(ROW()-9&gt;ROWS(TimingTasks[WBS]),"",IF(AND(INDEX(TimingTasks[输入结束],ROW()-9)="",NOT(ISNUMBER(INDEX(TimingTasks[输入结束],ROW()-9)))),"",INDEX(TimingTasks[输入结束],ROW()-9)))</f>
        <v/>
      </c>
      <c r="F68" s="1" t="str">
        <f>IF(OR(P68=0,K68="汇总",D68="",E68="",E68&lt;D68),"",IF(I68="里程碑",0,NETWORKDAYS(D68,E68)))</f>
        <v/>
      </c>
      <c r="G68" s="15" t="str">
        <f>IF(ROW()-9&gt;ROWS(TimingTasks[WBS]),"",IF(AND(INDEX(TimingTasks[输入完成度],ROW()-9)="",NOT(ISNUMBER(INDEX(TimingTasks[输入完成度],ROW()-9)))),0,INDEX(TimingTasks[输入完成度],ROW()-9)))</f>
        <v/>
      </c>
      <c r="H68" s="10" t="str">
        <f>IF(ROW()-9&gt;ROWS(TimingTasks[WBS]),"",IF(AND(INDEX(TimingTasks[前置任务 WBS],ROW()-9)="",NOT(ISNUMBER(INDEX(TimingTasks[前置任务 WBS],ROW()-9)))),"",INDEX(TimingTasks[前置任务 WBS],ROW()-9)))</f>
        <v/>
      </c>
      <c r="I68" s="10" t="str">
        <f>IF(ROW()-9&gt;ROWS(TimingTasks[WBS]),"",IF(AND(INDEX(TimingTasks[叶子类型],ROW()-9)="",NOT(ISNUMBER(INDEX(TimingTasks[叶子类型],ROW()-9)))),"普通任务",INDEX(TimingTasks[叶子类型],ROW()-9)))</f>
        <v/>
      </c>
      <c r="J68" s="10" t="str">
        <f>IF(ROW()-9&gt;ROWS(TimingTasks[WBS]),"",IF(AND(INDEX(TimingTasks[操作],ROW()-9)="",NOT(ISNUMBER(INDEX(TimingTasks[操作],ROW()-9)))),"保留",INDEX(TimingTasks[操作],ROW()-9)))</f>
        <v/>
      </c>
      <c r="K68" s="1" t="str">
        <f>IF(P68=0,"",IF(OR(AND(L68=1,D68="",E68="",I68&lt;&gt;"里程碑"),COUNTIFS($S$10:$S$109,"&gt;"&amp;S68,$S$10:$S$109,"&lt;"&amp;(S68+IF(L68=1,1000000,IF(L68=2,1000,1))),$P$10:$P$109,1)&gt;0),"汇总",I68))</f>
        <v/>
      </c>
      <c r="L68" s="1" t="str">
        <f>IF(A68="","",LEN(("W"&amp;A68))-LEN(SUBSTITUTE(("W"&amp;A68),".",""))+1)</f>
        <v/>
      </c>
      <c r="M68" s="3" t="str">
        <f>IF(P68=0,"",IF(K68="汇总",IF(COUNTIFS($S$10:$S$109,"&gt;"&amp;S68,$S$10:$S$109,"&lt;"&amp;(S68+IF(L68=1,1000000,IF(L68=2,1000,1))),$AA$10:$AA$109,1)=0,"",_xlfn.MINIFS($Y$10:$Y$109,$S$10:$S$109,"&gt;"&amp;S68,$S$10:$S$109,"&lt;"&amp;(S68+IF(L68=1,1000000,IF(L68=2,1000,1))),$AA$10:$AA$109,1)),IF(AA68=1,D68,"")))</f>
        <v/>
      </c>
      <c r="N68" s="3" t="str">
        <f>IF(P68=0,"",IF(K68="汇总",IF(COUNTIFS($S$10:$S$109,"&gt;"&amp;S68,$S$10:$S$109,"&lt;"&amp;(S68+IF(L68=1,1000000,IF(L68=2,1000,1))),$AA$10:$AA$109,1)=0,"",_xlfn.MAXIFS($Z$10:$Z$109,$S$10:$S$109,"&gt;"&amp;S68,$S$10:$S$109,"&lt;"&amp;(S68+IF(L68=1,1000000,IF(L68=2,1000,1))),$AA$10:$AA$109,1)),IF(AA68=1,E68,"")))</f>
        <v/>
      </c>
      <c r="O68" s="7" t="str">
        <f>IF(K68="汇总",ROUND((IF(P68=0,"",IF(K68="汇总",IF(SUMIFS($Q$10:$Q$109,$S$10:$S$109,"&gt;"&amp;S68,$S$10:$S$109,"&lt;"&amp;(S68+IF(L68=1,1000000,IF(L68=2,1000,1))))=0,0,SUMIFS($R$10:$R$109,$S$10:$S$109,"&gt;"&amp;S68,$S$10:$S$109,"&lt;"&amp;(S68+IF(L68=1,1000000,IF(L68=2,1000,1))))/SUMIFS($Q$10:$Q$109,$S$10:$S$109,"&gt;"&amp;S68,$S$10:$S$109,"&lt;"&amp;(S68+IF(L68=1,1000000,IF(L68=2,1000,1))))),G68)))*100,0)/100,IF(P68=0,"",IF(K68="汇总",IF(SUMIFS($Q$10:$Q$109,$S$10:$S$109,"&gt;"&amp;S68,$S$10:$S$109,"&lt;"&amp;(S68+IF(L68=1,1000000,IF(L68=2,1000,1))))=0,0,SUMIFS($R$10:$R$109,$S$10:$S$109,"&gt;"&amp;S68,$S$10:$S$109,"&lt;"&amp;(S68+IF(L68=1,1000000,IF(L68=2,1000,1))))/SUMIFS($Q$10:$Q$109,$S$10:$S$109,"&gt;"&amp;S68,$S$10:$S$109,"&lt;"&amp;(S68+IF(L68=1,1000000,IF(L68=2,1000,1))))),G68)))</f>
        <v/>
      </c>
      <c r="P68" s="1">
        <f>IF(OR(A68="",B68="",J68="删除",AE68=0,COUNTIFS($AG$10:$AG$109,"W"&amp;A68)&lt;&gt;1,AND(L68&gt;1,COUNTIFS($AG$10:$AG$109,"W"&amp;V68,$B$10:$B$109,"&lt;&gt;")&lt;&gt;1),AND(L68=3,COUNTIFS($AG$10:$AG$109,"W"&amp;W68,$B$10:$B$109,"&lt;&gt;")&lt;&gt;1),COUNTIFS($AG$10:$AG$109,"W"&amp;V68,$J$10:$J$109,"删除")&gt;0,COUNTIFS($AG$10:$AG$109,"W"&amp;W68,$J$10:$J$109,"删除")&gt;0),0,1)</f>
        <v>0</v>
      </c>
      <c r="Q68" s="1">
        <f>IF(AA68=0,0,IF(I68="里程碑",1,F68))</f>
        <v>0</v>
      </c>
      <c r="R68" s="1">
        <f>IF(AA68=0,0,Q68*G68)</f>
        <v>0</v>
      </c>
      <c r="S68" s="1">
        <f>IF(P68=0,1000000000000000,AB68*1000000+AC68*1000+AD68)</f>
        <v>1000000000000000</v>
      </c>
      <c r="T68" s="1">
        <f>IF(P68=0,0,IF(Timing浏览!$D$5="全部",1,IF(Timing浏览!$D$5="仅里程碑",IF(K68="里程碑",1,0),IF(L68&lt;=VALUE(LEFT(Timing浏览!$D$5,1)),1,0))))</f>
        <v>0</v>
      </c>
      <c r="U68" s="1" t="str">
        <f>IF(T68=0,"",COUNTIFS($S$10:$S$109,"&lt;"&amp;S68,$T$10:$T$109,1)+1)</f>
        <v/>
      </c>
      <c r="V68" s="1" t="str">
        <f>IF(OR(A68="",L68=1),"",IF(L68=2,TEXT(AB68,"0"),TEXT(AB68,"0")&amp;"."&amp;TEXT(AC68,"0")))</f>
        <v/>
      </c>
      <c r="W68" s="1" t="str">
        <f>IF(OR(A68="",L68=1),"",TEXT(AB68,"0"))</f>
        <v/>
      </c>
      <c r="X68" s="1" t="str">
        <f>IF(AND(A68="",B68=""),"",IF(OR(A68="",B68=""),"请补编号和名称",IF(AE68=0,"编号需为1至3级正整数",IF(COUNTIFS($AG$10:$AG$109,"W"&amp;A68)&lt;&gt;1,"编号重复",IF(AND(L68&gt;1,COUNTIFS($AG$10:$AG$109,"W"&amp;V68,$B$10:$B$109,"&lt;&gt;")&lt;&gt;1),"缺少父任务",IF(J68="删除","待删除",IF(P68=0,"父任务已删除或无效",IF(K68="汇总",IF(COUNTIFS($S$10:$S$109,"&gt;"&amp;S68,$S$10:$S$109,"&lt;"&amp;(S68+IF(L68=1,1000000,IF(L68=2,1000,1))),$P$10:$P$109,1)=0,"等待子任务","由下级汇总"),IF(OR(D68="",E68=""),"待补日期",IF(E68&lt;D68,"结束早于开始",IF(AND(I68="里程碑",D68&lt;&gt;E68),"里程碑须同日","")))))))))))</f>
        <v/>
      </c>
      <c r="Y68" s="1">
        <f>IF(AA68=1,D68,100000000)</f>
        <v>100000000</v>
      </c>
      <c r="Z68" s="1">
        <f>IF(AA68=1,E68,0)</f>
        <v>0</v>
      </c>
      <c r="AA68" s="1">
        <f>IF(AND(P68=1,K68&lt;&gt;"汇总",ISNUMBER(F68),OR(I68&lt;&gt;"里程碑",D68=E68)),1,0)</f>
        <v>0</v>
      </c>
      <c r="AB68" s="1">
        <f>IF(A68="",0,IFERROR(VALUE(MID(("W"&amp;A68),2,FIND(".",("W"&amp;A68)&amp;".")-2)),-1))</f>
        <v>0</v>
      </c>
      <c r="AC68" s="1">
        <f>IF(OR(A68="",L68&lt;2),0,IFERROR(VALUE(MID(("W"&amp;A68),FIND(".",("W"&amp;A68))+1,FIND(".",("W"&amp;A68)&amp;".",FIND(".",("W"&amp;A68))+1)-FIND(".",("W"&amp;A68))-1)),-1))</f>
        <v>0</v>
      </c>
      <c r="AD68" s="1">
        <f>IF(OR(A68="",L68&lt;3),0,IFERROR(VALUE(RIGHT(("W"&amp;A68),LEN(("W"&amp;A68))-FIND(".",("W"&amp;A68),FIND(".",("W"&amp;A68))+1))),-1))</f>
        <v>0</v>
      </c>
      <c r="AE68" s="1">
        <f>IF(A68="",0,IF(AND(L68&lt;=3,AB68&gt;=1,AB68&lt;=999,AC68&gt;=0,AC68&lt;=999,AD68&gt;=0,AD68&lt;=999,A68=TEXT(AB68,"0")&amp;IF(L68&gt;1,"."&amp;TEXT(AC68,"0"),"")&amp;IF(L68&gt;2,"."&amp;TEXT(AD68,"0"),""),OR(L68&lt;2,AC68&gt;=1),OR(L68&lt;3,AD68&gt;=1)),1,0))</f>
        <v>0</v>
      </c>
      <c r="AF68" s="1"/>
      <c r="AG68" t="str">
        <f>"W"&amp;A68</f>
        <v>W</v>
      </c>
    </row>
    <row r="69" spans="1:33" ht="16.5">
      <c r="A69" s="12" t="str">
        <f>IF(ROW()-9&gt;ROWS(TimingTasks[WBS]),"",IF(AND(INDEX(TimingTasks[WBS],ROW()-9)="",NOT(ISNUMBER(INDEX(TimingTasks[WBS],ROW()-9)))),"",INDEX(TimingTasks[WBS],ROW()-9)))</f>
        <v/>
      </c>
      <c r="B69" s="10" t="str">
        <f>IF(ROW()-9&gt;ROWS(TimingTasks[WBS]),"",IF(AND(INDEX(TimingTasks[任务名称],ROW()-9)="",NOT(ISNUMBER(INDEX(TimingTasks[任务名称],ROW()-9)))),"",INDEX(TimingTasks[任务名称],ROW()-9)))</f>
        <v/>
      </c>
      <c r="C69" s="10" t="str">
        <f>IF(ROW()-9&gt;ROWS(TimingTasks[WBS]),"",IF(AND(INDEX(TimingTasks[负责人],ROW()-9)="",NOT(ISNUMBER(INDEX(TimingTasks[负责人],ROW()-9)))),"",INDEX(TimingTasks[负责人],ROW()-9)))</f>
        <v/>
      </c>
      <c r="D69" s="11" t="str">
        <f>IF(ROW()-9&gt;ROWS(TimingTasks[WBS]),"",IF(AND(INDEX(TimingTasks[输入开始],ROW()-9)="",NOT(ISNUMBER(INDEX(TimingTasks[输入开始],ROW()-9)))),"",INDEX(TimingTasks[输入开始],ROW()-9)))</f>
        <v/>
      </c>
      <c r="E69" s="11" t="str">
        <f>IF(ROW()-9&gt;ROWS(TimingTasks[WBS]),"",IF(AND(INDEX(TimingTasks[输入结束],ROW()-9)="",NOT(ISNUMBER(INDEX(TimingTasks[输入结束],ROW()-9)))),"",INDEX(TimingTasks[输入结束],ROW()-9)))</f>
        <v/>
      </c>
      <c r="F69" s="1" t="str">
        <f>IF(OR(P69=0,K69="汇总",D69="",E69="",E69&lt;D69),"",IF(I69="里程碑",0,NETWORKDAYS(D69,E69)))</f>
        <v/>
      </c>
      <c r="G69" s="15" t="str">
        <f>IF(ROW()-9&gt;ROWS(TimingTasks[WBS]),"",IF(AND(INDEX(TimingTasks[输入完成度],ROW()-9)="",NOT(ISNUMBER(INDEX(TimingTasks[输入完成度],ROW()-9)))),0,INDEX(TimingTasks[输入完成度],ROW()-9)))</f>
        <v/>
      </c>
      <c r="H69" s="10" t="str">
        <f>IF(ROW()-9&gt;ROWS(TimingTasks[WBS]),"",IF(AND(INDEX(TimingTasks[前置任务 WBS],ROW()-9)="",NOT(ISNUMBER(INDEX(TimingTasks[前置任务 WBS],ROW()-9)))),"",INDEX(TimingTasks[前置任务 WBS],ROW()-9)))</f>
        <v/>
      </c>
      <c r="I69" s="10" t="str">
        <f>IF(ROW()-9&gt;ROWS(TimingTasks[WBS]),"",IF(AND(INDEX(TimingTasks[叶子类型],ROW()-9)="",NOT(ISNUMBER(INDEX(TimingTasks[叶子类型],ROW()-9)))),"普通任务",INDEX(TimingTasks[叶子类型],ROW()-9)))</f>
        <v/>
      </c>
      <c r="J69" s="10" t="str">
        <f>IF(ROW()-9&gt;ROWS(TimingTasks[WBS]),"",IF(AND(INDEX(TimingTasks[操作],ROW()-9)="",NOT(ISNUMBER(INDEX(TimingTasks[操作],ROW()-9)))),"保留",INDEX(TimingTasks[操作],ROW()-9)))</f>
        <v/>
      </c>
      <c r="K69" s="1" t="str">
        <f>IF(P69=0,"",IF(OR(AND(L69=1,D69="",E69="",I69&lt;&gt;"里程碑"),COUNTIFS($S$10:$S$109,"&gt;"&amp;S69,$S$10:$S$109,"&lt;"&amp;(S69+IF(L69=1,1000000,IF(L69=2,1000,1))),$P$10:$P$109,1)&gt;0),"汇总",I69))</f>
        <v/>
      </c>
      <c r="L69" s="1" t="str">
        <f>IF(A69="","",LEN(("W"&amp;A69))-LEN(SUBSTITUTE(("W"&amp;A69),".",""))+1)</f>
        <v/>
      </c>
      <c r="M69" s="3" t="str">
        <f>IF(P69=0,"",IF(K69="汇总",IF(COUNTIFS($S$10:$S$109,"&gt;"&amp;S69,$S$10:$S$109,"&lt;"&amp;(S69+IF(L69=1,1000000,IF(L69=2,1000,1))),$AA$10:$AA$109,1)=0,"",_xlfn.MINIFS($Y$10:$Y$109,$S$10:$S$109,"&gt;"&amp;S69,$S$10:$S$109,"&lt;"&amp;(S69+IF(L69=1,1000000,IF(L69=2,1000,1))),$AA$10:$AA$109,1)),IF(AA69=1,D69,"")))</f>
        <v/>
      </c>
      <c r="N69" s="3" t="str">
        <f>IF(P69=0,"",IF(K69="汇总",IF(COUNTIFS($S$10:$S$109,"&gt;"&amp;S69,$S$10:$S$109,"&lt;"&amp;(S69+IF(L69=1,1000000,IF(L69=2,1000,1))),$AA$10:$AA$109,1)=0,"",_xlfn.MAXIFS($Z$10:$Z$109,$S$10:$S$109,"&gt;"&amp;S69,$S$10:$S$109,"&lt;"&amp;(S69+IF(L69=1,1000000,IF(L69=2,1000,1))),$AA$10:$AA$109,1)),IF(AA69=1,E69,"")))</f>
        <v/>
      </c>
      <c r="O69" s="7" t="str">
        <f>IF(K69="汇总",ROUND((IF(P69=0,"",IF(K69="汇总",IF(SUMIFS($Q$10:$Q$109,$S$10:$S$109,"&gt;"&amp;S69,$S$10:$S$109,"&lt;"&amp;(S69+IF(L69=1,1000000,IF(L69=2,1000,1))))=0,0,SUMIFS($R$10:$R$109,$S$10:$S$109,"&gt;"&amp;S69,$S$10:$S$109,"&lt;"&amp;(S69+IF(L69=1,1000000,IF(L69=2,1000,1))))/SUMIFS($Q$10:$Q$109,$S$10:$S$109,"&gt;"&amp;S69,$S$10:$S$109,"&lt;"&amp;(S69+IF(L69=1,1000000,IF(L69=2,1000,1))))),G69)))*100,0)/100,IF(P69=0,"",IF(K69="汇总",IF(SUMIFS($Q$10:$Q$109,$S$10:$S$109,"&gt;"&amp;S69,$S$10:$S$109,"&lt;"&amp;(S69+IF(L69=1,1000000,IF(L69=2,1000,1))))=0,0,SUMIFS($R$10:$R$109,$S$10:$S$109,"&gt;"&amp;S69,$S$10:$S$109,"&lt;"&amp;(S69+IF(L69=1,1000000,IF(L69=2,1000,1))))/SUMIFS($Q$10:$Q$109,$S$10:$S$109,"&gt;"&amp;S69,$S$10:$S$109,"&lt;"&amp;(S69+IF(L69=1,1000000,IF(L69=2,1000,1))))),G69)))</f>
        <v/>
      </c>
      <c r="P69" s="1">
        <f>IF(OR(A69="",B69="",J69="删除",AE69=0,COUNTIFS($AG$10:$AG$109,"W"&amp;A69)&lt;&gt;1,AND(L69&gt;1,COUNTIFS($AG$10:$AG$109,"W"&amp;V69,$B$10:$B$109,"&lt;&gt;")&lt;&gt;1),AND(L69=3,COUNTIFS($AG$10:$AG$109,"W"&amp;W69,$B$10:$B$109,"&lt;&gt;")&lt;&gt;1),COUNTIFS($AG$10:$AG$109,"W"&amp;V69,$J$10:$J$109,"删除")&gt;0,COUNTIFS($AG$10:$AG$109,"W"&amp;W69,$J$10:$J$109,"删除")&gt;0),0,1)</f>
        <v>0</v>
      </c>
      <c r="Q69" s="1">
        <f>IF(AA69=0,0,IF(I69="里程碑",1,F69))</f>
        <v>0</v>
      </c>
      <c r="R69" s="1">
        <f>IF(AA69=0,0,Q69*G69)</f>
        <v>0</v>
      </c>
      <c r="S69" s="1">
        <f>IF(P69=0,1000000000000000,AB69*1000000+AC69*1000+AD69)</f>
        <v>1000000000000000</v>
      </c>
      <c r="T69" s="1">
        <f>IF(P69=0,0,IF(Timing浏览!$D$5="全部",1,IF(Timing浏览!$D$5="仅里程碑",IF(K69="里程碑",1,0),IF(L69&lt;=VALUE(LEFT(Timing浏览!$D$5,1)),1,0))))</f>
        <v>0</v>
      </c>
      <c r="U69" s="1" t="str">
        <f>IF(T69=0,"",COUNTIFS($S$10:$S$109,"&lt;"&amp;S69,$T$10:$T$109,1)+1)</f>
        <v/>
      </c>
      <c r="V69" s="1" t="str">
        <f>IF(OR(A69="",L69=1),"",IF(L69=2,TEXT(AB69,"0"),TEXT(AB69,"0")&amp;"."&amp;TEXT(AC69,"0")))</f>
        <v/>
      </c>
      <c r="W69" s="1" t="str">
        <f>IF(OR(A69="",L69=1),"",TEXT(AB69,"0"))</f>
        <v/>
      </c>
      <c r="X69" s="1" t="str">
        <f>IF(AND(A69="",B69=""),"",IF(OR(A69="",B69=""),"请补编号和名称",IF(AE69=0,"编号需为1至3级正整数",IF(COUNTIFS($AG$10:$AG$109,"W"&amp;A69)&lt;&gt;1,"编号重复",IF(AND(L69&gt;1,COUNTIFS($AG$10:$AG$109,"W"&amp;V69,$B$10:$B$109,"&lt;&gt;")&lt;&gt;1),"缺少父任务",IF(J69="删除","待删除",IF(P69=0,"父任务已删除或无效",IF(K69="汇总",IF(COUNTIFS($S$10:$S$109,"&gt;"&amp;S69,$S$10:$S$109,"&lt;"&amp;(S69+IF(L69=1,1000000,IF(L69=2,1000,1))),$P$10:$P$109,1)=0,"等待子任务","由下级汇总"),IF(OR(D69="",E69=""),"待补日期",IF(E69&lt;D69,"结束早于开始",IF(AND(I69="里程碑",D69&lt;&gt;E69),"里程碑须同日","")))))))))))</f>
        <v/>
      </c>
      <c r="Y69" s="1">
        <f>IF(AA69=1,D69,100000000)</f>
        <v>100000000</v>
      </c>
      <c r="Z69" s="1">
        <f>IF(AA69=1,E69,0)</f>
        <v>0</v>
      </c>
      <c r="AA69" s="1">
        <f>IF(AND(P69=1,K69&lt;&gt;"汇总",ISNUMBER(F69),OR(I69&lt;&gt;"里程碑",D69=E69)),1,0)</f>
        <v>0</v>
      </c>
      <c r="AB69" s="1">
        <f>IF(A69="",0,IFERROR(VALUE(MID(("W"&amp;A69),2,FIND(".",("W"&amp;A69)&amp;".")-2)),-1))</f>
        <v>0</v>
      </c>
      <c r="AC69" s="1">
        <f>IF(OR(A69="",L69&lt;2),0,IFERROR(VALUE(MID(("W"&amp;A69),FIND(".",("W"&amp;A69))+1,FIND(".",("W"&amp;A69)&amp;".",FIND(".",("W"&amp;A69))+1)-FIND(".",("W"&amp;A69))-1)),-1))</f>
        <v>0</v>
      </c>
      <c r="AD69" s="1">
        <f>IF(OR(A69="",L69&lt;3),0,IFERROR(VALUE(RIGHT(("W"&amp;A69),LEN(("W"&amp;A69))-FIND(".",("W"&amp;A69),FIND(".",("W"&amp;A69))+1))),-1))</f>
        <v>0</v>
      </c>
      <c r="AE69" s="1">
        <f>IF(A69="",0,IF(AND(L69&lt;=3,AB69&gt;=1,AB69&lt;=999,AC69&gt;=0,AC69&lt;=999,AD69&gt;=0,AD69&lt;=999,A69=TEXT(AB69,"0")&amp;IF(L69&gt;1,"."&amp;TEXT(AC69,"0"),"")&amp;IF(L69&gt;2,"."&amp;TEXT(AD69,"0"),""),OR(L69&lt;2,AC69&gt;=1),OR(L69&lt;3,AD69&gt;=1)),1,0))</f>
        <v>0</v>
      </c>
      <c r="AF69" s="1"/>
      <c r="AG69" t="str">
        <f>"W"&amp;A69</f>
        <v>W</v>
      </c>
    </row>
    <row r="70" spans="1:33" ht="16.5">
      <c r="A70" s="12" t="str">
        <f>IF(ROW()-9&gt;ROWS(TimingTasks[WBS]),"",IF(AND(INDEX(TimingTasks[WBS],ROW()-9)="",NOT(ISNUMBER(INDEX(TimingTasks[WBS],ROW()-9)))),"",INDEX(TimingTasks[WBS],ROW()-9)))</f>
        <v/>
      </c>
      <c r="B70" s="10" t="str">
        <f>IF(ROW()-9&gt;ROWS(TimingTasks[WBS]),"",IF(AND(INDEX(TimingTasks[任务名称],ROW()-9)="",NOT(ISNUMBER(INDEX(TimingTasks[任务名称],ROW()-9)))),"",INDEX(TimingTasks[任务名称],ROW()-9)))</f>
        <v/>
      </c>
      <c r="C70" s="10" t="str">
        <f>IF(ROW()-9&gt;ROWS(TimingTasks[WBS]),"",IF(AND(INDEX(TimingTasks[负责人],ROW()-9)="",NOT(ISNUMBER(INDEX(TimingTasks[负责人],ROW()-9)))),"",INDEX(TimingTasks[负责人],ROW()-9)))</f>
        <v/>
      </c>
      <c r="D70" s="11" t="str">
        <f>IF(ROW()-9&gt;ROWS(TimingTasks[WBS]),"",IF(AND(INDEX(TimingTasks[输入开始],ROW()-9)="",NOT(ISNUMBER(INDEX(TimingTasks[输入开始],ROW()-9)))),"",INDEX(TimingTasks[输入开始],ROW()-9)))</f>
        <v/>
      </c>
      <c r="E70" s="11" t="str">
        <f>IF(ROW()-9&gt;ROWS(TimingTasks[WBS]),"",IF(AND(INDEX(TimingTasks[输入结束],ROW()-9)="",NOT(ISNUMBER(INDEX(TimingTasks[输入结束],ROW()-9)))),"",INDEX(TimingTasks[输入结束],ROW()-9)))</f>
        <v/>
      </c>
      <c r="F70" s="1" t="str">
        <f>IF(OR(P70=0,K70="汇总",D70="",E70="",E70&lt;D70),"",IF(I70="里程碑",0,NETWORKDAYS(D70,E70)))</f>
        <v/>
      </c>
      <c r="G70" s="15" t="str">
        <f>IF(ROW()-9&gt;ROWS(TimingTasks[WBS]),"",IF(AND(INDEX(TimingTasks[输入完成度],ROW()-9)="",NOT(ISNUMBER(INDEX(TimingTasks[输入完成度],ROW()-9)))),0,INDEX(TimingTasks[输入完成度],ROW()-9)))</f>
        <v/>
      </c>
      <c r="H70" s="10" t="str">
        <f>IF(ROW()-9&gt;ROWS(TimingTasks[WBS]),"",IF(AND(INDEX(TimingTasks[前置任务 WBS],ROW()-9)="",NOT(ISNUMBER(INDEX(TimingTasks[前置任务 WBS],ROW()-9)))),"",INDEX(TimingTasks[前置任务 WBS],ROW()-9)))</f>
        <v/>
      </c>
      <c r="I70" s="10" t="str">
        <f>IF(ROW()-9&gt;ROWS(TimingTasks[WBS]),"",IF(AND(INDEX(TimingTasks[叶子类型],ROW()-9)="",NOT(ISNUMBER(INDEX(TimingTasks[叶子类型],ROW()-9)))),"普通任务",INDEX(TimingTasks[叶子类型],ROW()-9)))</f>
        <v/>
      </c>
      <c r="J70" s="10" t="str">
        <f>IF(ROW()-9&gt;ROWS(TimingTasks[WBS]),"",IF(AND(INDEX(TimingTasks[操作],ROW()-9)="",NOT(ISNUMBER(INDEX(TimingTasks[操作],ROW()-9)))),"保留",INDEX(TimingTasks[操作],ROW()-9)))</f>
        <v/>
      </c>
      <c r="K70" s="1" t="str">
        <f>IF(P70=0,"",IF(OR(AND(L70=1,D70="",E70="",I70&lt;&gt;"里程碑"),COUNTIFS($S$10:$S$109,"&gt;"&amp;S70,$S$10:$S$109,"&lt;"&amp;(S70+IF(L70=1,1000000,IF(L70=2,1000,1))),$P$10:$P$109,1)&gt;0),"汇总",I70))</f>
        <v/>
      </c>
      <c r="L70" s="1" t="str">
        <f>IF(A70="","",LEN(("W"&amp;A70))-LEN(SUBSTITUTE(("W"&amp;A70),".",""))+1)</f>
        <v/>
      </c>
      <c r="M70" s="3" t="str">
        <f>IF(P70=0,"",IF(K70="汇总",IF(COUNTIFS($S$10:$S$109,"&gt;"&amp;S70,$S$10:$S$109,"&lt;"&amp;(S70+IF(L70=1,1000000,IF(L70=2,1000,1))),$AA$10:$AA$109,1)=0,"",_xlfn.MINIFS($Y$10:$Y$109,$S$10:$S$109,"&gt;"&amp;S70,$S$10:$S$109,"&lt;"&amp;(S70+IF(L70=1,1000000,IF(L70=2,1000,1))),$AA$10:$AA$109,1)),IF(AA70=1,D70,"")))</f>
        <v/>
      </c>
      <c r="N70" s="3" t="str">
        <f>IF(P70=0,"",IF(K70="汇总",IF(COUNTIFS($S$10:$S$109,"&gt;"&amp;S70,$S$10:$S$109,"&lt;"&amp;(S70+IF(L70=1,1000000,IF(L70=2,1000,1))),$AA$10:$AA$109,1)=0,"",_xlfn.MAXIFS($Z$10:$Z$109,$S$10:$S$109,"&gt;"&amp;S70,$S$10:$S$109,"&lt;"&amp;(S70+IF(L70=1,1000000,IF(L70=2,1000,1))),$AA$10:$AA$109,1)),IF(AA70=1,E70,"")))</f>
        <v/>
      </c>
      <c r="O70" s="7" t="str">
        <f>IF(K70="汇总",ROUND((IF(P70=0,"",IF(K70="汇总",IF(SUMIFS($Q$10:$Q$109,$S$10:$S$109,"&gt;"&amp;S70,$S$10:$S$109,"&lt;"&amp;(S70+IF(L70=1,1000000,IF(L70=2,1000,1))))=0,0,SUMIFS($R$10:$R$109,$S$10:$S$109,"&gt;"&amp;S70,$S$10:$S$109,"&lt;"&amp;(S70+IF(L70=1,1000000,IF(L70=2,1000,1))))/SUMIFS($Q$10:$Q$109,$S$10:$S$109,"&gt;"&amp;S70,$S$10:$S$109,"&lt;"&amp;(S70+IF(L70=1,1000000,IF(L70=2,1000,1))))),G70)))*100,0)/100,IF(P70=0,"",IF(K70="汇总",IF(SUMIFS($Q$10:$Q$109,$S$10:$S$109,"&gt;"&amp;S70,$S$10:$S$109,"&lt;"&amp;(S70+IF(L70=1,1000000,IF(L70=2,1000,1))))=0,0,SUMIFS($R$10:$R$109,$S$10:$S$109,"&gt;"&amp;S70,$S$10:$S$109,"&lt;"&amp;(S70+IF(L70=1,1000000,IF(L70=2,1000,1))))/SUMIFS($Q$10:$Q$109,$S$10:$S$109,"&gt;"&amp;S70,$S$10:$S$109,"&lt;"&amp;(S70+IF(L70=1,1000000,IF(L70=2,1000,1))))),G70)))</f>
        <v/>
      </c>
      <c r="P70" s="1">
        <f>IF(OR(A70="",B70="",J70="删除",AE70=0,COUNTIFS($AG$10:$AG$109,"W"&amp;A70)&lt;&gt;1,AND(L70&gt;1,COUNTIFS($AG$10:$AG$109,"W"&amp;V70,$B$10:$B$109,"&lt;&gt;")&lt;&gt;1),AND(L70=3,COUNTIFS($AG$10:$AG$109,"W"&amp;W70,$B$10:$B$109,"&lt;&gt;")&lt;&gt;1),COUNTIFS($AG$10:$AG$109,"W"&amp;V70,$J$10:$J$109,"删除")&gt;0,COUNTIFS($AG$10:$AG$109,"W"&amp;W70,$J$10:$J$109,"删除")&gt;0),0,1)</f>
        <v>0</v>
      </c>
      <c r="Q70" s="1">
        <f>IF(AA70=0,0,IF(I70="里程碑",1,F70))</f>
        <v>0</v>
      </c>
      <c r="R70" s="1">
        <f>IF(AA70=0,0,Q70*G70)</f>
        <v>0</v>
      </c>
      <c r="S70" s="1">
        <f>IF(P70=0,1000000000000000,AB70*1000000+AC70*1000+AD70)</f>
        <v>1000000000000000</v>
      </c>
      <c r="T70" s="1">
        <f>IF(P70=0,0,IF(Timing浏览!$D$5="全部",1,IF(Timing浏览!$D$5="仅里程碑",IF(K70="里程碑",1,0),IF(L70&lt;=VALUE(LEFT(Timing浏览!$D$5,1)),1,0))))</f>
        <v>0</v>
      </c>
      <c r="U70" s="1" t="str">
        <f>IF(T70=0,"",COUNTIFS($S$10:$S$109,"&lt;"&amp;S70,$T$10:$T$109,1)+1)</f>
        <v/>
      </c>
      <c r="V70" s="1" t="str">
        <f>IF(OR(A70="",L70=1),"",IF(L70=2,TEXT(AB70,"0"),TEXT(AB70,"0")&amp;"."&amp;TEXT(AC70,"0")))</f>
        <v/>
      </c>
      <c r="W70" s="1" t="str">
        <f>IF(OR(A70="",L70=1),"",TEXT(AB70,"0"))</f>
        <v/>
      </c>
      <c r="X70" s="1" t="str">
        <f>IF(AND(A70="",B70=""),"",IF(OR(A70="",B70=""),"请补编号和名称",IF(AE70=0,"编号需为1至3级正整数",IF(COUNTIFS($AG$10:$AG$109,"W"&amp;A70)&lt;&gt;1,"编号重复",IF(AND(L70&gt;1,COUNTIFS($AG$10:$AG$109,"W"&amp;V70,$B$10:$B$109,"&lt;&gt;")&lt;&gt;1),"缺少父任务",IF(J70="删除","待删除",IF(P70=0,"父任务已删除或无效",IF(K70="汇总",IF(COUNTIFS($S$10:$S$109,"&gt;"&amp;S70,$S$10:$S$109,"&lt;"&amp;(S70+IF(L70=1,1000000,IF(L70=2,1000,1))),$P$10:$P$109,1)=0,"等待子任务","由下级汇总"),IF(OR(D70="",E70=""),"待补日期",IF(E70&lt;D70,"结束早于开始",IF(AND(I70="里程碑",D70&lt;&gt;E70),"里程碑须同日","")))))))))))</f>
        <v/>
      </c>
      <c r="Y70" s="1">
        <f>IF(AA70=1,D70,100000000)</f>
        <v>100000000</v>
      </c>
      <c r="Z70" s="1">
        <f>IF(AA70=1,E70,0)</f>
        <v>0</v>
      </c>
      <c r="AA70" s="1">
        <f>IF(AND(P70=1,K70&lt;&gt;"汇总",ISNUMBER(F70),OR(I70&lt;&gt;"里程碑",D70=E70)),1,0)</f>
        <v>0</v>
      </c>
      <c r="AB70" s="1">
        <f>IF(A70="",0,IFERROR(VALUE(MID(("W"&amp;A70),2,FIND(".",("W"&amp;A70)&amp;".")-2)),-1))</f>
        <v>0</v>
      </c>
      <c r="AC70" s="1">
        <f>IF(OR(A70="",L70&lt;2),0,IFERROR(VALUE(MID(("W"&amp;A70),FIND(".",("W"&amp;A70))+1,FIND(".",("W"&amp;A70)&amp;".",FIND(".",("W"&amp;A70))+1)-FIND(".",("W"&amp;A70))-1)),-1))</f>
        <v>0</v>
      </c>
      <c r="AD70" s="1">
        <f>IF(OR(A70="",L70&lt;3),0,IFERROR(VALUE(RIGHT(("W"&amp;A70),LEN(("W"&amp;A70))-FIND(".",("W"&amp;A70),FIND(".",("W"&amp;A70))+1))),-1))</f>
        <v>0</v>
      </c>
      <c r="AE70" s="1">
        <f>IF(A70="",0,IF(AND(L70&lt;=3,AB70&gt;=1,AB70&lt;=999,AC70&gt;=0,AC70&lt;=999,AD70&gt;=0,AD70&lt;=999,A70=TEXT(AB70,"0")&amp;IF(L70&gt;1,"."&amp;TEXT(AC70,"0"),"")&amp;IF(L70&gt;2,"."&amp;TEXT(AD70,"0"),""),OR(L70&lt;2,AC70&gt;=1),OR(L70&lt;3,AD70&gt;=1)),1,0))</f>
        <v>0</v>
      </c>
      <c r="AF70" s="1"/>
      <c r="AG70" t="str">
        <f>"W"&amp;A70</f>
        <v>W</v>
      </c>
    </row>
    <row r="71" spans="1:33" ht="16.5">
      <c r="A71" s="12" t="str">
        <f>IF(ROW()-9&gt;ROWS(TimingTasks[WBS]),"",IF(AND(INDEX(TimingTasks[WBS],ROW()-9)="",NOT(ISNUMBER(INDEX(TimingTasks[WBS],ROW()-9)))),"",INDEX(TimingTasks[WBS],ROW()-9)))</f>
        <v/>
      </c>
      <c r="B71" s="10" t="str">
        <f>IF(ROW()-9&gt;ROWS(TimingTasks[WBS]),"",IF(AND(INDEX(TimingTasks[任务名称],ROW()-9)="",NOT(ISNUMBER(INDEX(TimingTasks[任务名称],ROW()-9)))),"",INDEX(TimingTasks[任务名称],ROW()-9)))</f>
        <v/>
      </c>
      <c r="C71" s="10" t="str">
        <f>IF(ROW()-9&gt;ROWS(TimingTasks[WBS]),"",IF(AND(INDEX(TimingTasks[负责人],ROW()-9)="",NOT(ISNUMBER(INDEX(TimingTasks[负责人],ROW()-9)))),"",INDEX(TimingTasks[负责人],ROW()-9)))</f>
        <v/>
      </c>
      <c r="D71" s="11" t="str">
        <f>IF(ROW()-9&gt;ROWS(TimingTasks[WBS]),"",IF(AND(INDEX(TimingTasks[输入开始],ROW()-9)="",NOT(ISNUMBER(INDEX(TimingTasks[输入开始],ROW()-9)))),"",INDEX(TimingTasks[输入开始],ROW()-9)))</f>
        <v/>
      </c>
      <c r="E71" s="11" t="str">
        <f>IF(ROW()-9&gt;ROWS(TimingTasks[WBS]),"",IF(AND(INDEX(TimingTasks[输入结束],ROW()-9)="",NOT(ISNUMBER(INDEX(TimingTasks[输入结束],ROW()-9)))),"",INDEX(TimingTasks[输入结束],ROW()-9)))</f>
        <v/>
      </c>
      <c r="F71" s="1" t="str">
        <f>IF(OR(P71=0,K71="汇总",D71="",E71="",E71&lt;D71),"",IF(I71="里程碑",0,NETWORKDAYS(D71,E71)))</f>
        <v/>
      </c>
      <c r="G71" s="15" t="str">
        <f>IF(ROW()-9&gt;ROWS(TimingTasks[WBS]),"",IF(AND(INDEX(TimingTasks[输入完成度],ROW()-9)="",NOT(ISNUMBER(INDEX(TimingTasks[输入完成度],ROW()-9)))),0,INDEX(TimingTasks[输入完成度],ROW()-9)))</f>
        <v/>
      </c>
      <c r="H71" s="10" t="str">
        <f>IF(ROW()-9&gt;ROWS(TimingTasks[WBS]),"",IF(AND(INDEX(TimingTasks[前置任务 WBS],ROW()-9)="",NOT(ISNUMBER(INDEX(TimingTasks[前置任务 WBS],ROW()-9)))),"",INDEX(TimingTasks[前置任务 WBS],ROW()-9)))</f>
        <v/>
      </c>
      <c r="I71" s="10" t="str">
        <f>IF(ROW()-9&gt;ROWS(TimingTasks[WBS]),"",IF(AND(INDEX(TimingTasks[叶子类型],ROW()-9)="",NOT(ISNUMBER(INDEX(TimingTasks[叶子类型],ROW()-9)))),"普通任务",INDEX(TimingTasks[叶子类型],ROW()-9)))</f>
        <v/>
      </c>
      <c r="J71" s="10" t="str">
        <f>IF(ROW()-9&gt;ROWS(TimingTasks[WBS]),"",IF(AND(INDEX(TimingTasks[操作],ROW()-9)="",NOT(ISNUMBER(INDEX(TimingTasks[操作],ROW()-9)))),"保留",INDEX(TimingTasks[操作],ROW()-9)))</f>
        <v/>
      </c>
      <c r="K71" s="1" t="str">
        <f>IF(P71=0,"",IF(OR(AND(L71=1,D71="",E71="",I71&lt;&gt;"里程碑"),COUNTIFS($S$10:$S$109,"&gt;"&amp;S71,$S$10:$S$109,"&lt;"&amp;(S71+IF(L71=1,1000000,IF(L71=2,1000,1))),$P$10:$P$109,1)&gt;0),"汇总",I71))</f>
        <v/>
      </c>
      <c r="L71" s="1" t="str">
        <f>IF(A71="","",LEN(("W"&amp;A71))-LEN(SUBSTITUTE(("W"&amp;A71),".",""))+1)</f>
        <v/>
      </c>
      <c r="M71" s="3" t="str">
        <f>IF(P71=0,"",IF(K71="汇总",IF(COUNTIFS($S$10:$S$109,"&gt;"&amp;S71,$S$10:$S$109,"&lt;"&amp;(S71+IF(L71=1,1000000,IF(L71=2,1000,1))),$AA$10:$AA$109,1)=0,"",_xlfn.MINIFS($Y$10:$Y$109,$S$10:$S$109,"&gt;"&amp;S71,$S$10:$S$109,"&lt;"&amp;(S71+IF(L71=1,1000000,IF(L71=2,1000,1))),$AA$10:$AA$109,1)),IF(AA71=1,D71,"")))</f>
        <v/>
      </c>
      <c r="N71" s="3" t="str">
        <f>IF(P71=0,"",IF(K71="汇总",IF(COUNTIFS($S$10:$S$109,"&gt;"&amp;S71,$S$10:$S$109,"&lt;"&amp;(S71+IF(L71=1,1000000,IF(L71=2,1000,1))),$AA$10:$AA$109,1)=0,"",_xlfn.MAXIFS($Z$10:$Z$109,$S$10:$S$109,"&gt;"&amp;S71,$S$10:$S$109,"&lt;"&amp;(S71+IF(L71=1,1000000,IF(L71=2,1000,1))),$AA$10:$AA$109,1)),IF(AA71=1,E71,"")))</f>
        <v/>
      </c>
      <c r="O71" s="7" t="str">
        <f>IF(K71="汇总",ROUND((IF(P71=0,"",IF(K71="汇总",IF(SUMIFS($Q$10:$Q$109,$S$10:$S$109,"&gt;"&amp;S71,$S$10:$S$109,"&lt;"&amp;(S71+IF(L71=1,1000000,IF(L71=2,1000,1))))=0,0,SUMIFS($R$10:$R$109,$S$10:$S$109,"&gt;"&amp;S71,$S$10:$S$109,"&lt;"&amp;(S71+IF(L71=1,1000000,IF(L71=2,1000,1))))/SUMIFS($Q$10:$Q$109,$S$10:$S$109,"&gt;"&amp;S71,$S$10:$S$109,"&lt;"&amp;(S71+IF(L71=1,1000000,IF(L71=2,1000,1))))),G71)))*100,0)/100,IF(P71=0,"",IF(K71="汇总",IF(SUMIFS($Q$10:$Q$109,$S$10:$S$109,"&gt;"&amp;S71,$S$10:$S$109,"&lt;"&amp;(S71+IF(L71=1,1000000,IF(L71=2,1000,1))))=0,0,SUMIFS($R$10:$R$109,$S$10:$S$109,"&gt;"&amp;S71,$S$10:$S$109,"&lt;"&amp;(S71+IF(L71=1,1000000,IF(L71=2,1000,1))))/SUMIFS($Q$10:$Q$109,$S$10:$S$109,"&gt;"&amp;S71,$S$10:$S$109,"&lt;"&amp;(S71+IF(L71=1,1000000,IF(L71=2,1000,1))))),G71)))</f>
        <v/>
      </c>
      <c r="P71" s="1">
        <f>IF(OR(A71="",B71="",J71="删除",AE71=0,COUNTIFS($AG$10:$AG$109,"W"&amp;A71)&lt;&gt;1,AND(L71&gt;1,COUNTIFS($AG$10:$AG$109,"W"&amp;V71,$B$10:$B$109,"&lt;&gt;")&lt;&gt;1),AND(L71=3,COUNTIFS($AG$10:$AG$109,"W"&amp;W71,$B$10:$B$109,"&lt;&gt;")&lt;&gt;1),COUNTIFS($AG$10:$AG$109,"W"&amp;V71,$J$10:$J$109,"删除")&gt;0,COUNTIFS($AG$10:$AG$109,"W"&amp;W71,$J$10:$J$109,"删除")&gt;0),0,1)</f>
        <v>0</v>
      </c>
      <c r="Q71" s="1">
        <f>IF(AA71=0,0,IF(I71="里程碑",1,F71))</f>
        <v>0</v>
      </c>
      <c r="R71" s="1">
        <f>IF(AA71=0,0,Q71*G71)</f>
        <v>0</v>
      </c>
      <c r="S71" s="1">
        <f>IF(P71=0,1000000000000000,AB71*1000000+AC71*1000+AD71)</f>
        <v>1000000000000000</v>
      </c>
      <c r="T71" s="1">
        <f>IF(P71=0,0,IF(Timing浏览!$D$5="全部",1,IF(Timing浏览!$D$5="仅里程碑",IF(K71="里程碑",1,0),IF(L71&lt;=VALUE(LEFT(Timing浏览!$D$5,1)),1,0))))</f>
        <v>0</v>
      </c>
      <c r="U71" s="1" t="str">
        <f>IF(T71=0,"",COUNTIFS($S$10:$S$109,"&lt;"&amp;S71,$T$10:$T$109,1)+1)</f>
        <v/>
      </c>
      <c r="V71" s="1" t="str">
        <f>IF(OR(A71="",L71=1),"",IF(L71=2,TEXT(AB71,"0"),TEXT(AB71,"0")&amp;"."&amp;TEXT(AC71,"0")))</f>
        <v/>
      </c>
      <c r="W71" s="1" t="str">
        <f>IF(OR(A71="",L71=1),"",TEXT(AB71,"0"))</f>
        <v/>
      </c>
      <c r="X71" s="1" t="str">
        <f>IF(AND(A71="",B71=""),"",IF(OR(A71="",B71=""),"请补编号和名称",IF(AE71=0,"编号需为1至3级正整数",IF(COUNTIFS($AG$10:$AG$109,"W"&amp;A71)&lt;&gt;1,"编号重复",IF(AND(L71&gt;1,COUNTIFS($AG$10:$AG$109,"W"&amp;V71,$B$10:$B$109,"&lt;&gt;")&lt;&gt;1),"缺少父任务",IF(J71="删除","待删除",IF(P71=0,"父任务已删除或无效",IF(K71="汇总",IF(COUNTIFS($S$10:$S$109,"&gt;"&amp;S71,$S$10:$S$109,"&lt;"&amp;(S71+IF(L71=1,1000000,IF(L71=2,1000,1))),$P$10:$P$109,1)=0,"等待子任务","由下级汇总"),IF(OR(D71="",E71=""),"待补日期",IF(E71&lt;D71,"结束早于开始",IF(AND(I71="里程碑",D71&lt;&gt;E71),"里程碑须同日","")))))))))))</f>
        <v/>
      </c>
      <c r="Y71" s="1">
        <f>IF(AA71=1,D71,100000000)</f>
        <v>100000000</v>
      </c>
      <c r="Z71" s="1">
        <f>IF(AA71=1,E71,0)</f>
        <v>0</v>
      </c>
      <c r="AA71" s="1">
        <f>IF(AND(P71=1,K71&lt;&gt;"汇总",ISNUMBER(F71),OR(I71&lt;&gt;"里程碑",D71=E71)),1,0)</f>
        <v>0</v>
      </c>
      <c r="AB71" s="1">
        <f>IF(A71="",0,IFERROR(VALUE(MID(("W"&amp;A71),2,FIND(".",("W"&amp;A71)&amp;".")-2)),-1))</f>
        <v>0</v>
      </c>
      <c r="AC71" s="1">
        <f>IF(OR(A71="",L71&lt;2),0,IFERROR(VALUE(MID(("W"&amp;A71),FIND(".",("W"&amp;A71))+1,FIND(".",("W"&amp;A71)&amp;".",FIND(".",("W"&amp;A71))+1)-FIND(".",("W"&amp;A71))-1)),-1))</f>
        <v>0</v>
      </c>
      <c r="AD71" s="1">
        <f>IF(OR(A71="",L71&lt;3),0,IFERROR(VALUE(RIGHT(("W"&amp;A71),LEN(("W"&amp;A71))-FIND(".",("W"&amp;A71),FIND(".",("W"&amp;A71))+1))),-1))</f>
        <v>0</v>
      </c>
      <c r="AE71" s="1">
        <f>IF(A71="",0,IF(AND(L71&lt;=3,AB71&gt;=1,AB71&lt;=999,AC71&gt;=0,AC71&lt;=999,AD71&gt;=0,AD71&lt;=999,A71=TEXT(AB71,"0")&amp;IF(L71&gt;1,"."&amp;TEXT(AC71,"0"),"")&amp;IF(L71&gt;2,"."&amp;TEXT(AD71,"0"),""),OR(L71&lt;2,AC71&gt;=1),OR(L71&lt;3,AD71&gt;=1)),1,0))</f>
        <v>0</v>
      </c>
      <c r="AF71" s="1"/>
      <c r="AG71" t="str">
        <f>"W"&amp;A71</f>
        <v>W</v>
      </c>
    </row>
    <row r="72" spans="1:33" ht="16.5">
      <c r="A72" s="12" t="str">
        <f>IF(ROW()-9&gt;ROWS(TimingTasks[WBS]),"",IF(AND(INDEX(TimingTasks[WBS],ROW()-9)="",NOT(ISNUMBER(INDEX(TimingTasks[WBS],ROW()-9)))),"",INDEX(TimingTasks[WBS],ROW()-9)))</f>
        <v/>
      </c>
      <c r="B72" s="10" t="str">
        <f>IF(ROW()-9&gt;ROWS(TimingTasks[WBS]),"",IF(AND(INDEX(TimingTasks[任务名称],ROW()-9)="",NOT(ISNUMBER(INDEX(TimingTasks[任务名称],ROW()-9)))),"",INDEX(TimingTasks[任务名称],ROW()-9)))</f>
        <v/>
      </c>
      <c r="C72" s="10" t="str">
        <f>IF(ROW()-9&gt;ROWS(TimingTasks[WBS]),"",IF(AND(INDEX(TimingTasks[负责人],ROW()-9)="",NOT(ISNUMBER(INDEX(TimingTasks[负责人],ROW()-9)))),"",INDEX(TimingTasks[负责人],ROW()-9)))</f>
        <v/>
      </c>
      <c r="D72" s="11" t="str">
        <f>IF(ROW()-9&gt;ROWS(TimingTasks[WBS]),"",IF(AND(INDEX(TimingTasks[输入开始],ROW()-9)="",NOT(ISNUMBER(INDEX(TimingTasks[输入开始],ROW()-9)))),"",INDEX(TimingTasks[输入开始],ROW()-9)))</f>
        <v/>
      </c>
      <c r="E72" s="11" t="str">
        <f>IF(ROW()-9&gt;ROWS(TimingTasks[WBS]),"",IF(AND(INDEX(TimingTasks[输入结束],ROW()-9)="",NOT(ISNUMBER(INDEX(TimingTasks[输入结束],ROW()-9)))),"",INDEX(TimingTasks[输入结束],ROW()-9)))</f>
        <v/>
      </c>
      <c r="F72" s="1" t="str">
        <f>IF(OR(P72=0,K72="汇总",D72="",E72="",E72&lt;D72),"",IF(I72="里程碑",0,NETWORKDAYS(D72,E72)))</f>
        <v/>
      </c>
      <c r="G72" s="15" t="str">
        <f>IF(ROW()-9&gt;ROWS(TimingTasks[WBS]),"",IF(AND(INDEX(TimingTasks[输入完成度],ROW()-9)="",NOT(ISNUMBER(INDEX(TimingTasks[输入完成度],ROW()-9)))),0,INDEX(TimingTasks[输入完成度],ROW()-9)))</f>
        <v/>
      </c>
      <c r="H72" s="10" t="str">
        <f>IF(ROW()-9&gt;ROWS(TimingTasks[WBS]),"",IF(AND(INDEX(TimingTasks[前置任务 WBS],ROW()-9)="",NOT(ISNUMBER(INDEX(TimingTasks[前置任务 WBS],ROW()-9)))),"",INDEX(TimingTasks[前置任务 WBS],ROW()-9)))</f>
        <v/>
      </c>
      <c r="I72" s="10" t="str">
        <f>IF(ROW()-9&gt;ROWS(TimingTasks[WBS]),"",IF(AND(INDEX(TimingTasks[叶子类型],ROW()-9)="",NOT(ISNUMBER(INDEX(TimingTasks[叶子类型],ROW()-9)))),"普通任务",INDEX(TimingTasks[叶子类型],ROW()-9)))</f>
        <v/>
      </c>
      <c r="J72" s="10" t="str">
        <f>IF(ROW()-9&gt;ROWS(TimingTasks[WBS]),"",IF(AND(INDEX(TimingTasks[操作],ROW()-9)="",NOT(ISNUMBER(INDEX(TimingTasks[操作],ROW()-9)))),"保留",INDEX(TimingTasks[操作],ROW()-9)))</f>
        <v/>
      </c>
      <c r="K72" s="1" t="str">
        <f>IF(P72=0,"",IF(OR(AND(L72=1,D72="",E72="",I72&lt;&gt;"里程碑"),COUNTIFS($S$10:$S$109,"&gt;"&amp;S72,$S$10:$S$109,"&lt;"&amp;(S72+IF(L72=1,1000000,IF(L72=2,1000,1))),$P$10:$P$109,1)&gt;0),"汇总",I72))</f>
        <v/>
      </c>
      <c r="L72" s="1" t="str">
        <f>IF(A72="","",LEN(("W"&amp;A72))-LEN(SUBSTITUTE(("W"&amp;A72),".",""))+1)</f>
        <v/>
      </c>
      <c r="M72" s="3" t="str">
        <f>IF(P72=0,"",IF(K72="汇总",IF(COUNTIFS($S$10:$S$109,"&gt;"&amp;S72,$S$10:$S$109,"&lt;"&amp;(S72+IF(L72=1,1000000,IF(L72=2,1000,1))),$AA$10:$AA$109,1)=0,"",_xlfn.MINIFS($Y$10:$Y$109,$S$10:$S$109,"&gt;"&amp;S72,$S$10:$S$109,"&lt;"&amp;(S72+IF(L72=1,1000000,IF(L72=2,1000,1))),$AA$10:$AA$109,1)),IF(AA72=1,D72,"")))</f>
        <v/>
      </c>
      <c r="N72" s="3" t="str">
        <f>IF(P72=0,"",IF(K72="汇总",IF(COUNTIFS($S$10:$S$109,"&gt;"&amp;S72,$S$10:$S$109,"&lt;"&amp;(S72+IF(L72=1,1000000,IF(L72=2,1000,1))),$AA$10:$AA$109,1)=0,"",_xlfn.MAXIFS($Z$10:$Z$109,$S$10:$S$109,"&gt;"&amp;S72,$S$10:$S$109,"&lt;"&amp;(S72+IF(L72=1,1000000,IF(L72=2,1000,1))),$AA$10:$AA$109,1)),IF(AA72=1,E72,"")))</f>
        <v/>
      </c>
      <c r="O72" s="7" t="str">
        <f>IF(K72="汇总",ROUND((IF(P72=0,"",IF(K72="汇总",IF(SUMIFS($Q$10:$Q$109,$S$10:$S$109,"&gt;"&amp;S72,$S$10:$S$109,"&lt;"&amp;(S72+IF(L72=1,1000000,IF(L72=2,1000,1))))=0,0,SUMIFS($R$10:$R$109,$S$10:$S$109,"&gt;"&amp;S72,$S$10:$S$109,"&lt;"&amp;(S72+IF(L72=1,1000000,IF(L72=2,1000,1))))/SUMIFS($Q$10:$Q$109,$S$10:$S$109,"&gt;"&amp;S72,$S$10:$S$109,"&lt;"&amp;(S72+IF(L72=1,1000000,IF(L72=2,1000,1))))),G72)))*100,0)/100,IF(P72=0,"",IF(K72="汇总",IF(SUMIFS($Q$10:$Q$109,$S$10:$S$109,"&gt;"&amp;S72,$S$10:$S$109,"&lt;"&amp;(S72+IF(L72=1,1000000,IF(L72=2,1000,1))))=0,0,SUMIFS($R$10:$R$109,$S$10:$S$109,"&gt;"&amp;S72,$S$10:$S$109,"&lt;"&amp;(S72+IF(L72=1,1000000,IF(L72=2,1000,1))))/SUMIFS($Q$10:$Q$109,$S$10:$S$109,"&gt;"&amp;S72,$S$10:$S$109,"&lt;"&amp;(S72+IF(L72=1,1000000,IF(L72=2,1000,1))))),G72)))</f>
        <v/>
      </c>
      <c r="P72" s="1">
        <f>IF(OR(A72="",B72="",J72="删除",AE72=0,COUNTIFS($AG$10:$AG$109,"W"&amp;A72)&lt;&gt;1,AND(L72&gt;1,COUNTIFS($AG$10:$AG$109,"W"&amp;V72,$B$10:$B$109,"&lt;&gt;")&lt;&gt;1),AND(L72=3,COUNTIFS($AG$10:$AG$109,"W"&amp;W72,$B$10:$B$109,"&lt;&gt;")&lt;&gt;1),COUNTIFS($AG$10:$AG$109,"W"&amp;V72,$J$10:$J$109,"删除")&gt;0,COUNTIFS($AG$10:$AG$109,"W"&amp;W72,$J$10:$J$109,"删除")&gt;0),0,1)</f>
        <v>0</v>
      </c>
      <c r="Q72" s="1">
        <f>IF(AA72=0,0,IF(I72="里程碑",1,F72))</f>
        <v>0</v>
      </c>
      <c r="R72" s="1">
        <f>IF(AA72=0,0,Q72*G72)</f>
        <v>0</v>
      </c>
      <c r="S72" s="1">
        <f>IF(P72=0,1000000000000000,AB72*1000000+AC72*1000+AD72)</f>
        <v>1000000000000000</v>
      </c>
      <c r="T72" s="1">
        <f>IF(P72=0,0,IF(Timing浏览!$D$5="全部",1,IF(Timing浏览!$D$5="仅里程碑",IF(K72="里程碑",1,0),IF(L72&lt;=VALUE(LEFT(Timing浏览!$D$5,1)),1,0))))</f>
        <v>0</v>
      </c>
      <c r="U72" s="1" t="str">
        <f>IF(T72=0,"",COUNTIFS($S$10:$S$109,"&lt;"&amp;S72,$T$10:$T$109,1)+1)</f>
        <v/>
      </c>
      <c r="V72" s="1" t="str">
        <f>IF(OR(A72="",L72=1),"",IF(L72=2,TEXT(AB72,"0"),TEXT(AB72,"0")&amp;"."&amp;TEXT(AC72,"0")))</f>
        <v/>
      </c>
      <c r="W72" s="1" t="str">
        <f>IF(OR(A72="",L72=1),"",TEXT(AB72,"0"))</f>
        <v/>
      </c>
      <c r="X72" s="1" t="str">
        <f>IF(AND(A72="",B72=""),"",IF(OR(A72="",B72=""),"请补编号和名称",IF(AE72=0,"编号需为1至3级正整数",IF(COUNTIFS($AG$10:$AG$109,"W"&amp;A72)&lt;&gt;1,"编号重复",IF(AND(L72&gt;1,COUNTIFS($AG$10:$AG$109,"W"&amp;V72,$B$10:$B$109,"&lt;&gt;")&lt;&gt;1),"缺少父任务",IF(J72="删除","待删除",IF(P72=0,"父任务已删除或无效",IF(K72="汇总",IF(COUNTIFS($S$10:$S$109,"&gt;"&amp;S72,$S$10:$S$109,"&lt;"&amp;(S72+IF(L72=1,1000000,IF(L72=2,1000,1))),$P$10:$P$109,1)=0,"等待子任务","由下级汇总"),IF(OR(D72="",E72=""),"待补日期",IF(E72&lt;D72,"结束早于开始",IF(AND(I72="里程碑",D72&lt;&gt;E72),"里程碑须同日","")))))))))))</f>
        <v/>
      </c>
      <c r="Y72" s="1">
        <f>IF(AA72=1,D72,100000000)</f>
        <v>100000000</v>
      </c>
      <c r="Z72" s="1">
        <f>IF(AA72=1,E72,0)</f>
        <v>0</v>
      </c>
      <c r="AA72" s="1">
        <f>IF(AND(P72=1,K72&lt;&gt;"汇总",ISNUMBER(F72),OR(I72&lt;&gt;"里程碑",D72=E72)),1,0)</f>
        <v>0</v>
      </c>
      <c r="AB72" s="1">
        <f>IF(A72="",0,IFERROR(VALUE(MID(("W"&amp;A72),2,FIND(".",("W"&amp;A72)&amp;".")-2)),-1))</f>
        <v>0</v>
      </c>
      <c r="AC72" s="1">
        <f>IF(OR(A72="",L72&lt;2),0,IFERROR(VALUE(MID(("W"&amp;A72),FIND(".",("W"&amp;A72))+1,FIND(".",("W"&amp;A72)&amp;".",FIND(".",("W"&amp;A72))+1)-FIND(".",("W"&amp;A72))-1)),-1))</f>
        <v>0</v>
      </c>
      <c r="AD72" s="1">
        <f>IF(OR(A72="",L72&lt;3),0,IFERROR(VALUE(RIGHT(("W"&amp;A72),LEN(("W"&amp;A72))-FIND(".",("W"&amp;A72),FIND(".",("W"&amp;A72))+1))),-1))</f>
        <v>0</v>
      </c>
      <c r="AE72" s="1">
        <f>IF(A72="",0,IF(AND(L72&lt;=3,AB72&gt;=1,AB72&lt;=999,AC72&gt;=0,AC72&lt;=999,AD72&gt;=0,AD72&lt;=999,A72=TEXT(AB72,"0")&amp;IF(L72&gt;1,"."&amp;TEXT(AC72,"0"),"")&amp;IF(L72&gt;2,"."&amp;TEXT(AD72,"0"),""),OR(L72&lt;2,AC72&gt;=1),OR(L72&lt;3,AD72&gt;=1)),1,0))</f>
        <v>0</v>
      </c>
      <c r="AF72" s="1"/>
      <c r="AG72" t="str">
        <f>"W"&amp;A72</f>
        <v>W</v>
      </c>
    </row>
    <row r="73" spans="1:33" ht="16.5">
      <c r="A73" s="12" t="str">
        <f>IF(ROW()-9&gt;ROWS(TimingTasks[WBS]),"",IF(AND(INDEX(TimingTasks[WBS],ROW()-9)="",NOT(ISNUMBER(INDEX(TimingTasks[WBS],ROW()-9)))),"",INDEX(TimingTasks[WBS],ROW()-9)))</f>
        <v/>
      </c>
      <c r="B73" s="10" t="str">
        <f>IF(ROW()-9&gt;ROWS(TimingTasks[WBS]),"",IF(AND(INDEX(TimingTasks[任务名称],ROW()-9)="",NOT(ISNUMBER(INDEX(TimingTasks[任务名称],ROW()-9)))),"",INDEX(TimingTasks[任务名称],ROW()-9)))</f>
        <v/>
      </c>
      <c r="C73" s="10" t="str">
        <f>IF(ROW()-9&gt;ROWS(TimingTasks[WBS]),"",IF(AND(INDEX(TimingTasks[负责人],ROW()-9)="",NOT(ISNUMBER(INDEX(TimingTasks[负责人],ROW()-9)))),"",INDEX(TimingTasks[负责人],ROW()-9)))</f>
        <v/>
      </c>
      <c r="D73" s="11" t="str">
        <f>IF(ROW()-9&gt;ROWS(TimingTasks[WBS]),"",IF(AND(INDEX(TimingTasks[输入开始],ROW()-9)="",NOT(ISNUMBER(INDEX(TimingTasks[输入开始],ROW()-9)))),"",INDEX(TimingTasks[输入开始],ROW()-9)))</f>
        <v/>
      </c>
      <c r="E73" s="11" t="str">
        <f>IF(ROW()-9&gt;ROWS(TimingTasks[WBS]),"",IF(AND(INDEX(TimingTasks[输入结束],ROW()-9)="",NOT(ISNUMBER(INDEX(TimingTasks[输入结束],ROW()-9)))),"",INDEX(TimingTasks[输入结束],ROW()-9)))</f>
        <v/>
      </c>
      <c r="F73" s="1" t="str">
        <f>IF(OR(P73=0,K73="汇总",D73="",E73="",E73&lt;D73),"",IF(I73="里程碑",0,NETWORKDAYS(D73,E73)))</f>
        <v/>
      </c>
      <c r="G73" s="15" t="str">
        <f>IF(ROW()-9&gt;ROWS(TimingTasks[WBS]),"",IF(AND(INDEX(TimingTasks[输入完成度],ROW()-9)="",NOT(ISNUMBER(INDEX(TimingTasks[输入完成度],ROW()-9)))),0,INDEX(TimingTasks[输入完成度],ROW()-9)))</f>
        <v/>
      </c>
      <c r="H73" s="10" t="str">
        <f>IF(ROW()-9&gt;ROWS(TimingTasks[WBS]),"",IF(AND(INDEX(TimingTasks[前置任务 WBS],ROW()-9)="",NOT(ISNUMBER(INDEX(TimingTasks[前置任务 WBS],ROW()-9)))),"",INDEX(TimingTasks[前置任务 WBS],ROW()-9)))</f>
        <v/>
      </c>
      <c r="I73" s="10" t="str">
        <f>IF(ROW()-9&gt;ROWS(TimingTasks[WBS]),"",IF(AND(INDEX(TimingTasks[叶子类型],ROW()-9)="",NOT(ISNUMBER(INDEX(TimingTasks[叶子类型],ROW()-9)))),"普通任务",INDEX(TimingTasks[叶子类型],ROW()-9)))</f>
        <v/>
      </c>
      <c r="J73" s="10" t="str">
        <f>IF(ROW()-9&gt;ROWS(TimingTasks[WBS]),"",IF(AND(INDEX(TimingTasks[操作],ROW()-9)="",NOT(ISNUMBER(INDEX(TimingTasks[操作],ROW()-9)))),"保留",INDEX(TimingTasks[操作],ROW()-9)))</f>
        <v/>
      </c>
      <c r="K73" s="1" t="str">
        <f>IF(P73=0,"",IF(OR(AND(L73=1,D73="",E73="",I73&lt;&gt;"里程碑"),COUNTIFS($S$10:$S$109,"&gt;"&amp;S73,$S$10:$S$109,"&lt;"&amp;(S73+IF(L73=1,1000000,IF(L73=2,1000,1))),$P$10:$P$109,1)&gt;0),"汇总",I73))</f>
        <v/>
      </c>
      <c r="L73" s="1" t="str">
        <f>IF(A73="","",LEN(("W"&amp;A73))-LEN(SUBSTITUTE(("W"&amp;A73),".",""))+1)</f>
        <v/>
      </c>
      <c r="M73" s="3" t="str">
        <f>IF(P73=0,"",IF(K73="汇总",IF(COUNTIFS($S$10:$S$109,"&gt;"&amp;S73,$S$10:$S$109,"&lt;"&amp;(S73+IF(L73=1,1000000,IF(L73=2,1000,1))),$AA$10:$AA$109,1)=0,"",_xlfn.MINIFS($Y$10:$Y$109,$S$10:$S$109,"&gt;"&amp;S73,$S$10:$S$109,"&lt;"&amp;(S73+IF(L73=1,1000000,IF(L73=2,1000,1))),$AA$10:$AA$109,1)),IF(AA73=1,D73,"")))</f>
        <v/>
      </c>
      <c r="N73" s="3" t="str">
        <f>IF(P73=0,"",IF(K73="汇总",IF(COUNTIFS($S$10:$S$109,"&gt;"&amp;S73,$S$10:$S$109,"&lt;"&amp;(S73+IF(L73=1,1000000,IF(L73=2,1000,1))),$AA$10:$AA$109,1)=0,"",_xlfn.MAXIFS($Z$10:$Z$109,$S$10:$S$109,"&gt;"&amp;S73,$S$10:$S$109,"&lt;"&amp;(S73+IF(L73=1,1000000,IF(L73=2,1000,1))),$AA$10:$AA$109,1)),IF(AA73=1,E73,"")))</f>
        <v/>
      </c>
      <c r="O73" s="7" t="str">
        <f>IF(K73="汇总",ROUND((IF(P73=0,"",IF(K73="汇总",IF(SUMIFS($Q$10:$Q$109,$S$10:$S$109,"&gt;"&amp;S73,$S$10:$S$109,"&lt;"&amp;(S73+IF(L73=1,1000000,IF(L73=2,1000,1))))=0,0,SUMIFS($R$10:$R$109,$S$10:$S$109,"&gt;"&amp;S73,$S$10:$S$109,"&lt;"&amp;(S73+IF(L73=1,1000000,IF(L73=2,1000,1))))/SUMIFS($Q$10:$Q$109,$S$10:$S$109,"&gt;"&amp;S73,$S$10:$S$109,"&lt;"&amp;(S73+IF(L73=1,1000000,IF(L73=2,1000,1))))),G73)))*100,0)/100,IF(P73=0,"",IF(K73="汇总",IF(SUMIFS($Q$10:$Q$109,$S$10:$S$109,"&gt;"&amp;S73,$S$10:$S$109,"&lt;"&amp;(S73+IF(L73=1,1000000,IF(L73=2,1000,1))))=0,0,SUMIFS($R$10:$R$109,$S$10:$S$109,"&gt;"&amp;S73,$S$10:$S$109,"&lt;"&amp;(S73+IF(L73=1,1000000,IF(L73=2,1000,1))))/SUMIFS($Q$10:$Q$109,$S$10:$S$109,"&gt;"&amp;S73,$S$10:$S$109,"&lt;"&amp;(S73+IF(L73=1,1000000,IF(L73=2,1000,1))))),G73)))</f>
        <v/>
      </c>
      <c r="P73" s="1">
        <f>IF(OR(A73="",B73="",J73="删除",AE73=0,COUNTIFS($AG$10:$AG$109,"W"&amp;A73)&lt;&gt;1,AND(L73&gt;1,COUNTIFS($AG$10:$AG$109,"W"&amp;V73,$B$10:$B$109,"&lt;&gt;")&lt;&gt;1),AND(L73=3,COUNTIFS($AG$10:$AG$109,"W"&amp;W73,$B$10:$B$109,"&lt;&gt;")&lt;&gt;1),COUNTIFS($AG$10:$AG$109,"W"&amp;V73,$J$10:$J$109,"删除")&gt;0,COUNTIFS($AG$10:$AG$109,"W"&amp;W73,$J$10:$J$109,"删除")&gt;0),0,1)</f>
        <v>0</v>
      </c>
      <c r="Q73" s="1">
        <f>IF(AA73=0,0,IF(I73="里程碑",1,F73))</f>
        <v>0</v>
      </c>
      <c r="R73" s="1">
        <f>IF(AA73=0,0,Q73*G73)</f>
        <v>0</v>
      </c>
      <c r="S73" s="1">
        <f>IF(P73=0,1000000000000000,AB73*1000000+AC73*1000+AD73)</f>
        <v>1000000000000000</v>
      </c>
      <c r="T73" s="1">
        <f>IF(P73=0,0,IF(Timing浏览!$D$5="全部",1,IF(Timing浏览!$D$5="仅里程碑",IF(K73="里程碑",1,0),IF(L73&lt;=VALUE(LEFT(Timing浏览!$D$5,1)),1,0))))</f>
        <v>0</v>
      </c>
      <c r="U73" s="1" t="str">
        <f>IF(T73=0,"",COUNTIFS($S$10:$S$109,"&lt;"&amp;S73,$T$10:$T$109,1)+1)</f>
        <v/>
      </c>
      <c r="V73" s="1" t="str">
        <f>IF(OR(A73="",L73=1),"",IF(L73=2,TEXT(AB73,"0"),TEXT(AB73,"0")&amp;"."&amp;TEXT(AC73,"0")))</f>
        <v/>
      </c>
      <c r="W73" s="1" t="str">
        <f>IF(OR(A73="",L73=1),"",TEXT(AB73,"0"))</f>
        <v/>
      </c>
      <c r="X73" s="1" t="str">
        <f>IF(AND(A73="",B73=""),"",IF(OR(A73="",B73=""),"请补编号和名称",IF(AE73=0,"编号需为1至3级正整数",IF(COUNTIFS($AG$10:$AG$109,"W"&amp;A73)&lt;&gt;1,"编号重复",IF(AND(L73&gt;1,COUNTIFS($AG$10:$AG$109,"W"&amp;V73,$B$10:$B$109,"&lt;&gt;")&lt;&gt;1),"缺少父任务",IF(J73="删除","待删除",IF(P73=0,"父任务已删除或无效",IF(K73="汇总",IF(COUNTIFS($S$10:$S$109,"&gt;"&amp;S73,$S$10:$S$109,"&lt;"&amp;(S73+IF(L73=1,1000000,IF(L73=2,1000,1))),$P$10:$P$109,1)=0,"等待子任务","由下级汇总"),IF(OR(D73="",E73=""),"待补日期",IF(E73&lt;D73,"结束早于开始",IF(AND(I73="里程碑",D73&lt;&gt;E73),"里程碑须同日","")))))))))))</f>
        <v/>
      </c>
      <c r="Y73" s="1">
        <f>IF(AA73=1,D73,100000000)</f>
        <v>100000000</v>
      </c>
      <c r="Z73" s="1">
        <f>IF(AA73=1,E73,0)</f>
        <v>0</v>
      </c>
      <c r="AA73" s="1">
        <f>IF(AND(P73=1,K73&lt;&gt;"汇总",ISNUMBER(F73),OR(I73&lt;&gt;"里程碑",D73=E73)),1,0)</f>
        <v>0</v>
      </c>
      <c r="AB73" s="1">
        <f>IF(A73="",0,IFERROR(VALUE(MID(("W"&amp;A73),2,FIND(".",("W"&amp;A73)&amp;".")-2)),-1))</f>
        <v>0</v>
      </c>
      <c r="AC73" s="1">
        <f>IF(OR(A73="",L73&lt;2),0,IFERROR(VALUE(MID(("W"&amp;A73),FIND(".",("W"&amp;A73))+1,FIND(".",("W"&amp;A73)&amp;".",FIND(".",("W"&amp;A73))+1)-FIND(".",("W"&amp;A73))-1)),-1))</f>
        <v>0</v>
      </c>
      <c r="AD73" s="1">
        <f>IF(OR(A73="",L73&lt;3),0,IFERROR(VALUE(RIGHT(("W"&amp;A73),LEN(("W"&amp;A73))-FIND(".",("W"&amp;A73),FIND(".",("W"&amp;A73))+1))),-1))</f>
        <v>0</v>
      </c>
      <c r="AE73" s="1">
        <f>IF(A73="",0,IF(AND(L73&lt;=3,AB73&gt;=1,AB73&lt;=999,AC73&gt;=0,AC73&lt;=999,AD73&gt;=0,AD73&lt;=999,A73=TEXT(AB73,"0")&amp;IF(L73&gt;1,"."&amp;TEXT(AC73,"0"),"")&amp;IF(L73&gt;2,"."&amp;TEXT(AD73,"0"),""),OR(L73&lt;2,AC73&gt;=1),OR(L73&lt;3,AD73&gt;=1)),1,0))</f>
        <v>0</v>
      </c>
      <c r="AF73" s="1"/>
      <c r="AG73" t="str">
        <f>"W"&amp;A73</f>
        <v>W</v>
      </c>
    </row>
    <row r="74" spans="1:33" ht="16.5">
      <c r="A74" s="12" t="str">
        <f>IF(ROW()-9&gt;ROWS(TimingTasks[WBS]),"",IF(AND(INDEX(TimingTasks[WBS],ROW()-9)="",NOT(ISNUMBER(INDEX(TimingTasks[WBS],ROW()-9)))),"",INDEX(TimingTasks[WBS],ROW()-9)))</f>
        <v/>
      </c>
      <c r="B74" s="10" t="str">
        <f>IF(ROW()-9&gt;ROWS(TimingTasks[WBS]),"",IF(AND(INDEX(TimingTasks[任务名称],ROW()-9)="",NOT(ISNUMBER(INDEX(TimingTasks[任务名称],ROW()-9)))),"",INDEX(TimingTasks[任务名称],ROW()-9)))</f>
        <v/>
      </c>
      <c r="C74" s="10" t="str">
        <f>IF(ROW()-9&gt;ROWS(TimingTasks[WBS]),"",IF(AND(INDEX(TimingTasks[负责人],ROW()-9)="",NOT(ISNUMBER(INDEX(TimingTasks[负责人],ROW()-9)))),"",INDEX(TimingTasks[负责人],ROW()-9)))</f>
        <v/>
      </c>
      <c r="D74" s="11" t="str">
        <f>IF(ROW()-9&gt;ROWS(TimingTasks[WBS]),"",IF(AND(INDEX(TimingTasks[输入开始],ROW()-9)="",NOT(ISNUMBER(INDEX(TimingTasks[输入开始],ROW()-9)))),"",INDEX(TimingTasks[输入开始],ROW()-9)))</f>
        <v/>
      </c>
      <c r="E74" s="11" t="str">
        <f>IF(ROW()-9&gt;ROWS(TimingTasks[WBS]),"",IF(AND(INDEX(TimingTasks[输入结束],ROW()-9)="",NOT(ISNUMBER(INDEX(TimingTasks[输入结束],ROW()-9)))),"",INDEX(TimingTasks[输入结束],ROW()-9)))</f>
        <v/>
      </c>
      <c r="F74" s="1" t="str">
        <f>IF(OR(P74=0,K74="汇总",D74="",E74="",E74&lt;D74),"",IF(I74="里程碑",0,NETWORKDAYS(D74,E74)))</f>
        <v/>
      </c>
      <c r="G74" s="15" t="str">
        <f>IF(ROW()-9&gt;ROWS(TimingTasks[WBS]),"",IF(AND(INDEX(TimingTasks[输入完成度],ROW()-9)="",NOT(ISNUMBER(INDEX(TimingTasks[输入完成度],ROW()-9)))),0,INDEX(TimingTasks[输入完成度],ROW()-9)))</f>
        <v/>
      </c>
      <c r="H74" s="10" t="str">
        <f>IF(ROW()-9&gt;ROWS(TimingTasks[WBS]),"",IF(AND(INDEX(TimingTasks[前置任务 WBS],ROW()-9)="",NOT(ISNUMBER(INDEX(TimingTasks[前置任务 WBS],ROW()-9)))),"",INDEX(TimingTasks[前置任务 WBS],ROW()-9)))</f>
        <v/>
      </c>
      <c r="I74" s="10" t="str">
        <f>IF(ROW()-9&gt;ROWS(TimingTasks[WBS]),"",IF(AND(INDEX(TimingTasks[叶子类型],ROW()-9)="",NOT(ISNUMBER(INDEX(TimingTasks[叶子类型],ROW()-9)))),"普通任务",INDEX(TimingTasks[叶子类型],ROW()-9)))</f>
        <v/>
      </c>
      <c r="J74" s="10" t="str">
        <f>IF(ROW()-9&gt;ROWS(TimingTasks[WBS]),"",IF(AND(INDEX(TimingTasks[操作],ROW()-9)="",NOT(ISNUMBER(INDEX(TimingTasks[操作],ROW()-9)))),"保留",INDEX(TimingTasks[操作],ROW()-9)))</f>
        <v/>
      </c>
      <c r="K74" s="1" t="str">
        <f>IF(P74=0,"",IF(OR(AND(L74=1,D74="",E74="",I74&lt;&gt;"里程碑"),COUNTIFS($S$10:$S$109,"&gt;"&amp;S74,$S$10:$S$109,"&lt;"&amp;(S74+IF(L74=1,1000000,IF(L74=2,1000,1))),$P$10:$P$109,1)&gt;0),"汇总",I74))</f>
        <v/>
      </c>
      <c r="L74" s="1" t="str">
        <f>IF(A74="","",LEN(("W"&amp;A74))-LEN(SUBSTITUTE(("W"&amp;A74),".",""))+1)</f>
        <v/>
      </c>
      <c r="M74" s="3" t="str">
        <f>IF(P74=0,"",IF(K74="汇总",IF(COUNTIFS($S$10:$S$109,"&gt;"&amp;S74,$S$10:$S$109,"&lt;"&amp;(S74+IF(L74=1,1000000,IF(L74=2,1000,1))),$AA$10:$AA$109,1)=0,"",_xlfn.MINIFS($Y$10:$Y$109,$S$10:$S$109,"&gt;"&amp;S74,$S$10:$S$109,"&lt;"&amp;(S74+IF(L74=1,1000000,IF(L74=2,1000,1))),$AA$10:$AA$109,1)),IF(AA74=1,D74,"")))</f>
        <v/>
      </c>
      <c r="N74" s="3" t="str">
        <f>IF(P74=0,"",IF(K74="汇总",IF(COUNTIFS($S$10:$S$109,"&gt;"&amp;S74,$S$10:$S$109,"&lt;"&amp;(S74+IF(L74=1,1000000,IF(L74=2,1000,1))),$AA$10:$AA$109,1)=0,"",_xlfn.MAXIFS($Z$10:$Z$109,$S$10:$S$109,"&gt;"&amp;S74,$S$10:$S$109,"&lt;"&amp;(S74+IF(L74=1,1000000,IF(L74=2,1000,1))),$AA$10:$AA$109,1)),IF(AA74=1,E74,"")))</f>
        <v/>
      </c>
      <c r="O74" s="7" t="str">
        <f>IF(K74="汇总",ROUND((IF(P74=0,"",IF(K74="汇总",IF(SUMIFS($Q$10:$Q$109,$S$10:$S$109,"&gt;"&amp;S74,$S$10:$S$109,"&lt;"&amp;(S74+IF(L74=1,1000000,IF(L74=2,1000,1))))=0,0,SUMIFS($R$10:$R$109,$S$10:$S$109,"&gt;"&amp;S74,$S$10:$S$109,"&lt;"&amp;(S74+IF(L74=1,1000000,IF(L74=2,1000,1))))/SUMIFS($Q$10:$Q$109,$S$10:$S$109,"&gt;"&amp;S74,$S$10:$S$109,"&lt;"&amp;(S74+IF(L74=1,1000000,IF(L74=2,1000,1))))),G74)))*100,0)/100,IF(P74=0,"",IF(K74="汇总",IF(SUMIFS($Q$10:$Q$109,$S$10:$S$109,"&gt;"&amp;S74,$S$10:$S$109,"&lt;"&amp;(S74+IF(L74=1,1000000,IF(L74=2,1000,1))))=0,0,SUMIFS($R$10:$R$109,$S$10:$S$109,"&gt;"&amp;S74,$S$10:$S$109,"&lt;"&amp;(S74+IF(L74=1,1000000,IF(L74=2,1000,1))))/SUMIFS($Q$10:$Q$109,$S$10:$S$109,"&gt;"&amp;S74,$S$10:$S$109,"&lt;"&amp;(S74+IF(L74=1,1000000,IF(L74=2,1000,1))))),G74)))</f>
        <v/>
      </c>
      <c r="P74" s="1">
        <f>IF(OR(A74="",B74="",J74="删除",AE74=0,COUNTIFS($AG$10:$AG$109,"W"&amp;A74)&lt;&gt;1,AND(L74&gt;1,COUNTIFS($AG$10:$AG$109,"W"&amp;V74,$B$10:$B$109,"&lt;&gt;")&lt;&gt;1),AND(L74=3,COUNTIFS($AG$10:$AG$109,"W"&amp;W74,$B$10:$B$109,"&lt;&gt;")&lt;&gt;1),COUNTIFS($AG$10:$AG$109,"W"&amp;V74,$J$10:$J$109,"删除")&gt;0,COUNTIFS($AG$10:$AG$109,"W"&amp;W74,$J$10:$J$109,"删除")&gt;0),0,1)</f>
        <v>0</v>
      </c>
      <c r="Q74" s="1">
        <f>IF(AA74=0,0,IF(I74="里程碑",1,F74))</f>
        <v>0</v>
      </c>
      <c r="R74" s="1">
        <f>IF(AA74=0,0,Q74*G74)</f>
        <v>0</v>
      </c>
      <c r="S74" s="1">
        <f>IF(P74=0,1000000000000000,AB74*1000000+AC74*1000+AD74)</f>
        <v>1000000000000000</v>
      </c>
      <c r="T74" s="1">
        <f>IF(P74=0,0,IF(Timing浏览!$D$5="全部",1,IF(Timing浏览!$D$5="仅里程碑",IF(K74="里程碑",1,0),IF(L74&lt;=VALUE(LEFT(Timing浏览!$D$5,1)),1,0))))</f>
        <v>0</v>
      </c>
      <c r="U74" s="1" t="str">
        <f>IF(T74=0,"",COUNTIFS($S$10:$S$109,"&lt;"&amp;S74,$T$10:$T$109,1)+1)</f>
        <v/>
      </c>
      <c r="V74" s="1" t="str">
        <f>IF(OR(A74="",L74=1),"",IF(L74=2,TEXT(AB74,"0"),TEXT(AB74,"0")&amp;"."&amp;TEXT(AC74,"0")))</f>
        <v/>
      </c>
      <c r="W74" s="1" t="str">
        <f>IF(OR(A74="",L74=1),"",TEXT(AB74,"0"))</f>
        <v/>
      </c>
      <c r="X74" s="1" t="str">
        <f>IF(AND(A74="",B74=""),"",IF(OR(A74="",B74=""),"请补编号和名称",IF(AE74=0,"编号需为1至3级正整数",IF(COUNTIFS($AG$10:$AG$109,"W"&amp;A74)&lt;&gt;1,"编号重复",IF(AND(L74&gt;1,COUNTIFS($AG$10:$AG$109,"W"&amp;V74,$B$10:$B$109,"&lt;&gt;")&lt;&gt;1),"缺少父任务",IF(J74="删除","待删除",IF(P74=0,"父任务已删除或无效",IF(K74="汇总",IF(COUNTIFS($S$10:$S$109,"&gt;"&amp;S74,$S$10:$S$109,"&lt;"&amp;(S74+IF(L74=1,1000000,IF(L74=2,1000,1))),$P$10:$P$109,1)=0,"等待子任务","由下级汇总"),IF(OR(D74="",E74=""),"待补日期",IF(E74&lt;D74,"结束早于开始",IF(AND(I74="里程碑",D74&lt;&gt;E74),"里程碑须同日","")))))))))))</f>
        <v/>
      </c>
      <c r="Y74" s="1">
        <f>IF(AA74=1,D74,100000000)</f>
        <v>100000000</v>
      </c>
      <c r="Z74" s="1">
        <f>IF(AA74=1,E74,0)</f>
        <v>0</v>
      </c>
      <c r="AA74" s="1">
        <f>IF(AND(P74=1,K74&lt;&gt;"汇总",ISNUMBER(F74),OR(I74&lt;&gt;"里程碑",D74=E74)),1,0)</f>
        <v>0</v>
      </c>
      <c r="AB74" s="1">
        <f>IF(A74="",0,IFERROR(VALUE(MID(("W"&amp;A74),2,FIND(".",("W"&amp;A74)&amp;".")-2)),-1))</f>
        <v>0</v>
      </c>
      <c r="AC74" s="1">
        <f>IF(OR(A74="",L74&lt;2),0,IFERROR(VALUE(MID(("W"&amp;A74),FIND(".",("W"&amp;A74))+1,FIND(".",("W"&amp;A74)&amp;".",FIND(".",("W"&amp;A74))+1)-FIND(".",("W"&amp;A74))-1)),-1))</f>
        <v>0</v>
      </c>
      <c r="AD74" s="1">
        <f>IF(OR(A74="",L74&lt;3),0,IFERROR(VALUE(RIGHT(("W"&amp;A74),LEN(("W"&amp;A74))-FIND(".",("W"&amp;A74),FIND(".",("W"&amp;A74))+1))),-1))</f>
        <v>0</v>
      </c>
      <c r="AE74" s="1">
        <f>IF(A74="",0,IF(AND(L74&lt;=3,AB74&gt;=1,AB74&lt;=999,AC74&gt;=0,AC74&lt;=999,AD74&gt;=0,AD74&lt;=999,A74=TEXT(AB74,"0")&amp;IF(L74&gt;1,"."&amp;TEXT(AC74,"0"),"")&amp;IF(L74&gt;2,"."&amp;TEXT(AD74,"0"),""),OR(L74&lt;2,AC74&gt;=1),OR(L74&lt;3,AD74&gt;=1)),1,0))</f>
        <v>0</v>
      </c>
      <c r="AF74" s="1"/>
      <c r="AG74" t="str">
        <f>"W"&amp;A74</f>
        <v>W</v>
      </c>
    </row>
    <row r="75" spans="1:33" ht="16.5">
      <c r="A75" s="12" t="str">
        <f>IF(ROW()-9&gt;ROWS(TimingTasks[WBS]),"",IF(AND(INDEX(TimingTasks[WBS],ROW()-9)="",NOT(ISNUMBER(INDEX(TimingTasks[WBS],ROW()-9)))),"",INDEX(TimingTasks[WBS],ROW()-9)))</f>
        <v/>
      </c>
      <c r="B75" s="10" t="str">
        <f>IF(ROW()-9&gt;ROWS(TimingTasks[WBS]),"",IF(AND(INDEX(TimingTasks[任务名称],ROW()-9)="",NOT(ISNUMBER(INDEX(TimingTasks[任务名称],ROW()-9)))),"",INDEX(TimingTasks[任务名称],ROW()-9)))</f>
        <v/>
      </c>
      <c r="C75" s="10" t="str">
        <f>IF(ROW()-9&gt;ROWS(TimingTasks[WBS]),"",IF(AND(INDEX(TimingTasks[负责人],ROW()-9)="",NOT(ISNUMBER(INDEX(TimingTasks[负责人],ROW()-9)))),"",INDEX(TimingTasks[负责人],ROW()-9)))</f>
        <v/>
      </c>
      <c r="D75" s="11" t="str">
        <f>IF(ROW()-9&gt;ROWS(TimingTasks[WBS]),"",IF(AND(INDEX(TimingTasks[输入开始],ROW()-9)="",NOT(ISNUMBER(INDEX(TimingTasks[输入开始],ROW()-9)))),"",INDEX(TimingTasks[输入开始],ROW()-9)))</f>
        <v/>
      </c>
      <c r="E75" s="11" t="str">
        <f>IF(ROW()-9&gt;ROWS(TimingTasks[WBS]),"",IF(AND(INDEX(TimingTasks[输入结束],ROW()-9)="",NOT(ISNUMBER(INDEX(TimingTasks[输入结束],ROW()-9)))),"",INDEX(TimingTasks[输入结束],ROW()-9)))</f>
        <v/>
      </c>
      <c r="F75" s="1" t="str">
        <f>IF(OR(P75=0,K75="汇总",D75="",E75="",E75&lt;D75),"",IF(I75="里程碑",0,NETWORKDAYS(D75,E75)))</f>
        <v/>
      </c>
      <c r="G75" s="15" t="str">
        <f>IF(ROW()-9&gt;ROWS(TimingTasks[WBS]),"",IF(AND(INDEX(TimingTasks[输入完成度],ROW()-9)="",NOT(ISNUMBER(INDEX(TimingTasks[输入完成度],ROW()-9)))),0,INDEX(TimingTasks[输入完成度],ROW()-9)))</f>
        <v/>
      </c>
      <c r="H75" s="10" t="str">
        <f>IF(ROW()-9&gt;ROWS(TimingTasks[WBS]),"",IF(AND(INDEX(TimingTasks[前置任务 WBS],ROW()-9)="",NOT(ISNUMBER(INDEX(TimingTasks[前置任务 WBS],ROW()-9)))),"",INDEX(TimingTasks[前置任务 WBS],ROW()-9)))</f>
        <v/>
      </c>
      <c r="I75" s="10" t="str">
        <f>IF(ROW()-9&gt;ROWS(TimingTasks[WBS]),"",IF(AND(INDEX(TimingTasks[叶子类型],ROW()-9)="",NOT(ISNUMBER(INDEX(TimingTasks[叶子类型],ROW()-9)))),"普通任务",INDEX(TimingTasks[叶子类型],ROW()-9)))</f>
        <v/>
      </c>
      <c r="J75" s="10" t="str">
        <f>IF(ROW()-9&gt;ROWS(TimingTasks[WBS]),"",IF(AND(INDEX(TimingTasks[操作],ROW()-9)="",NOT(ISNUMBER(INDEX(TimingTasks[操作],ROW()-9)))),"保留",INDEX(TimingTasks[操作],ROW()-9)))</f>
        <v/>
      </c>
      <c r="K75" s="1" t="str">
        <f>IF(P75=0,"",IF(OR(AND(L75=1,D75="",E75="",I75&lt;&gt;"里程碑"),COUNTIFS($S$10:$S$109,"&gt;"&amp;S75,$S$10:$S$109,"&lt;"&amp;(S75+IF(L75=1,1000000,IF(L75=2,1000,1))),$P$10:$P$109,1)&gt;0),"汇总",I75))</f>
        <v/>
      </c>
      <c r="L75" s="1" t="str">
        <f>IF(A75="","",LEN(("W"&amp;A75))-LEN(SUBSTITUTE(("W"&amp;A75),".",""))+1)</f>
        <v/>
      </c>
      <c r="M75" s="3" t="str">
        <f>IF(P75=0,"",IF(K75="汇总",IF(COUNTIFS($S$10:$S$109,"&gt;"&amp;S75,$S$10:$S$109,"&lt;"&amp;(S75+IF(L75=1,1000000,IF(L75=2,1000,1))),$AA$10:$AA$109,1)=0,"",_xlfn.MINIFS($Y$10:$Y$109,$S$10:$S$109,"&gt;"&amp;S75,$S$10:$S$109,"&lt;"&amp;(S75+IF(L75=1,1000000,IF(L75=2,1000,1))),$AA$10:$AA$109,1)),IF(AA75=1,D75,"")))</f>
        <v/>
      </c>
      <c r="N75" s="3" t="str">
        <f>IF(P75=0,"",IF(K75="汇总",IF(COUNTIFS($S$10:$S$109,"&gt;"&amp;S75,$S$10:$S$109,"&lt;"&amp;(S75+IF(L75=1,1000000,IF(L75=2,1000,1))),$AA$10:$AA$109,1)=0,"",_xlfn.MAXIFS($Z$10:$Z$109,$S$10:$S$109,"&gt;"&amp;S75,$S$10:$S$109,"&lt;"&amp;(S75+IF(L75=1,1000000,IF(L75=2,1000,1))),$AA$10:$AA$109,1)),IF(AA75=1,E75,"")))</f>
        <v/>
      </c>
      <c r="O75" s="7" t="str">
        <f>IF(K75="汇总",ROUND((IF(P75=0,"",IF(K75="汇总",IF(SUMIFS($Q$10:$Q$109,$S$10:$S$109,"&gt;"&amp;S75,$S$10:$S$109,"&lt;"&amp;(S75+IF(L75=1,1000000,IF(L75=2,1000,1))))=0,0,SUMIFS($R$10:$R$109,$S$10:$S$109,"&gt;"&amp;S75,$S$10:$S$109,"&lt;"&amp;(S75+IF(L75=1,1000000,IF(L75=2,1000,1))))/SUMIFS($Q$10:$Q$109,$S$10:$S$109,"&gt;"&amp;S75,$S$10:$S$109,"&lt;"&amp;(S75+IF(L75=1,1000000,IF(L75=2,1000,1))))),G75)))*100,0)/100,IF(P75=0,"",IF(K75="汇总",IF(SUMIFS($Q$10:$Q$109,$S$10:$S$109,"&gt;"&amp;S75,$S$10:$S$109,"&lt;"&amp;(S75+IF(L75=1,1000000,IF(L75=2,1000,1))))=0,0,SUMIFS($R$10:$R$109,$S$10:$S$109,"&gt;"&amp;S75,$S$10:$S$109,"&lt;"&amp;(S75+IF(L75=1,1000000,IF(L75=2,1000,1))))/SUMIFS($Q$10:$Q$109,$S$10:$S$109,"&gt;"&amp;S75,$S$10:$S$109,"&lt;"&amp;(S75+IF(L75=1,1000000,IF(L75=2,1000,1))))),G75)))</f>
        <v/>
      </c>
      <c r="P75" s="1">
        <f>IF(OR(A75="",B75="",J75="删除",AE75=0,COUNTIFS($AG$10:$AG$109,"W"&amp;A75)&lt;&gt;1,AND(L75&gt;1,COUNTIFS($AG$10:$AG$109,"W"&amp;V75,$B$10:$B$109,"&lt;&gt;")&lt;&gt;1),AND(L75=3,COUNTIFS($AG$10:$AG$109,"W"&amp;W75,$B$10:$B$109,"&lt;&gt;")&lt;&gt;1),COUNTIFS($AG$10:$AG$109,"W"&amp;V75,$J$10:$J$109,"删除")&gt;0,COUNTIFS($AG$10:$AG$109,"W"&amp;W75,$J$10:$J$109,"删除")&gt;0),0,1)</f>
        <v>0</v>
      </c>
      <c r="Q75" s="1">
        <f>IF(AA75=0,0,IF(I75="里程碑",1,F75))</f>
        <v>0</v>
      </c>
      <c r="R75" s="1">
        <f>IF(AA75=0,0,Q75*G75)</f>
        <v>0</v>
      </c>
      <c r="S75" s="1">
        <f>IF(P75=0,1000000000000000,AB75*1000000+AC75*1000+AD75)</f>
        <v>1000000000000000</v>
      </c>
      <c r="T75" s="1">
        <f>IF(P75=0,0,IF(Timing浏览!$D$5="全部",1,IF(Timing浏览!$D$5="仅里程碑",IF(K75="里程碑",1,0),IF(L75&lt;=VALUE(LEFT(Timing浏览!$D$5,1)),1,0))))</f>
        <v>0</v>
      </c>
      <c r="U75" s="1" t="str">
        <f>IF(T75=0,"",COUNTIFS($S$10:$S$109,"&lt;"&amp;S75,$T$10:$T$109,1)+1)</f>
        <v/>
      </c>
      <c r="V75" s="1" t="str">
        <f>IF(OR(A75="",L75=1),"",IF(L75=2,TEXT(AB75,"0"),TEXT(AB75,"0")&amp;"."&amp;TEXT(AC75,"0")))</f>
        <v/>
      </c>
      <c r="W75" s="1" t="str">
        <f>IF(OR(A75="",L75=1),"",TEXT(AB75,"0"))</f>
        <v/>
      </c>
      <c r="X75" s="1" t="str">
        <f>IF(AND(A75="",B75=""),"",IF(OR(A75="",B75=""),"请补编号和名称",IF(AE75=0,"编号需为1至3级正整数",IF(COUNTIFS($AG$10:$AG$109,"W"&amp;A75)&lt;&gt;1,"编号重复",IF(AND(L75&gt;1,COUNTIFS($AG$10:$AG$109,"W"&amp;V75,$B$10:$B$109,"&lt;&gt;")&lt;&gt;1),"缺少父任务",IF(J75="删除","待删除",IF(P75=0,"父任务已删除或无效",IF(K75="汇总",IF(COUNTIFS($S$10:$S$109,"&gt;"&amp;S75,$S$10:$S$109,"&lt;"&amp;(S75+IF(L75=1,1000000,IF(L75=2,1000,1))),$P$10:$P$109,1)=0,"等待子任务","由下级汇总"),IF(OR(D75="",E75=""),"待补日期",IF(E75&lt;D75,"结束早于开始",IF(AND(I75="里程碑",D75&lt;&gt;E75),"里程碑须同日","")))))))))))</f>
        <v/>
      </c>
      <c r="Y75" s="1">
        <f>IF(AA75=1,D75,100000000)</f>
        <v>100000000</v>
      </c>
      <c r="Z75" s="1">
        <f>IF(AA75=1,E75,0)</f>
        <v>0</v>
      </c>
      <c r="AA75" s="1">
        <f>IF(AND(P75=1,K75&lt;&gt;"汇总",ISNUMBER(F75),OR(I75&lt;&gt;"里程碑",D75=E75)),1,0)</f>
        <v>0</v>
      </c>
      <c r="AB75" s="1">
        <f>IF(A75="",0,IFERROR(VALUE(MID(("W"&amp;A75),2,FIND(".",("W"&amp;A75)&amp;".")-2)),-1))</f>
        <v>0</v>
      </c>
      <c r="AC75" s="1">
        <f>IF(OR(A75="",L75&lt;2),0,IFERROR(VALUE(MID(("W"&amp;A75),FIND(".",("W"&amp;A75))+1,FIND(".",("W"&amp;A75)&amp;".",FIND(".",("W"&amp;A75))+1)-FIND(".",("W"&amp;A75))-1)),-1))</f>
        <v>0</v>
      </c>
      <c r="AD75" s="1">
        <f>IF(OR(A75="",L75&lt;3),0,IFERROR(VALUE(RIGHT(("W"&amp;A75),LEN(("W"&amp;A75))-FIND(".",("W"&amp;A75),FIND(".",("W"&amp;A75))+1))),-1))</f>
        <v>0</v>
      </c>
      <c r="AE75" s="1">
        <f>IF(A75="",0,IF(AND(L75&lt;=3,AB75&gt;=1,AB75&lt;=999,AC75&gt;=0,AC75&lt;=999,AD75&gt;=0,AD75&lt;=999,A75=TEXT(AB75,"0")&amp;IF(L75&gt;1,"."&amp;TEXT(AC75,"0"),"")&amp;IF(L75&gt;2,"."&amp;TEXT(AD75,"0"),""),OR(L75&lt;2,AC75&gt;=1),OR(L75&lt;3,AD75&gt;=1)),1,0))</f>
        <v>0</v>
      </c>
      <c r="AF75" s="1"/>
      <c r="AG75" t="str">
        <f>"W"&amp;A75</f>
        <v>W</v>
      </c>
    </row>
    <row r="76" spans="1:33" ht="16.5">
      <c r="A76" s="12" t="str">
        <f>IF(ROW()-9&gt;ROWS(TimingTasks[WBS]),"",IF(AND(INDEX(TimingTasks[WBS],ROW()-9)="",NOT(ISNUMBER(INDEX(TimingTasks[WBS],ROW()-9)))),"",INDEX(TimingTasks[WBS],ROW()-9)))</f>
        <v/>
      </c>
      <c r="B76" s="10" t="str">
        <f>IF(ROW()-9&gt;ROWS(TimingTasks[WBS]),"",IF(AND(INDEX(TimingTasks[任务名称],ROW()-9)="",NOT(ISNUMBER(INDEX(TimingTasks[任务名称],ROW()-9)))),"",INDEX(TimingTasks[任务名称],ROW()-9)))</f>
        <v/>
      </c>
      <c r="C76" s="10" t="str">
        <f>IF(ROW()-9&gt;ROWS(TimingTasks[WBS]),"",IF(AND(INDEX(TimingTasks[负责人],ROW()-9)="",NOT(ISNUMBER(INDEX(TimingTasks[负责人],ROW()-9)))),"",INDEX(TimingTasks[负责人],ROW()-9)))</f>
        <v/>
      </c>
      <c r="D76" s="11" t="str">
        <f>IF(ROW()-9&gt;ROWS(TimingTasks[WBS]),"",IF(AND(INDEX(TimingTasks[输入开始],ROW()-9)="",NOT(ISNUMBER(INDEX(TimingTasks[输入开始],ROW()-9)))),"",INDEX(TimingTasks[输入开始],ROW()-9)))</f>
        <v/>
      </c>
      <c r="E76" s="11" t="str">
        <f>IF(ROW()-9&gt;ROWS(TimingTasks[WBS]),"",IF(AND(INDEX(TimingTasks[输入结束],ROW()-9)="",NOT(ISNUMBER(INDEX(TimingTasks[输入结束],ROW()-9)))),"",INDEX(TimingTasks[输入结束],ROW()-9)))</f>
        <v/>
      </c>
      <c r="F76" s="1" t="str">
        <f>IF(OR(P76=0,K76="汇总",D76="",E76="",E76&lt;D76),"",IF(I76="里程碑",0,NETWORKDAYS(D76,E76)))</f>
        <v/>
      </c>
      <c r="G76" s="15" t="str">
        <f>IF(ROW()-9&gt;ROWS(TimingTasks[WBS]),"",IF(AND(INDEX(TimingTasks[输入完成度],ROW()-9)="",NOT(ISNUMBER(INDEX(TimingTasks[输入完成度],ROW()-9)))),0,INDEX(TimingTasks[输入完成度],ROW()-9)))</f>
        <v/>
      </c>
      <c r="H76" s="10" t="str">
        <f>IF(ROW()-9&gt;ROWS(TimingTasks[WBS]),"",IF(AND(INDEX(TimingTasks[前置任务 WBS],ROW()-9)="",NOT(ISNUMBER(INDEX(TimingTasks[前置任务 WBS],ROW()-9)))),"",INDEX(TimingTasks[前置任务 WBS],ROW()-9)))</f>
        <v/>
      </c>
      <c r="I76" s="10" t="str">
        <f>IF(ROW()-9&gt;ROWS(TimingTasks[WBS]),"",IF(AND(INDEX(TimingTasks[叶子类型],ROW()-9)="",NOT(ISNUMBER(INDEX(TimingTasks[叶子类型],ROW()-9)))),"普通任务",INDEX(TimingTasks[叶子类型],ROW()-9)))</f>
        <v/>
      </c>
      <c r="J76" s="10" t="str">
        <f>IF(ROW()-9&gt;ROWS(TimingTasks[WBS]),"",IF(AND(INDEX(TimingTasks[操作],ROW()-9)="",NOT(ISNUMBER(INDEX(TimingTasks[操作],ROW()-9)))),"保留",INDEX(TimingTasks[操作],ROW()-9)))</f>
        <v/>
      </c>
      <c r="K76" s="1" t="str">
        <f>IF(P76=0,"",IF(OR(AND(L76=1,D76="",E76="",I76&lt;&gt;"里程碑"),COUNTIFS($S$10:$S$109,"&gt;"&amp;S76,$S$10:$S$109,"&lt;"&amp;(S76+IF(L76=1,1000000,IF(L76=2,1000,1))),$P$10:$P$109,1)&gt;0),"汇总",I76))</f>
        <v/>
      </c>
      <c r="L76" s="1" t="str">
        <f>IF(A76="","",LEN(("W"&amp;A76))-LEN(SUBSTITUTE(("W"&amp;A76),".",""))+1)</f>
        <v/>
      </c>
      <c r="M76" s="3" t="str">
        <f>IF(P76=0,"",IF(K76="汇总",IF(COUNTIFS($S$10:$S$109,"&gt;"&amp;S76,$S$10:$S$109,"&lt;"&amp;(S76+IF(L76=1,1000000,IF(L76=2,1000,1))),$AA$10:$AA$109,1)=0,"",_xlfn.MINIFS($Y$10:$Y$109,$S$10:$S$109,"&gt;"&amp;S76,$S$10:$S$109,"&lt;"&amp;(S76+IF(L76=1,1000000,IF(L76=2,1000,1))),$AA$10:$AA$109,1)),IF(AA76=1,D76,"")))</f>
        <v/>
      </c>
      <c r="N76" s="3" t="str">
        <f>IF(P76=0,"",IF(K76="汇总",IF(COUNTIFS($S$10:$S$109,"&gt;"&amp;S76,$S$10:$S$109,"&lt;"&amp;(S76+IF(L76=1,1000000,IF(L76=2,1000,1))),$AA$10:$AA$109,1)=0,"",_xlfn.MAXIFS($Z$10:$Z$109,$S$10:$S$109,"&gt;"&amp;S76,$S$10:$S$109,"&lt;"&amp;(S76+IF(L76=1,1000000,IF(L76=2,1000,1))),$AA$10:$AA$109,1)),IF(AA76=1,E76,"")))</f>
        <v/>
      </c>
      <c r="O76" s="7" t="str">
        <f>IF(K76="汇总",ROUND((IF(P76=0,"",IF(K76="汇总",IF(SUMIFS($Q$10:$Q$109,$S$10:$S$109,"&gt;"&amp;S76,$S$10:$S$109,"&lt;"&amp;(S76+IF(L76=1,1000000,IF(L76=2,1000,1))))=0,0,SUMIFS($R$10:$R$109,$S$10:$S$109,"&gt;"&amp;S76,$S$10:$S$109,"&lt;"&amp;(S76+IF(L76=1,1000000,IF(L76=2,1000,1))))/SUMIFS($Q$10:$Q$109,$S$10:$S$109,"&gt;"&amp;S76,$S$10:$S$109,"&lt;"&amp;(S76+IF(L76=1,1000000,IF(L76=2,1000,1))))),G76)))*100,0)/100,IF(P76=0,"",IF(K76="汇总",IF(SUMIFS($Q$10:$Q$109,$S$10:$S$109,"&gt;"&amp;S76,$S$10:$S$109,"&lt;"&amp;(S76+IF(L76=1,1000000,IF(L76=2,1000,1))))=0,0,SUMIFS($R$10:$R$109,$S$10:$S$109,"&gt;"&amp;S76,$S$10:$S$109,"&lt;"&amp;(S76+IF(L76=1,1000000,IF(L76=2,1000,1))))/SUMIFS($Q$10:$Q$109,$S$10:$S$109,"&gt;"&amp;S76,$S$10:$S$109,"&lt;"&amp;(S76+IF(L76=1,1000000,IF(L76=2,1000,1))))),G76)))</f>
        <v/>
      </c>
      <c r="P76" s="1">
        <f>IF(OR(A76="",B76="",J76="删除",AE76=0,COUNTIFS($AG$10:$AG$109,"W"&amp;A76)&lt;&gt;1,AND(L76&gt;1,COUNTIFS($AG$10:$AG$109,"W"&amp;V76,$B$10:$B$109,"&lt;&gt;")&lt;&gt;1),AND(L76=3,COUNTIFS($AG$10:$AG$109,"W"&amp;W76,$B$10:$B$109,"&lt;&gt;")&lt;&gt;1),COUNTIFS($AG$10:$AG$109,"W"&amp;V76,$J$10:$J$109,"删除")&gt;0,COUNTIFS($AG$10:$AG$109,"W"&amp;W76,$J$10:$J$109,"删除")&gt;0),0,1)</f>
        <v>0</v>
      </c>
      <c r="Q76" s="1">
        <f>IF(AA76=0,0,IF(I76="里程碑",1,F76))</f>
        <v>0</v>
      </c>
      <c r="R76" s="1">
        <f>IF(AA76=0,0,Q76*G76)</f>
        <v>0</v>
      </c>
      <c r="S76" s="1">
        <f>IF(P76=0,1000000000000000,AB76*1000000+AC76*1000+AD76)</f>
        <v>1000000000000000</v>
      </c>
      <c r="T76" s="1">
        <f>IF(P76=0,0,IF(Timing浏览!$D$5="全部",1,IF(Timing浏览!$D$5="仅里程碑",IF(K76="里程碑",1,0),IF(L76&lt;=VALUE(LEFT(Timing浏览!$D$5,1)),1,0))))</f>
        <v>0</v>
      </c>
      <c r="U76" s="1" t="str">
        <f>IF(T76=0,"",COUNTIFS($S$10:$S$109,"&lt;"&amp;S76,$T$10:$T$109,1)+1)</f>
        <v/>
      </c>
      <c r="V76" s="1" t="str">
        <f>IF(OR(A76="",L76=1),"",IF(L76=2,TEXT(AB76,"0"),TEXT(AB76,"0")&amp;"."&amp;TEXT(AC76,"0")))</f>
        <v/>
      </c>
      <c r="W76" s="1" t="str">
        <f>IF(OR(A76="",L76=1),"",TEXT(AB76,"0"))</f>
        <v/>
      </c>
      <c r="X76" s="1" t="str">
        <f>IF(AND(A76="",B76=""),"",IF(OR(A76="",B76=""),"请补编号和名称",IF(AE76=0,"编号需为1至3级正整数",IF(COUNTIFS($AG$10:$AG$109,"W"&amp;A76)&lt;&gt;1,"编号重复",IF(AND(L76&gt;1,COUNTIFS($AG$10:$AG$109,"W"&amp;V76,$B$10:$B$109,"&lt;&gt;")&lt;&gt;1),"缺少父任务",IF(J76="删除","待删除",IF(P76=0,"父任务已删除或无效",IF(K76="汇总",IF(COUNTIFS($S$10:$S$109,"&gt;"&amp;S76,$S$10:$S$109,"&lt;"&amp;(S76+IF(L76=1,1000000,IF(L76=2,1000,1))),$P$10:$P$109,1)=0,"等待子任务","由下级汇总"),IF(OR(D76="",E76=""),"待补日期",IF(E76&lt;D76,"结束早于开始",IF(AND(I76="里程碑",D76&lt;&gt;E76),"里程碑须同日","")))))))))))</f>
        <v/>
      </c>
      <c r="Y76" s="1">
        <f>IF(AA76=1,D76,100000000)</f>
        <v>100000000</v>
      </c>
      <c r="Z76" s="1">
        <f>IF(AA76=1,E76,0)</f>
        <v>0</v>
      </c>
      <c r="AA76" s="1">
        <f>IF(AND(P76=1,K76&lt;&gt;"汇总",ISNUMBER(F76),OR(I76&lt;&gt;"里程碑",D76=E76)),1,0)</f>
        <v>0</v>
      </c>
      <c r="AB76" s="1">
        <f>IF(A76="",0,IFERROR(VALUE(MID(("W"&amp;A76),2,FIND(".",("W"&amp;A76)&amp;".")-2)),-1))</f>
        <v>0</v>
      </c>
      <c r="AC76" s="1">
        <f>IF(OR(A76="",L76&lt;2),0,IFERROR(VALUE(MID(("W"&amp;A76),FIND(".",("W"&amp;A76))+1,FIND(".",("W"&amp;A76)&amp;".",FIND(".",("W"&amp;A76))+1)-FIND(".",("W"&amp;A76))-1)),-1))</f>
        <v>0</v>
      </c>
      <c r="AD76" s="1">
        <f>IF(OR(A76="",L76&lt;3),0,IFERROR(VALUE(RIGHT(("W"&amp;A76),LEN(("W"&amp;A76))-FIND(".",("W"&amp;A76),FIND(".",("W"&amp;A76))+1))),-1))</f>
        <v>0</v>
      </c>
      <c r="AE76" s="1">
        <f>IF(A76="",0,IF(AND(L76&lt;=3,AB76&gt;=1,AB76&lt;=999,AC76&gt;=0,AC76&lt;=999,AD76&gt;=0,AD76&lt;=999,A76=TEXT(AB76,"0")&amp;IF(L76&gt;1,"."&amp;TEXT(AC76,"0"),"")&amp;IF(L76&gt;2,"."&amp;TEXT(AD76,"0"),""),OR(L76&lt;2,AC76&gt;=1),OR(L76&lt;3,AD76&gt;=1)),1,0))</f>
        <v>0</v>
      </c>
      <c r="AF76" s="1"/>
      <c r="AG76" t="str">
        <f>"W"&amp;A76</f>
        <v>W</v>
      </c>
    </row>
    <row r="77" spans="1:33" ht="16.5">
      <c r="A77" s="12" t="str">
        <f>IF(ROW()-9&gt;ROWS(TimingTasks[WBS]),"",IF(AND(INDEX(TimingTasks[WBS],ROW()-9)="",NOT(ISNUMBER(INDEX(TimingTasks[WBS],ROW()-9)))),"",INDEX(TimingTasks[WBS],ROW()-9)))</f>
        <v/>
      </c>
      <c r="B77" s="10" t="str">
        <f>IF(ROW()-9&gt;ROWS(TimingTasks[WBS]),"",IF(AND(INDEX(TimingTasks[任务名称],ROW()-9)="",NOT(ISNUMBER(INDEX(TimingTasks[任务名称],ROW()-9)))),"",INDEX(TimingTasks[任务名称],ROW()-9)))</f>
        <v/>
      </c>
      <c r="C77" s="10" t="str">
        <f>IF(ROW()-9&gt;ROWS(TimingTasks[WBS]),"",IF(AND(INDEX(TimingTasks[负责人],ROW()-9)="",NOT(ISNUMBER(INDEX(TimingTasks[负责人],ROW()-9)))),"",INDEX(TimingTasks[负责人],ROW()-9)))</f>
        <v/>
      </c>
      <c r="D77" s="11" t="str">
        <f>IF(ROW()-9&gt;ROWS(TimingTasks[WBS]),"",IF(AND(INDEX(TimingTasks[输入开始],ROW()-9)="",NOT(ISNUMBER(INDEX(TimingTasks[输入开始],ROW()-9)))),"",INDEX(TimingTasks[输入开始],ROW()-9)))</f>
        <v/>
      </c>
      <c r="E77" s="11" t="str">
        <f>IF(ROW()-9&gt;ROWS(TimingTasks[WBS]),"",IF(AND(INDEX(TimingTasks[输入结束],ROW()-9)="",NOT(ISNUMBER(INDEX(TimingTasks[输入结束],ROW()-9)))),"",INDEX(TimingTasks[输入结束],ROW()-9)))</f>
        <v/>
      </c>
      <c r="F77" s="1" t="str">
        <f>IF(OR(P77=0,K77="汇总",D77="",E77="",E77&lt;D77),"",IF(I77="里程碑",0,NETWORKDAYS(D77,E77)))</f>
        <v/>
      </c>
      <c r="G77" s="15" t="str">
        <f>IF(ROW()-9&gt;ROWS(TimingTasks[WBS]),"",IF(AND(INDEX(TimingTasks[输入完成度],ROW()-9)="",NOT(ISNUMBER(INDEX(TimingTasks[输入完成度],ROW()-9)))),0,INDEX(TimingTasks[输入完成度],ROW()-9)))</f>
        <v/>
      </c>
      <c r="H77" s="10" t="str">
        <f>IF(ROW()-9&gt;ROWS(TimingTasks[WBS]),"",IF(AND(INDEX(TimingTasks[前置任务 WBS],ROW()-9)="",NOT(ISNUMBER(INDEX(TimingTasks[前置任务 WBS],ROW()-9)))),"",INDEX(TimingTasks[前置任务 WBS],ROW()-9)))</f>
        <v/>
      </c>
      <c r="I77" s="10" t="str">
        <f>IF(ROW()-9&gt;ROWS(TimingTasks[WBS]),"",IF(AND(INDEX(TimingTasks[叶子类型],ROW()-9)="",NOT(ISNUMBER(INDEX(TimingTasks[叶子类型],ROW()-9)))),"普通任务",INDEX(TimingTasks[叶子类型],ROW()-9)))</f>
        <v/>
      </c>
      <c r="J77" s="10" t="str">
        <f>IF(ROW()-9&gt;ROWS(TimingTasks[WBS]),"",IF(AND(INDEX(TimingTasks[操作],ROW()-9)="",NOT(ISNUMBER(INDEX(TimingTasks[操作],ROW()-9)))),"保留",INDEX(TimingTasks[操作],ROW()-9)))</f>
        <v/>
      </c>
      <c r="K77" s="1" t="str">
        <f>IF(P77=0,"",IF(OR(AND(L77=1,D77="",E77="",I77&lt;&gt;"里程碑"),COUNTIFS($S$10:$S$109,"&gt;"&amp;S77,$S$10:$S$109,"&lt;"&amp;(S77+IF(L77=1,1000000,IF(L77=2,1000,1))),$P$10:$P$109,1)&gt;0),"汇总",I77))</f>
        <v/>
      </c>
      <c r="L77" s="1" t="str">
        <f>IF(A77="","",LEN(("W"&amp;A77))-LEN(SUBSTITUTE(("W"&amp;A77),".",""))+1)</f>
        <v/>
      </c>
      <c r="M77" s="3" t="str">
        <f>IF(P77=0,"",IF(K77="汇总",IF(COUNTIFS($S$10:$S$109,"&gt;"&amp;S77,$S$10:$S$109,"&lt;"&amp;(S77+IF(L77=1,1000000,IF(L77=2,1000,1))),$AA$10:$AA$109,1)=0,"",_xlfn.MINIFS($Y$10:$Y$109,$S$10:$S$109,"&gt;"&amp;S77,$S$10:$S$109,"&lt;"&amp;(S77+IF(L77=1,1000000,IF(L77=2,1000,1))),$AA$10:$AA$109,1)),IF(AA77=1,D77,"")))</f>
        <v/>
      </c>
      <c r="N77" s="3" t="str">
        <f>IF(P77=0,"",IF(K77="汇总",IF(COUNTIFS($S$10:$S$109,"&gt;"&amp;S77,$S$10:$S$109,"&lt;"&amp;(S77+IF(L77=1,1000000,IF(L77=2,1000,1))),$AA$10:$AA$109,1)=0,"",_xlfn.MAXIFS($Z$10:$Z$109,$S$10:$S$109,"&gt;"&amp;S77,$S$10:$S$109,"&lt;"&amp;(S77+IF(L77=1,1000000,IF(L77=2,1000,1))),$AA$10:$AA$109,1)),IF(AA77=1,E77,"")))</f>
        <v/>
      </c>
      <c r="O77" s="7" t="str">
        <f>IF(K77="汇总",ROUND((IF(P77=0,"",IF(K77="汇总",IF(SUMIFS($Q$10:$Q$109,$S$10:$S$109,"&gt;"&amp;S77,$S$10:$S$109,"&lt;"&amp;(S77+IF(L77=1,1000000,IF(L77=2,1000,1))))=0,0,SUMIFS($R$10:$R$109,$S$10:$S$109,"&gt;"&amp;S77,$S$10:$S$109,"&lt;"&amp;(S77+IF(L77=1,1000000,IF(L77=2,1000,1))))/SUMIFS($Q$10:$Q$109,$S$10:$S$109,"&gt;"&amp;S77,$S$10:$S$109,"&lt;"&amp;(S77+IF(L77=1,1000000,IF(L77=2,1000,1))))),G77)))*100,0)/100,IF(P77=0,"",IF(K77="汇总",IF(SUMIFS($Q$10:$Q$109,$S$10:$S$109,"&gt;"&amp;S77,$S$10:$S$109,"&lt;"&amp;(S77+IF(L77=1,1000000,IF(L77=2,1000,1))))=0,0,SUMIFS($R$10:$R$109,$S$10:$S$109,"&gt;"&amp;S77,$S$10:$S$109,"&lt;"&amp;(S77+IF(L77=1,1000000,IF(L77=2,1000,1))))/SUMIFS($Q$10:$Q$109,$S$10:$S$109,"&gt;"&amp;S77,$S$10:$S$109,"&lt;"&amp;(S77+IF(L77=1,1000000,IF(L77=2,1000,1))))),G77)))</f>
        <v/>
      </c>
      <c r="P77" s="1">
        <f>IF(OR(A77="",B77="",J77="删除",AE77=0,COUNTIFS($AG$10:$AG$109,"W"&amp;A77)&lt;&gt;1,AND(L77&gt;1,COUNTIFS($AG$10:$AG$109,"W"&amp;V77,$B$10:$B$109,"&lt;&gt;")&lt;&gt;1),AND(L77=3,COUNTIFS($AG$10:$AG$109,"W"&amp;W77,$B$10:$B$109,"&lt;&gt;")&lt;&gt;1),COUNTIFS($AG$10:$AG$109,"W"&amp;V77,$J$10:$J$109,"删除")&gt;0,COUNTIFS($AG$10:$AG$109,"W"&amp;W77,$J$10:$J$109,"删除")&gt;0),0,1)</f>
        <v>0</v>
      </c>
      <c r="Q77" s="1">
        <f>IF(AA77=0,0,IF(I77="里程碑",1,F77))</f>
        <v>0</v>
      </c>
      <c r="R77" s="1">
        <f>IF(AA77=0,0,Q77*G77)</f>
        <v>0</v>
      </c>
      <c r="S77" s="1">
        <f>IF(P77=0,1000000000000000,AB77*1000000+AC77*1000+AD77)</f>
        <v>1000000000000000</v>
      </c>
      <c r="T77" s="1">
        <f>IF(P77=0,0,IF(Timing浏览!$D$5="全部",1,IF(Timing浏览!$D$5="仅里程碑",IF(K77="里程碑",1,0),IF(L77&lt;=VALUE(LEFT(Timing浏览!$D$5,1)),1,0))))</f>
        <v>0</v>
      </c>
      <c r="U77" s="1" t="str">
        <f>IF(T77=0,"",COUNTIFS($S$10:$S$109,"&lt;"&amp;S77,$T$10:$T$109,1)+1)</f>
        <v/>
      </c>
      <c r="V77" s="1" t="str">
        <f>IF(OR(A77="",L77=1),"",IF(L77=2,TEXT(AB77,"0"),TEXT(AB77,"0")&amp;"."&amp;TEXT(AC77,"0")))</f>
        <v/>
      </c>
      <c r="W77" s="1" t="str">
        <f>IF(OR(A77="",L77=1),"",TEXT(AB77,"0"))</f>
        <v/>
      </c>
      <c r="X77" s="1" t="str">
        <f>IF(AND(A77="",B77=""),"",IF(OR(A77="",B77=""),"请补编号和名称",IF(AE77=0,"编号需为1至3级正整数",IF(COUNTIFS($AG$10:$AG$109,"W"&amp;A77)&lt;&gt;1,"编号重复",IF(AND(L77&gt;1,COUNTIFS($AG$10:$AG$109,"W"&amp;V77,$B$10:$B$109,"&lt;&gt;")&lt;&gt;1),"缺少父任务",IF(J77="删除","待删除",IF(P77=0,"父任务已删除或无效",IF(K77="汇总",IF(COUNTIFS($S$10:$S$109,"&gt;"&amp;S77,$S$10:$S$109,"&lt;"&amp;(S77+IF(L77=1,1000000,IF(L77=2,1000,1))),$P$10:$P$109,1)=0,"等待子任务","由下级汇总"),IF(OR(D77="",E77=""),"待补日期",IF(E77&lt;D77,"结束早于开始",IF(AND(I77="里程碑",D77&lt;&gt;E77),"里程碑须同日","")))))))))))</f>
        <v/>
      </c>
      <c r="Y77" s="1">
        <f>IF(AA77=1,D77,100000000)</f>
        <v>100000000</v>
      </c>
      <c r="Z77" s="1">
        <f>IF(AA77=1,E77,0)</f>
        <v>0</v>
      </c>
      <c r="AA77" s="1">
        <f>IF(AND(P77=1,K77&lt;&gt;"汇总",ISNUMBER(F77),OR(I77&lt;&gt;"里程碑",D77=E77)),1,0)</f>
        <v>0</v>
      </c>
      <c r="AB77" s="1">
        <f>IF(A77="",0,IFERROR(VALUE(MID(("W"&amp;A77),2,FIND(".",("W"&amp;A77)&amp;".")-2)),-1))</f>
        <v>0</v>
      </c>
      <c r="AC77" s="1">
        <f>IF(OR(A77="",L77&lt;2),0,IFERROR(VALUE(MID(("W"&amp;A77),FIND(".",("W"&amp;A77))+1,FIND(".",("W"&amp;A77)&amp;".",FIND(".",("W"&amp;A77))+1)-FIND(".",("W"&amp;A77))-1)),-1))</f>
        <v>0</v>
      </c>
      <c r="AD77" s="1">
        <f>IF(OR(A77="",L77&lt;3),0,IFERROR(VALUE(RIGHT(("W"&amp;A77),LEN(("W"&amp;A77))-FIND(".",("W"&amp;A77),FIND(".",("W"&amp;A77))+1))),-1))</f>
        <v>0</v>
      </c>
      <c r="AE77" s="1">
        <f>IF(A77="",0,IF(AND(L77&lt;=3,AB77&gt;=1,AB77&lt;=999,AC77&gt;=0,AC77&lt;=999,AD77&gt;=0,AD77&lt;=999,A77=TEXT(AB77,"0")&amp;IF(L77&gt;1,"."&amp;TEXT(AC77,"0"),"")&amp;IF(L77&gt;2,"."&amp;TEXT(AD77,"0"),""),OR(L77&lt;2,AC77&gt;=1),OR(L77&lt;3,AD77&gt;=1)),1,0))</f>
        <v>0</v>
      </c>
      <c r="AF77" s="1"/>
      <c r="AG77" t="str">
        <f>"W"&amp;A77</f>
        <v>W</v>
      </c>
    </row>
    <row r="78" spans="1:33" ht="16.5">
      <c r="A78" s="12" t="str">
        <f>IF(ROW()-9&gt;ROWS(TimingTasks[WBS]),"",IF(AND(INDEX(TimingTasks[WBS],ROW()-9)="",NOT(ISNUMBER(INDEX(TimingTasks[WBS],ROW()-9)))),"",INDEX(TimingTasks[WBS],ROW()-9)))</f>
        <v/>
      </c>
      <c r="B78" s="10" t="str">
        <f>IF(ROW()-9&gt;ROWS(TimingTasks[WBS]),"",IF(AND(INDEX(TimingTasks[任务名称],ROW()-9)="",NOT(ISNUMBER(INDEX(TimingTasks[任务名称],ROW()-9)))),"",INDEX(TimingTasks[任务名称],ROW()-9)))</f>
        <v/>
      </c>
      <c r="C78" s="10" t="str">
        <f>IF(ROW()-9&gt;ROWS(TimingTasks[WBS]),"",IF(AND(INDEX(TimingTasks[负责人],ROW()-9)="",NOT(ISNUMBER(INDEX(TimingTasks[负责人],ROW()-9)))),"",INDEX(TimingTasks[负责人],ROW()-9)))</f>
        <v/>
      </c>
      <c r="D78" s="11" t="str">
        <f>IF(ROW()-9&gt;ROWS(TimingTasks[WBS]),"",IF(AND(INDEX(TimingTasks[输入开始],ROW()-9)="",NOT(ISNUMBER(INDEX(TimingTasks[输入开始],ROW()-9)))),"",INDEX(TimingTasks[输入开始],ROW()-9)))</f>
        <v/>
      </c>
      <c r="E78" s="11" t="str">
        <f>IF(ROW()-9&gt;ROWS(TimingTasks[WBS]),"",IF(AND(INDEX(TimingTasks[输入结束],ROW()-9)="",NOT(ISNUMBER(INDEX(TimingTasks[输入结束],ROW()-9)))),"",INDEX(TimingTasks[输入结束],ROW()-9)))</f>
        <v/>
      </c>
      <c r="F78" s="1" t="str">
        <f>IF(OR(P78=0,K78="汇总",D78="",E78="",E78&lt;D78),"",IF(I78="里程碑",0,NETWORKDAYS(D78,E78)))</f>
        <v/>
      </c>
      <c r="G78" s="15" t="str">
        <f>IF(ROW()-9&gt;ROWS(TimingTasks[WBS]),"",IF(AND(INDEX(TimingTasks[输入完成度],ROW()-9)="",NOT(ISNUMBER(INDEX(TimingTasks[输入完成度],ROW()-9)))),0,INDEX(TimingTasks[输入完成度],ROW()-9)))</f>
        <v/>
      </c>
      <c r="H78" s="10" t="str">
        <f>IF(ROW()-9&gt;ROWS(TimingTasks[WBS]),"",IF(AND(INDEX(TimingTasks[前置任务 WBS],ROW()-9)="",NOT(ISNUMBER(INDEX(TimingTasks[前置任务 WBS],ROW()-9)))),"",INDEX(TimingTasks[前置任务 WBS],ROW()-9)))</f>
        <v/>
      </c>
      <c r="I78" s="10" t="str">
        <f>IF(ROW()-9&gt;ROWS(TimingTasks[WBS]),"",IF(AND(INDEX(TimingTasks[叶子类型],ROW()-9)="",NOT(ISNUMBER(INDEX(TimingTasks[叶子类型],ROW()-9)))),"普通任务",INDEX(TimingTasks[叶子类型],ROW()-9)))</f>
        <v/>
      </c>
      <c r="J78" s="10" t="str">
        <f>IF(ROW()-9&gt;ROWS(TimingTasks[WBS]),"",IF(AND(INDEX(TimingTasks[操作],ROW()-9)="",NOT(ISNUMBER(INDEX(TimingTasks[操作],ROW()-9)))),"保留",INDEX(TimingTasks[操作],ROW()-9)))</f>
        <v/>
      </c>
      <c r="K78" s="1" t="str">
        <f>IF(P78=0,"",IF(OR(AND(L78=1,D78="",E78="",I78&lt;&gt;"里程碑"),COUNTIFS($S$10:$S$109,"&gt;"&amp;S78,$S$10:$S$109,"&lt;"&amp;(S78+IF(L78=1,1000000,IF(L78=2,1000,1))),$P$10:$P$109,1)&gt;0),"汇总",I78))</f>
        <v/>
      </c>
      <c r="L78" s="1" t="str">
        <f>IF(A78="","",LEN(("W"&amp;A78))-LEN(SUBSTITUTE(("W"&amp;A78),".",""))+1)</f>
        <v/>
      </c>
      <c r="M78" s="3" t="str">
        <f>IF(P78=0,"",IF(K78="汇总",IF(COUNTIFS($S$10:$S$109,"&gt;"&amp;S78,$S$10:$S$109,"&lt;"&amp;(S78+IF(L78=1,1000000,IF(L78=2,1000,1))),$AA$10:$AA$109,1)=0,"",_xlfn.MINIFS($Y$10:$Y$109,$S$10:$S$109,"&gt;"&amp;S78,$S$10:$S$109,"&lt;"&amp;(S78+IF(L78=1,1000000,IF(L78=2,1000,1))),$AA$10:$AA$109,1)),IF(AA78=1,D78,"")))</f>
        <v/>
      </c>
      <c r="N78" s="3" t="str">
        <f>IF(P78=0,"",IF(K78="汇总",IF(COUNTIFS($S$10:$S$109,"&gt;"&amp;S78,$S$10:$S$109,"&lt;"&amp;(S78+IF(L78=1,1000000,IF(L78=2,1000,1))),$AA$10:$AA$109,1)=0,"",_xlfn.MAXIFS($Z$10:$Z$109,$S$10:$S$109,"&gt;"&amp;S78,$S$10:$S$109,"&lt;"&amp;(S78+IF(L78=1,1000000,IF(L78=2,1000,1))),$AA$10:$AA$109,1)),IF(AA78=1,E78,"")))</f>
        <v/>
      </c>
      <c r="O78" s="7" t="str">
        <f>IF(K78="汇总",ROUND((IF(P78=0,"",IF(K78="汇总",IF(SUMIFS($Q$10:$Q$109,$S$10:$S$109,"&gt;"&amp;S78,$S$10:$S$109,"&lt;"&amp;(S78+IF(L78=1,1000000,IF(L78=2,1000,1))))=0,0,SUMIFS($R$10:$R$109,$S$10:$S$109,"&gt;"&amp;S78,$S$10:$S$109,"&lt;"&amp;(S78+IF(L78=1,1000000,IF(L78=2,1000,1))))/SUMIFS($Q$10:$Q$109,$S$10:$S$109,"&gt;"&amp;S78,$S$10:$S$109,"&lt;"&amp;(S78+IF(L78=1,1000000,IF(L78=2,1000,1))))),G78)))*100,0)/100,IF(P78=0,"",IF(K78="汇总",IF(SUMIFS($Q$10:$Q$109,$S$10:$S$109,"&gt;"&amp;S78,$S$10:$S$109,"&lt;"&amp;(S78+IF(L78=1,1000000,IF(L78=2,1000,1))))=0,0,SUMIFS($R$10:$R$109,$S$10:$S$109,"&gt;"&amp;S78,$S$10:$S$109,"&lt;"&amp;(S78+IF(L78=1,1000000,IF(L78=2,1000,1))))/SUMIFS($Q$10:$Q$109,$S$10:$S$109,"&gt;"&amp;S78,$S$10:$S$109,"&lt;"&amp;(S78+IF(L78=1,1000000,IF(L78=2,1000,1))))),G78)))</f>
        <v/>
      </c>
      <c r="P78" s="1">
        <f>IF(OR(A78="",B78="",J78="删除",AE78=0,COUNTIFS($AG$10:$AG$109,"W"&amp;A78)&lt;&gt;1,AND(L78&gt;1,COUNTIFS($AG$10:$AG$109,"W"&amp;V78,$B$10:$B$109,"&lt;&gt;")&lt;&gt;1),AND(L78=3,COUNTIFS($AG$10:$AG$109,"W"&amp;W78,$B$10:$B$109,"&lt;&gt;")&lt;&gt;1),COUNTIFS($AG$10:$AG$109,"W"&amp;V78,$J$10:$J$109,"删除")&gt;0,COUNTIFS($AG$10:$AG$109,"W"&amp;W78,$J$10:$J$109,"删除")&gt;0),0,1)</f>
        <v>0</v>
      </c>
      <c r="Q78" s="1">
        <f>IF(AA78=0,0,IF(I78="里程碑",1,F78))</f>
        <v>0</v>
      </c>
      <c r="R78" s="1">
        <f>IF(AA78=0,0,Q78*G78)</f>
        <v>0</v>
      </c>
      <c r="S78" s="1">
        <f>IF(P78=0,1000000000000000,AB78*1000000+AC78*1000+AD78)</f>
        <v>1000000000000000</v>
      </c>
      <c r="T78" s="1">
        <f>IF(P78=0,0,IF(Timing浏览!$D$5="全部",1,IF(Timing浏览!$D$5="仅里程碑",IF(K78="里程碑",1,0),IF(L78&lt;=VALUE(LEFT(Timing浏览!$D$5,1)),1,0))))</f>
        <v>0</v>
      </c>
      <c r="U78" s="1" t="str">
        <f>IF(T78=0,"",COUNTIFS($S$10:$S$109,"&lt;"&amp;S78,$T$10:$T$109,1)+1)</f>
        <v/>
      </c>
      <c r="V78" s="1" t="str">
        <f>IF(OR(A78="",L78=1),"",IF(L78=2,TEXT(AB78,"0"),TEXT(AB78,"0")&amp;"."&amp;TEXT(AC78,"0")))</f>
        <v/>
      </c>
      <c r="W78" s="1" t="str">
        <f>IF(OR(A78="",L78=1),"",TEXT(AB78,"0"))</f>
        <v/>
      </c>
      <c r="X78" s="1" t="str">
        <f>IF(AND(A78="",B78=""),"",IF(OR(A78="",B78=""),"请补编号和名称",IF(AE78=0,"编号需为1至3级正整数",IF(COUNTIFS($AG$10:$AG$109,"W"&amp;A78)&lt;&gt;1,"编号重复",IF(AND(L78&gt;1,COUNTIFS($AG$10:$AG$109,"W"&amp;V78,$B$10:$B$109,"&lt;&gt;")&lt;&gt;1),"缺少父任务",IF(J78="删除","待删除",IF(P78=0,"父任务已删除或无效",IF(K78="汇总",IF(COUNTIFS($S$10:$S$109,"&gt;"&amp;S78,$S$10:$S$109,"&lt;"&amp;(S78+IF(L78=1,1000000,IF(L78=2,1000,1))),$P$10:$P$109,1)=0,"等待子任务","由下级汇总"),IF(OR(D78="",E78=""),"待补日期",IF(E78&lt;D78,"结束早于开始",IF(AND(I78="里程碑",D78&lt;&gt;E78),"里程碑须同日","")))))))))))</f>
        <v/>
      </c>
      <c r="Y78" s="1">
        <f>IF(AA78=1,D78,100000000)</f>
        <v>100000000</v>
      </c>
      <c r="Z78" s="1">
        <f>IF(AA78=1,E78,0)</f>
        <v>0</v>
      </c>
      <c r="AA78" s="1">
        <f>IF(AND(P78=1,K78&lt;&gt;"汇总",ISNUMBER(F78),OR(I78&lt;&gt;"里程碑",D78=E78)),1,0)</f>
        <v>0</v>
      </c>
      <c r="AB78" s="1">
        <f>IF(A78="",0,IFERROR(VALUE(MID(("W"&amp;A78),2,FIND(".",("W"&amp;A78)&amp;".")-2)),-1))</f>
        <v>0</v>
      </c>
      <c r="AC78" s="1">
        <f>IF(OR(A78="",L78&lt;2),0,IFERROR(VALUE(MID(("W"&amp;A78),FIND(".",("W"&amp;A78))+1,FIND(".",("W"&amp;A78)&amp;".",FIND(".",("W"&amp;A78))+1)-FIND(".",("W"&amp;A78))-1)),-1))</f>
        <v>0</v>
      </c>
      <c r="AD78" s="1">
        <f>IF(OR(A78="",L78&lt;3),0,IFERROR(VALUE(RIGHT(("W"&amp;A78),LEN(("W"&amp;A78))-FIND(".",("W"&amp;A78),FIND(".",("W"&amp;A78))+1))),-1))</f>
        <v>0</v>
      </c>
      <c r="AE78" s="1">
        <f>IF(A78="",0,IF(AND(L78&lt;=3,AB78&gt;=1,AB78&lt;=999,AC78&gt;=0,AC78&lt;=999,AD78&gt;=0,AD78&lt;=999,A78=TEXT(AB78,"0")&amp;IF(L78&gt;1,"."&amp;TEXT(AC78,"0"),"")&amp;IF(L78&gt;2,"."&amp;TEXT(AD78,"0"),""),OR(L78&lt;2,AC78&gt;=1),OR(L78&lt;3,AD78&gt;=1)),1,0))</f>
        <v>0</v>
      </c>
      <c r="AF78" s="1"/>
      <c r="AG78" t="str">
        <f>"W"&amp;A78</f>
        <v>W</v>
      </c>
    </row>
    <row r="79" spans="1:33" ht="16.5">
      <c r="A79" s="12" t="str">
        <f>IF(ROW()-9&gt;ROWS(TimingTasks[WBS]),"",IF(AND(INDEX(TimingTasks[WBS],ROW()-9)="",NOT(ISNUMBER(INDEX(TimingTasks[WBS],ROW()-9)))),"",INDEX(TimingTasks[WBS],ROW()-9)))</f>
        <v/>
      </c>
      <c r="B79" s="10" t="str">
        <f>IF(ROW()-9&gt;ROWS(TimingTasks[WBS]),"",IF(AND(INDEX(TimingTasks[任务名称],ROW()-9)="",NOT(ISNUMBER(INDEX(TimingTasks[任务名称],ROW()-9)))),"",INDEX(TimingTasks[任务名称],ROW()-9)))</f>
        <v/>
      </c>
      <c r="C79" s="10" t="str">
        <f>IF(ROW()-9&gt;ROWS(TimingTasks[WBS]),"",IF(AND(INDEX(TimingTasks[负责人],ROW()-9)="",NOT(ISNUMBER(INDEX(TimingTasks[负责人],ROW()-9)))),"",INDEX(TimingTasks[负责人],ROW()-9)))</f>
        <v/>
      </c>
      <c r="D79" s="11" t="str">
        <f>IF(ROW()-9&gt;ROWS(TimingTasks[WBS]),"",IF(AND(INDEX(TimingTasks[输入开始],ROW()-9)="",NOT(ISNUMBER(INDEX(TimingTasks[输入开始],ROW()-9)))),"",INDEX(TimingTasks[输入开始],ROW()-9)))</f>
        <v/>
      </c>
      <c r="E79" s="11" t="str">
        <f>IF(ROW()-9&gt;ROWS(TimingTasks[WBS]),"",IF(AND(INDEX(TimingTasks[输入结束],ROW()-9)="",NOT(ISNUMBER(INDEX(TimingTasks[输入结束],ROW()-9)))),"",INDEX(TimingTasks[输入结束],ROW()-9)))</f>
        <v/>
      </c>
      <c r="F79" s="1" t="str">
        <f>IF(OR(P79=0,K79="汇总",D79="",E79="",E79&lt;D79),"",IF(I79="里程碑",0,NETWORKDAYS(D79,E79)))</f>
        <v/>
      </c>
      <c r="G79" s="15" t="str">
        <f>IF(ROW()-9&gt;ROWS(TimingTasks[WBS]),"",IF(AND(INDEX(TimingTasks[输入完成度],ROW()-9)="",NOT(ISNUMBER(INDEX(TimingTasks[输入完成度],ROW()-9)))),0,INDEX(TimingTasks[输入完成度],ROW()-9)))</f>
        <v/>
      </c>
      <c r="H79" s="10" t="str">
        <f>IF(ROW()-9&gt;ROWS(TimingTasks[WBS]),"",IF(AND(INDEX(TimingTasks[前置任务 WBS],ROW()-9)="",NOT(ISNUMBER(INDEX(TimingTasks[前置任务 WBS],ROW()-9)))),"",INDEX(TimingTasks[前置任务 WBS],ROW()-9)))</f>
        <v/>
      </c>
      <c r="I79" s="10" t="str">
        <f>IF(ROW()-9&gt;ROWS(TimingTasks[WBS]),"",IF(AND(INDEX(TimingTasks[叶子类型],ROW()-9)="",NOT(ISNUMBER(INDEX(TimingTasks[叶子类型],ROW()-9)))),"普通任务",INDEX(TimingTasks[叶子类型],ROW()-9)))</f>
        <v/>
      </c>
      <c r="J79" s="10" t="str">
        <f>IF(ROW()-9&gt;ROWS(TimingTasks[WBS]),"",IF(AND(INDEX(TimingTasks[操作],ROW()-9)="",NOT(ISNUMBER(INDEX(TimingTasks[操作],ROW()-9)))),"保留",INDEX(TimingTasks[操作],ROW()-9)))</f>
        <v/>
      </c>
      <c r="K79" s="1" t="str">
        <f>IF(P79=0,"",IF(OR(AND(L79=1,D79="",E79="",I79&lt;&gt;"里程碑"),COUNTIFS($S$10:$S$109,"&gt;"&amp;S79,$S$10:$S$109,"&lt;"&amp;(S79+IF(L79=1,1000000,IF(L79=2,1000,1))),$P$10:$P$109,1)&gt;0),"汇总",I79))</f>
        <v/>
      </c>
      <c r="L79" s="1" t="str">
        <f>IF(A79="","",LEN(("W"&amp;A79))-LEN(SUBSTITUTE(("W"&amp;A79),".",""))+1)</f>
        <v/>
      </c>
      <c r="M79" s="3" t="str">
        <f>IF(P79=0,"",IF(K79="汇总",IF(COUNTIFS($S$10:$S$109,"&gt;"&amp;S79,$S$10:$S$109,"&lt;"&amp;(S79+IF(L79=1,1000000,IF(L79=2,1000,1))),$AA$10:$AA$109,1)=0,"",_xlfn.MINIFS($Y$10:$Y$109,$S$10:$S$109,"&gt;"&amp;S79,$S$10:$S$109,"&lt;"&amp;(S79+IF(L79=1,1000000,IF(L79=2,1000,1))),$AA$10:$AA$109,1)),IF(AA79=1,D79,"")))</f>
        <v/>
      </c>
      <c r="N79" s="3" t="str">
        <f>IF(P79=0,"",IF(K79="汇总",IF(COUNTIFS($S$10:$S$109,"&gt;"&amp;S79,$S$10:$S$109,"&lt;"&amp;(S79+IF(L79=1,1000000,IF(L79=2,1000,1))),$AA$10:$AA$109,1)=0,"",_xlfn.MAXIFS($Z$10:$Z$109,$S$10:$S$109,"&gt;"&amp;S79,$S$10:$S$109,"&lt;"&amp;(S79+IF(L79=1,1000000,IF(L79=2,1000,1))),$AA$10:$AA$109,1)),IF(AA79=1,E79,"")))</f>
        <v/>
      </c>
      <c r="O79" s="7" t="str">
        <f>IF(K79="汇总",ROUND((IF(P79=0,"",IF(K79="汇总",IF(SUMIFS($Q$10:$Q$109,$S$10:$S$109,"&gt;"&amp;S79,$S$10:$S$109,"&lt;"&amp;(S79+IF(L79=1,1000000,IF(L79=2,1000,1))))=0,0,SUMIFS($R$10:$R$109,$S$10:$S$109,"&gt;"&amp;S79,$S$10:$S$109,"&lt;"&amp;(S79+IF(L79=1,1000000,IF(L79=2,1000,1))))/SUMIFS($Q$10:$Q$109,$S$10:$S$109,"&gt;"&amp;S79,$S$10:$S$109,"&lt;"&amp;(S79+IF(L79=1,1000000,IF(L79=2,1000,1))))),G79)))*100,0)/100,IF(P79=0,"",IF(K79="汇总",IF(SUMIFS($Q$10:$Q$109,$S$10:$S$109,"&gt;"&amp;S79,$S$10:$S$109,"&lt;"&amp;(S79+IF(L79=1,1000000,IF(L79=2,1000,1))))=0,0,SUMIFS($R$10:$R$109,$S$10:$S$109,"&gt;"&amp;S79,$S$10:$S$109,"&lt;"&amp;(S79+IF(L79=1,1000000,IF(L79=2,1000,1))))/SUMIFS($Q$10:$Q$109,$S$10:$S$109,"&gt;"&amp;S79,$S$10:$S$109,"&lt;"&amp;(S79+IF(L79=1,1000000,IF(L79=2,1000,1))))),G79)))</f>
        <v/>
      </c>
      <c r="P79" s="1">
        <f>IF(OR(A79="",B79="",J79="删除",AE79=0,COUNTIFS($AG$10:$AG$109,"W"&amp;A79)&lt;&gt;1,AND(L79&gt;1,COUNTIFS($AG$10:$AG$109,"W"&amp;V79,$B$10:$B$109,"&lt;&gt;")&lt;&gt;1),AND(L79=3,COUNTIFS($AG$10:$AG$109,"W"&amp;W79,$B$10:$B$109,"&lt;&gt;")&lt;&gt;1),COUNTIFS($AG$10:$AG$109,"W"&amp;V79,$J$10:$J$109,"删除")&gt;0,COUNTIFS($AG$10:$AG$109,"W"&amp;W79,$J$10:$J$109,"删除")&gt;0),0,1)</f>
        <v>0</v>
      </c>
      <c r="Q79" s="1">
        <f>IF(AA79=0,0,IF(I79="里程碑",1,F79))</f>
        <v>0</v>
      </c>
      <c r="R79" s="1">
        <f>IF(AA79=0,0,Q79*G79)</f>
        <v>0</v>
      </c>
      <c r="S79" s="1">
        <f>IF(P79=0,1000000000000000,AB79*1000000+AC79*1000+AD79)</f>
        <v>1000000000000000</v>
      </c>
      <c r="T79" s="1">
        <f>IF(P79=0,0,IF(Timing浏览!$D$5="全部",1,IF(Timing浏览!$D$5="仅里程碑",IF(K79="里程碑",1,0),IF(L79&lt;=VALUE(LEFT(Timing浏览!$D$5,1)),1,0))))</f>
        <v>0</v>
      </c>
      <c r="U79" s="1" t="str">
        <f>IF(T79=0,"",COUNTIFS($S$10:$S$109,"&lt;"&amp;S79,$T$10:$T$109,1)+1)</f>
        <v/>
      </c>
      <c r="V79" s="1" t="str">
        <f>IF(OR(A79="",L79=1),"",IF(L79=2,TEXT(AB79,"0"),TEXT(AB79,"0")&amp;"."&amp;TEXT(AC79,"0")))</f>
        <v/>
      </c>
      <c r="W79" s="1" t="str">
        <f>IF(OR(A79="",L79=1),"",TEXT(AB79,"0"))</f>
        <v/>
      </c>
      <c r="X79" s="1" t="str">
        <f>IF(AND(A79="",B79=""),"",IF(OR(A79="",B79=""),"请补编号和名称",IF(AE79=0,"编号需为1至3级正整数",IF(COUNTIFS($AG$10:$AG$109,"W"&amp;A79)&lt;&gt;1,"编号重复",IF(AND(L79&gt;1,COUNTIFS($AG$10:$AG$109,"W"&amp;V79,$B$10:$B$109,"&lt;&gt;")&lt;&gt;1),"缺少父任务",IF(J79="删除","待删除",IF(P79=0,"父任务已删除或无效",IF(K79="汇总",IF(COUNTIFS($S$10:$S$109,"&gt;"&amp;S79,$S$10:$S$109,"&lt;"&amp;(S79+IF(L79=1,1000000,IF(L79=2,1000,1))),$P$10:$P$109,1)=0,"等待子任务","由下级汇总"),IF(OR(D79="",E79=""),"待补日期",IF(E79&lt;D79,"结束早于开始",IF(AND(I79="里程碑",D79&lt;&gt;E79),"里程碑须同日","")))))))))))</f>
        <v/>
      </c>
      <c r="Y79" s="1">
        <f>IF(AA79=1,D79,100000000)</f>
        <v>100000000</v>
      </c>
      <c r="Z79" s="1">
        <f>IF(AA79=1,E79,0)</f>
        <v>0</v>
      </c>
      <c r="AA79" s="1">
        <f>IF(AND(P79=1,K79&lt;&gt;"汇总",ISNUMBER(F79),OR(I79&lt;&gt;"里程碑",D79=E79)),1,0)</f>
        <v>0</v>
      </c>
      <c r="AB79" s="1">
        <f>IF(A79="",0,IFERROR(VALUE(MID(("W"&amp;A79),2,FIND(".",("W"&amp;A79)&amp;".")-2)),-1))</f>
        <v>0</v>
      </c>
      <c r="AC79" s="1">
        <f>IF(OR(A79="",L79&lt;2),0,IFERROR(VALUE(MID(("W"&amp;A79),FIND(".",("W"&amp;A79))+1,FIND(".",("W"&amp;A79)&amp;".",FIND(".",("W"&amp;A79))+1)-FIND(".",("W"&amp;A79))-1)),-1))</f>
        <v>0</v>
      </c>
      <c r="AD79" s="1">
        <f>IF(OR(A79="",L79&lt;3),0,IFERROR(VALUE(RIGHT(("W"&amp;A79),LEN(("W"&amp;A79))-FIND(".",("W"&amp;A79),FIND(".",("W"&amp;A79))+1))),-1))</f>
        <v>0</v>
      </c>
      <c r="AE79" s="1">
        <f>IF(A79="",0,IF(AND(L79&lt;=3,AB79&gt;=1,AB79&lt;=999,AC79&gt;=0,AC79&lt;=999,AD79&gt;=0,AD79&lt;=999,A79=TEXT(AB79,"0")&amp;IF(L79&gt;1,"."&amp;TEXT(AC79,"0"),"")&amp;IF(L79&gt;2,"."&amp;TEXT(AD79,"0"),""),OR(L79&lt;2,AC79&gt;=1),OR(L79&lt;3,AD79&gt;=1)),1,0))</f>
        <v>0</v>
      </c>
      <c r="AF79" s="1"/>
      <c r="AG79" t="str">
        <f>"W"&amp;A79</f>
        <v>W</v>
      </c>
    </row>
    <row r="80" spans="1:33" ht="16.5">
      <c r="A80" s="12" t="str">
        <f>IF(ROW()-9&gt;ROWS(TimingTasks[WBS]),"",IF(AND(INDEX(TimingTasks[WBS],ROW()-9)="",NOT(ISNUMBER(INDEX(TimingTasks[WBS],ROW()-9)))),"",INDEX(TimingTasks[WBS],ROW()-9)))</f>
        <v/>
      </c>
      <c r="B80" s="10" t="str">
        <f>IF(ROW()-9&gt;ROWS(TimingTasks[WBS]),"",IF(AND(INDEX(TimingTasks[任务名称],ROW()-9)="",NOT(ISNUMBER(INDEX(TimingTasks[任务名称],ROW()-9)))),"",INDEX(TimingTasks[任务名称],ROW()-9)))</f>
        <v/>
      </c>
      <c r="C80" s="10" t="str">
        <f>IF(ROW()-9&gt;ROWS(TimingTasks[WBS]),"",IF(AND(INDEX(TimingTasks[负责人],ROW()-9)="",NOT(ISNUMBER(INDEX(TimingTasks[负责人],ROW()-9)))),"",INDEX(TimingTasks[负责人],ROW()-9)))</f>
        <v/>
      </c>
      <c r="D80" s="11" t="str">
        <f>IF(ROW()-9&gt;ROWS(TimingTasks[WBS]),"",IF(AND(INDEX(TimingTasks[输入开始],ROW()-9)="",NOT(ISNUMBER(INDEX(TimingTasks[输入开始],ROW()-9)))),"",INDEX(TimingTasks[输入开始],ROW()-9)))</f>
        <v/>
      </c>
      <c r="E80" s="11" t="str">
        <f>IF(ROW()-9&gt;ROWS(TimingTasks[WBS]),"",IF(AND(INDEX(TimingTasks[输入结束],ROW()-9)="",NOT(ISNUMBER(INDEX(TimingTasks[输入结束],ROW()-9)))),"",INDEX(TimingTasks[输入结束],ROW()-9)))</f>
        <v/>
      </c>
      <c r="F80" s="1" t="str">
        <f>IF(OR(P80=0,K80="汇总",D80="",E80="",E80&lt;D80),"",IF(I80="里程碑",0,NETWORKDAYS(D80,E80)))</f>
        <v/>
      </c>
      <c r="G80" s="15" t="str">
        <f>IF(ROW()-9&gt;ROWS(TimingTasks[WBS]),"",IF(AND(INDEX(TimingTasks[输入完成度],ROW()-9)="",NOT(ISNUMBER(INDEX(TimingTasks[输入完成度],ROW()-9)))),0,INDEX(TimingTasks[输入完成度],ROW()-9)))</f>
        <v/>
      </c>
      <c r="H80" s="10" t="str">
        <f>IF(ROW()-9&gt;ROWS(TimingTasks[WBS]),"",IF(AND(INDEX(TimingTasks[前置任务 WBS],ROW()-9)="",NOT(ISNUMBER(INDEX(TimingTasks[前置任务 WBS],ROW()-9)))),"",INDEX(TimingTasks[前置任务 WBS],ROW()-9)))</f>
        <v/>
      </c>
      <c r="I80" s="10" t="str">
        <f>IF(ROW()-9&gt;ROWS(TimingTasks[WBS]),"",IF(AND(INDEX(TimingTasks[叶子类型],ROW()-9)="",NOT(ISNUMBER(INDEX(TimingTasks[叶子类型],ROW()-9)))),"普通任务",INDEX(TimingTasks[叶子类型],ROW()-9)))</f>
        <v/>
      </c>
      <c r="J80" s="10" t="str">
        <f>IF(ROW()-9&gt;ROWS(TimingTasks[WBS]),"",IF(AND(INDEX(TimingTasks[操作],ROW()-9)="",NOT(ISNUMBER(INDEX(TimingTasks[操作],ROW()-9)))),"保留",INDEX(TimingTasks[操作],ROW()-9)))</f>
        <v/>
      </c>
      <c r="K80" s="1" t="str">
        <f>IF(P80=0,"",IF(OR(AND(L80=1,D80="",E80="",I80&lt;&gt;"里程碑"),COUNTIFS($S$10:$S$109,"&gt;"&amp;S80,$S$10:$S$109,"&lt;"&amp;(S80+IF(L80=1,1000000,IF(L80=2,1000,1))),$P$10:$P$109,1)&gt;0),"汇总",I80))</f>
        <v/>
      </c>
      <c r="L80" s="1" t="str">
        <f>IF(A80="","",LEN(("W"&amp;A80))-LEN(SUBSTITUTE(("W"&amp;A80),".",""))+1)</f>
        <v/>
      </c>
      <c r="M80" s="3" t="str">
        <f>IF(P80=0,"",IF(K80="汇总",IF(COUNTIFS($S$10:$S$109,"&gt;"&amp;S80,$S$10:$S$109,"&lt;"&amp;(S80+IF(L80=1,1000000,IF(L80=2,1000,1))),$AA$10:$AA$109,1)=0,"",_xlfn.MINIFS($Y$10:$Y$109,$S$10:$S$109,"&gt;"&amp;S80,$S$10:$S$109,"&lt;"&amp;(S80+IF(L80=1,1000000,IF(L80=2,1000,1))),$AA$10:$AA$109,1)),IF(AA80=1,D80,"")))</f>
        <v/>
      </c>
      <c r="N80" s="3" t="str">
        <f>IF(P80=0,"",IF(K80="汇总",IF(COUNTIFS($S$10:$S$109,"&gt;"&amp;S80,$S$10:$S$109,"&lt;"&amp;(S80+IF(L80=1,1000000,IF(L80=2,1000,1))),$AA$10:$AA$109,1)=0,"",_xlfn.MAXIFS($Z$10:$Z$109,$S$10:$S$109,"&gt;"&amp;S80,$S$10:$S$109,"&lt;"&amp;(S80+IF(L80=1,1000000,IF(L80=2,1000,1))),$AA$10:$AA$109,1)),IF(AA80=1,E80,"")))</f>
        <v/>
      </c>
      <c r="O80" s="7" t="str">
        <f>IF(K80="汇总",ROUND((IF(P80=0,"",IF(K80="汇总",IF(SUMIFS($Q$10:$Q$109,$S$10:$S$109,"&gt;"&amp;S80,$S$10:$S$109,"&lt;"&amp;(S80+IF(L80=1,1000000,IF(L80=2,1000,1))))=0,0,SUMIFS($R$10:$R$109,$S$10:$S$109,"&gt;"&amp;S80,$S$10:$S$109,"&lt;"&amp;(S80+IF(L80=1,1000000,IF(L80=2,1000,1))))/SUMIFS($Q$10:$Q$109,$S$10:$S$109,"&gt;"&amp;S80,$S$10:$S$109,"&lt;"&amp;(S80+IF(L80=1,1000000,IF(L80=2,1000,1))))),G80)))*100,0)/100,IF(P80=0,"",IF(K80="汇总",IF(SUMIFS($Q$10:$Q$109,$S$10:$S$109,"&gt;"&amp;S80,$S$10:$S$109,"&lt;"&amp;(S80+IF(L80=1,1000000,IF(L80=2,1000,1))))=0,0,SUMIFS($R$10:$R$109,$S$10:$S$109,"&gt;"&amp;S80,$S$10:$S$109,"&lt;"&amp;(S80+IF(L80=1,1000000,IF(L80=2,1000,1))))/SUMIFS($Q$10:$Q$109,$S$10:$S$109,"&gt;"&amp;S80,$S$10:$S$109,"&lt;"&amp;(S80+IF(L80=1,1000000,IF(L80=2,1000,1))))),G80)))</f>
        <v/>
      </c>
      <c r="P80" s="1">
        <f>IF(OR(A80="",B80="",J80="删除",AE80=0,COUNTIFS($AG$10:$AG$109,"W"&amp;A80)&lt;&gt;1,AND(L80&gt;1,COUNTIFS($AG$10:$AG$109,"W"&amp;V80,$B$10:$B$109,"&lt;&gt;")&lt;&gt;1),AND(L80=3,COUNTIFS($AG$10:$AG$109,"W"&amp;W80,$B$10:$B$109,"&lt;&gt;")&lt;&gt;1),COUNTIFS($AG$10:$AG$109,"W"&amp;V80,$J$10:$J$109,"删除")&gt;0,COUNTIFS($AG$10:$AG$109,"W"&amp;W80,$J$10:$J$109,"删除")&gt;0),0,1)</f>
        <v>0</v>
      </c>
      <c r="Q80" s="1">
        <f>IF(AA80=0,0,IF(I80="里程碑",1,F80))</f>
        <v>0</v>
      </c>
      <c r="R80" s="1">
        <f>IF(AA80=0,0,Q80*G80)</f>
        <v>0</v>
      </c>
      <c r="S80" s="1">
        <f>IF(P80=0,1000000000000000,AB80*1000000+AC80*1000+AD80)</f>
        <v>1000000000000000</v>
      </c>
      <c r="T80" s="1">
        <f>IF(P80=0,0,IF(Timing浏览!$D$5="全部",1,IF(Timing浏览!$D$5="仅里程碑",IF(K80="里程碑",1,0),IF(L80&lt;=VALUE(LEFT(Timing浏览!$D$5,1)),1,0))))</f>
        <v>0</v>
      </c>
      <c r="U80" s="1" t="str">
        <f>IF(T80=0,"",COUNTIFS($S$10:$S$109,"&lt;"&amp;S80,$T$10:$T$109,1)+1)</f>
        <v/>
      </c>
      <c r="V80" s="1" t="str">
        <f>IF(OR(A80="",L80=1),"",IF(L80=2,TEXT(AB80,"0"),TEXT(AB80,"0")&amp;"."&amp;TEXT(AC80,"0")))</f>
        <v/>
      </c>
      <c r="W80" s="1" t="str">
        <f>IF(OR(A80="",L80=1),"",TEXT(AB80,"0"))</f>
        <v/>
      </c>
      <c r="X80" s="1" t="str">
        <f>IF(AND(A80="",B80=""),"",IF(OR(A80="",B80=""),"请补编号和名称",IF(AE80=0,"编号需为1至3级正整数",IF(COUNTIFS($AG$10:$AG$109,"W"&amp;A80)&lt;&gt;1,"编号重复",IF(AND(L80&gt;1,COUNTIFS($AG$10:$AG$109,"W"&amp;V80,$B$10:$B$109,"&lt;&gt;")&lt;&gt;1),"缺少父任务",IF(J80="删除","待删除",IF(P80=0,"父任务已删除或无效",IF(K80="汇总",IF(COUNTIFS($S$10:$S$109,"&gt;"&amp;S80,$S$10:$S$109,"&lt;"&amp;(S80+IF(L80=1,1000000,IF(L80=2,1000,1))),$P$10:$P$109,1)=0,"等待子任务","由下级汇总"),IF(OR(D80="",E80=""),"待补日期",IF(E80&lt;D80,"结束早于开始",IF(AND(I80="里程碑",D80&lt;&gt;E80),"里程碑须同日","")))))))))))</f>
        <v/>
      </c>
      <c r="Y80" s="1">
        <f>IF(AA80=1,D80,100000000)</f>
        <v>100000000</v>
      </c>
      <c r="Z80" s="1">
        <f>IF(AA80=1,E80,0)</f>
        <v>0</v>
      </c>
      <c r="AA80" s="1">
        <f>IF(AND(P80=1,K80&lt;&gt;"汇总",ISNUMBER(F80),OR(I80&lt;&gt;"里程碑",D80=E80)),1,0)</f>
        <v>0</v>
      </c>
      <c r="AB80" s="1">
        <f>IF(A80="",0,IFERROR(VALUE(MID(("W"&amp;A80),2,FIND(".",("W"&amp;A80)&amp;".")-2)),-1))</f>
        <v>0</v>
      </c>
      <c r="AC80" s="1">
        <f>IF(OR(A80="",L80&lt;2),0,IFERROR(VALUE(MID(("W"&amp;A80),FIND(".",("W"&amp;A80))+1,FIND(".",("W"&amp;A80)&amp;".",FIND(".",("W"&amp;A80))+1)-FIND(".",("W"&amp;A80))-1)),-1))</f>
        <v>0</v>
      </c>
      <c r="AD80" s="1">
        <f>IF(OR(A80="",L80&lt;3),0,IFERROR(VALUE(RIGHT(("W"&amp;A80),LEN(("W"&amp;A80))-FIND(".",("W"&amp;A80),FIND(".",("W"&amp;A80))+1))),-1))</f>
        <v>0</v>
      </c>
      <c r="AE80" s="1">
        <f>IF(A80="",0,IF(AND(L80&lt;=3,AB80&gt;=1,AB80&lt;=999,AC80&gt;=0,AC80&lt;=999,AD80&gt;=0,AD80&lt;=999,A80=TEXT(AB80,"0")&amp;IF(L80&gt;1,"."&amp;TEXT(AC80,"0"),"")&amp;IF(L80&gt;2,"."&amp;TEXT(AD80,"0"),""),OR(L80&lt;2,AC80&gt;=1),OR(L80&lt;3,AD80&gt;=1)),1,0))</f>
        <v>0</v>
      </c>
      <c r="AF80" s="1"/>
      <c r="AG80" t="str">
        <f>"W"&amp;A80</f>
        <v>W</v>
      </c>
    </row>
    <row r="81" spans="1:33" ht="16.5">
      <c r="A81" s="12" t="str">
        <f>IF(ROW()-9&gt;ROWS(TimingTasks[WBS]),"",IF(AND(INDEX(TimingTasks[WBS],ROW()-9)="",NOT(ISNUMBER(INDEX(TimingTasks[WBS],ROW()-9)))),"",INDEX(TimingTasks[WBS],ROW()-9)))</f>
        <v/>
      </c>
      <c r="B81" s="10" t="str">
        <f>IF(ROW()-9&gt;ROWS(TimingTasks[WBS]),"",IF(AND(INDEX(TimingTasks[任务名称],ROW()-9)="",NOT(ISNUMBER(INDEX(TimingTasks[任务名称],ROW()-9)))),"",INDEX(TimingTasks[任务名称],ROW()-9)))</f>
        <v/>
      </c>
      <c r="C81" s="10" t="str">
        <f>IF(ROW()-9&gt;ROWS(TimingTasks[WBS]),"",IF(AND(INDEX(TimingTasks[负责人],ROW()-9)="",NOT(ISNUMBER(INDEX(TimingTasks[负责人],ROW()-9)))),"",INDEX(TimingTasks[负责人],ROW()-9)))</f>
        <v/>
      </c>
      <c r="D81" s="11" t="str">
        <f>IF(ROW()-9&gt;ROWS(TimingTasks[WBS]),"",IF(AND(INDEX(TimingTasks[输入开始],ROW()-9)="",NOT(ISNUMBER(INDEX(TimingTasks[输入开始],ROW()-9)))),"",INDEX(TimingTasks[输入开始],ROW()-9)))</f>
        <v/>
      </c>
      <c r="E81" s="11" t="str">
        <f>IF(ROW()-9&gt;ROWS(TimingTasks[WBS]),"",IF(AND(INDEX(TimingTasks[输入结束],ROW()-9)="",NOT(ISNUMBER(INDEX(TimingTasks[输入结束],ROW()-9)))),"",INDEX(TimingTasks[输入结束],ROW()-9)))</f>
        <v/>
      </c>
      <c r="F81" s="1" t="str">
        <f>IF(OR(P81=0,K81="汇总",D81="",E81="",E81&lt;D81),"",IF(I81="里程碑",0,NETWORKDAYS(D81,E81)))</f>
        <v/>
      </c>
      <c r="G81" s="15" t="str">
        <f>IF(ROW()-9&gt;ROWS(TimingTasks[WBS]),"",IF(AND(INDEX(TimingTasks[输入完成度],ROW()-9)="",NOT(ISNUMBER(INDEX(TimingTasks[输入完成度],ROW()-9)))),0,INDEX(TimingTasks[输入完成度],ROW()-9)))</f>
        <v/>
      </c>
      <c r="H81" s="10" t="str">
        <f>IF(ROW()-9&gt;ROWS(TimingTasks[WBS]),"",IF(AND(INDEX(TimingTasks[前置任务 WBS],ROW()-9)="",NOT(ISNUMBER(INDEX(TimingTasks[前置任务 WBS],ROW()-9)))),"",INDEX(TimingTasks[前置任务 WBS],ROW()-9)))</f>
        <v/>
      </c>
      <c r="I81" s="10" t="str">
        <f>IF(ROW()-9&gt;ROWS(TimingTasks[WBS]),"",IF(AND(INDEX(TimingTasks[叶子类型],ROW()-9)="",NOT(ISNUMBER(INDEX(TimingTasks[叶子类型],ROW()-9)))),"普通任务",INDEX(TimingTasks[叶子类型],ROW()-9)))</f>
        <v/>
      </c>
      <c r="J81" s="10" t="str">
        <f>IF(ROW()-9&gt;ROWS(TimingTasks[WBS]),"",IF(AND(INDEX(TimingTasks[操作],ROW()-9)="",NOT(ISNUMBER(INDEX(TimingTasks[操作],ROW()-9)))),"保留",INDEX(TimingTasks[操作],ROW()-9)))</f>
        <v/>
      </c>
      <c r="K81" s="1" t="str">
        <f>IF(P81=0,"",IF(OR(AND(L81=1,D81="",E81="",I81&lt;&gt;"里程碑"),COUNTIFS($S$10:$S$109,"&gt;"&amp;S81,$S$10:$S$109,"&lt;"&amp;(S81+IF(L81=1,1000000,IF(L81=2,1000,1))),$P$10:$P$109,1)&gt;0),"汇总",I81))</f>
        <v/>
      </c>
      <c r="L81" s="1" t="str">
        <f>IF(A81="","",LEN(("W"&amp;A81))-LEN(SUBSTITUTE(("W"&amp;A81),".",""))+1)</f>
        <v/>
      </c>
      <c r="M81" s="3" t="str">
        <f>IF(P81=0,"",IF(K81="汇总",IF(COUNTIFS($S$10:$S$109,"&gt;"&amp;S81,$S$10:$S$109,"&lt;"&amp;(S81+IF(L81=1,1000000,IF(L81=2,1000,1))),$AA$10:$AA$109,1)=0,"",_xlfn.MINIFS($Y$10:$Y$109,$S$10:$S$109,"&gt;"&amp;S81,$S$10:$S$109,"&lt;"&amp;(S81+IF(L81=1,1000000,IF(L81=2,1000,1))),$AA$10:$AA$109,1)),IF(AA81=1,D81,"")))</f>
        <v/>
      </c>
      <c r="N81" s="3" t="str">
        <f>IF(P81=0,"",IF(K81="汇总",IF(COUNTIFS($S$10:$S$109,"&gt;"&amp;S81,$S$10:$S$109,"&lt;"&amp;(S81+IF(L81=1,1000000,IF(L81=2,1000,1))),$AA$10:$AA$109,1)=0,"",_xlfn.MAXIFS($Z$10:$Z$109,$S$10:$S$109,"&gt;"&amp;S81,$S$10:$S$109,"&lt;"&amp;(S81+IF(L81=1,1000000,IF(L81=2,1000,1))),$AA$10:$AA$109,1)),IF(AA81=1,E81,"")))</f>
        <v/>
      </c>
      <c r="O81" s="7" t="str">
        <f>IF(K81="汇总",ROUND((IF(P81=0,"",IF(K81="汇总",IF(SUMIFS($Q$10:$Q$109,$S$10:$S$109,"&gt;"&amp;S81,$S$10:$S$109,"&lt;"&amp;(S81+IF(L81=1,1000000,IF(L81=2,1000,1))))=0,0,SUMIFS($R$10:$R$109,$S$10:$S$109,"&gt;"&amp;S81,$S$10:$S$109,"&lt;"&amp;(S81+IF(L81=1,1000000,IF(L81=2,1000,1))))/SUMIFS($Q$10:$Q$109,$S$10:$S$109,"&gt;"&amp;S81,$S$10:$S$109,"&lt;"&amp;(S81+IF(L81=1,1000000,IF(L81=2,1000,1))))),G81)))*100,0)/100,IF(P81=0,"",IF(K81="汇总",IF(SUMIFS($Q$10:$Q$109,$S$10:$S$109,"&gt;"&amp;S81,$S$10:$S$109,"&lt;"&amp;(S81+IF(L81=1,1000000,IF(L81=2,1000,1))))=0,0,SUMIFS($R$10:$R$109,$S$10:$S$109,"&gt;"&amp;S81,$S$10:$S$109,"&lt;"&amp;(S81+IF(L81=1,1000000,IF(L81=2,1000,1))))/SUMIFS($Q$10:$Q$109,$S$10:$S$109,"&gt;"&amp;S81,$S$10:$S$109,"&lt;"&amp;(S81+IF(L81=1,1000000,IF(L81=2,1000,1))))),G81)))</f>
        <v/>
      </c>
      <c r="P81" s="1">
        <f>IF(OR(A81="",B81="",J81="删除",AE81=0,COUNTIFS($AG$10:$AG$109,"W"&amp;A81)&lt;&gt;1,AND(L81&gt;1,COUNTIFS($AG$10:$AG$109,"W"&amp;V81,$B$10:$B$109,"&lt;&gt;")&lt;&gt;1),AND(L81=3,COUNTIFS($AG$10:$AG$109,"W"&amp;W81,$B$10:$B$109,"&lt;&gt;")&lt;&gt;1),COUNTIFS($AG$10:$AG$109,"W"&amp;V81,$J$10:$J$109,"删除")&gt;0,COUNTIFS($AG$10:$AG$109,"W"&amp;W81,$J$10:$J$109,"删除")&gt;0),0,1)</f>
        <v>0</v>
      </c>
      <c r="Q81" s="1">
        <f>IF(AA81=0,0,IF(I81="里程碑",1,F81))</f>
        <v>0</v>
      </c>
      <c r="R81" s="1">
        <f>IF(AA81=0,0,Q81*G81)</f>
        <v>0</v>
      </c>
      <c r="S81" s="1">
        <f>IF(P81=0,1000000000000000,AB81*1000000+AC81*1000+AD81)</f>
        <v>1000000000000000</v>
      </c>
      <c r="T81" s="1">
        <f>IF(P81=0,0,IF(Timing浏览!$D$5="全部",1,IF(Timing浏览!$D$5="仅里程碑",IF(K81="里程碑",1,0),IF(L81&lt;=VALUE(LEFT(Timing浏览!$D$5,1)),1,0))))</f>
        <v>0</v>
      </c>
      <c r="U81" s="1" t="str">
        <f>IF(T81=0,"",COUNTIFS($S$10:$S$109,"&lt;"&amp;S81,$T$10:$T$109,1)+1)</f>
        <v/>
      </c>
      <c r="V81" s="1" t="str">
        <f>IF(OR(A81="",L81=1),"",IF(L81=2,TEXT(AB81,"0"),TEXT(AB81,"0")&amp;"."&amp;TEXT(AC81,"0")))</f>
        <v/>
      </c>
      <c r="W81" s="1" t="str">
        <f>IF(OR(A81="",L81=1),"",TEXT(AB81,"0"))</f>
        <v/>
      </c>
      <c r="X81" s="1" t="str">
        <f>IF(AND(A81="",B81=""),"",IF(OR(A81="",B81=""),"请补编号和名称",IF(AE81=0,"编号需为1至3级正整数",IF(COUNTIFS($AG$10:$AG$109,"W"&amp;A81)&lt;&gt;1,"编号重复",IF(AND(L81&gt;1,COUNTIFS($AG$10:$AG$109,"W"&amp;V81,$B$10:$B$109,"&lt;&gt;")&lt;&gt;1),"缺少父任务",IF(J81="删除","待删除",IF(P81=0,"父任务已删除或无效",IF(K81="汇总",IF(COUNTIFS($S$10:$S$109,"&gt;"&amp;S81,$S$10:$S$109,"&lt;"&amp;(S81+IF(L81=1,1000000,IF(L81=2,1000,1))),$P$10:$P$109,1)=0,"等待子任务","由下级汇总"),IF(OR(D81="",E81=""),"待补日期",IF(E81&lt;D81,"结束早于开始",IF(AND(I81="里程碑",D81&lt;&gt;E81),"里程碑须同日","")))))))))))</f>
        <v/>
      </c>
      <c r="Y81" s="1">
        <f>IF(AA81=1,D81,100000000)</f>
        <v>100000000</v>
      </c>
      <c r="Z81" s="1">
        <f>IF(AA81=1,E81,0)</f>
        <v>0</v>
      </c>
      <c r="AA81" s="1">
        <f>IF(AND(P81=1,K81&lt;&gt;"汇总",ISNUMBER(F81),OR(I81&lt;&gt;"里程碑",D81=E81)),1,0)</f>
        <v>0</v>
      </c>
      <c r="AB81" s="1">
        <f>IF(A81="",0,IFERROR(VALUE(MID(("W"&amp;A81),2,FIND(".",("W"&amp;A81)&amp;".")-2)),-1))</f>
        <v>0</v>
      </c>
      <c r="AC81" s="1">
        <f>IF(OR(A81="",L81&lt;2),0,IFERROR(VALUE(MID(("W"&amp;A81),FIND(".",("W"&amp;A81))+1,FIND(".",("W"&amp;A81)&amp;".",FIND(".",("W"&amp;A81))+1)-FIND(".",("W"&amp;A81))-1)),-1))</f>
        <v>0</v>
      </c>
      <c r="AD81" s="1">
        <f>IF(OR(A81="",L81&lt;3),0,IFERROR(VALUE(RIGHT(("W"&amp;A81),LEN(("W"&amp;A81))-FIND(".",("W"&amp;A81),FIND(".",("W"&amp;A81))+1))),-1))</f>
        <v>0</v>
      </c>
      <c r="AE81" s="1">
        <f>IF(A81="",0,IF(AND(L81&lt;=3,AB81&gt;=1,AB81&lt;=999,AC81&gt;=0,AC81&lt;=999,AD81&gt;=0,AD81&lt;=999,A81=TEXT(AB81,"0")&amp;IF(L81&gt;1,"."&amp;TEXT(AC81,"0"),"")&amp;IF(L81&gt;2,"."&amp;TEXT(AD81,"0"),""),OR(L81&lt;2,AC81&gt;=1),OR(L81&lt;3,AD81&gt;=1)),1,0))</f>
        <v>0</v>
      </c>
      <c r="AF81" s="1"/>
      <c r="AG81" t="str">
        <f>"W"&amp;A81</f>
        <v>W</v>
      </c>
    </row>
    <row r="82" spans="1:33" ht="16.5">
      <c r="A82" s="12" t="str">
        <f>IF(ROW()-9&gt;ROWS(TimingTasks[WBS]),"",IF(AND(INDEX(TimingTasks[WBS],ROW()-9)="",NOT(ISNUMBER(INDEX(TimingTasks[WBS],ROW()-9)))),"",INDEX(TimingTasks[WBS],ROW()-9)))</f>
        <v/>
      </c>
      <c r="B82" s="10" t="str">
        <f>IF(ROW()-9&gt;ROWS(TimingTasks[WBS]),"",IF(AND(INDEX(TimingTasks[任务名称],ROW()-9)="",NOT(ISNUMBER(INDEX(TimingTasks[任务名称],ROW()-9)))),"",INDEX(TimingTasks[任务名称],ROW()-9)))</f>
        <v/>
      </c>
      <c r="C82" s="10" t="str">
        <f>IF(ROW()-9&gt;ROWS(TimingTasks[WBS]),"",IF(AND(INDEX(TimingTasks[负责人],ROW()-9)="",NOT(ISNUMBER(INDEX(TimingTasks[负责人],ROW()-9)))),"",INDEX(TimingTasks[负责人],ROW()-9)))</f>
        <v/>
      </c>
      <c r="D82" s="11" t="str">
        <f>IF(ROW()-9&gt;ROWS(TimingTasks[WBS]),"",IF(AND(INDEX(TimingTasks[输入开始],ROW()-9)="",NOT(ISNUMBER(INDEX(TimingTasks[输入开始],ROW()-9)))),"",INDEX(TimingTasks[输入开始],ROW()-9)))</f>
        <v/>
      </c>
      <c r="E82" s="11" t="str">
        <f>IF(ROW()-9&gt;ROWS(TimingTasks[WBS]),"",IF(AND(INDEX(TimingTasks[输入结束],ROW()-9)="",NOT(ISNUMBER(INDEX(TimingTasks[输入结束],ROW()-9)))),"",INDEX(TimingTasks[输入结束],ROW()-9)))</f>
        <v/>
      </c>
      <c r="F82" s="1" t="str">
        <f>IF(OR(P82=0,K82="汇总",D82="",E82="",E82&lt;D82),"",IF(I82="里程碑",0,NETWORKDAYS(D82,E82)))</f>
        <v/>
      </c>
      <c r="G82" s="15" t="str">
        <f>IF(ROW()-9&gt;ROWS(TimingTasks[WBS]),"",IF(AND(INDEX(TimingTasks[输入完成度],ROW()-9)="",NOT(ISNUMBER(INDEX(TimingTasks[输入完成度],ROW()-9)))),0,INDEX(TimingTasks[输入完成度],ROW()-9)))</f>
        <v/>
      </c>
      <c r="H82" s="10" t="str">
        <f>IF(ROW()-9&gt;ROWS(TimingTasks[WBS]),"",IF(AND(INDEX(TimingTasks[前置任务 WBS],ROW()-9)="",NOT(ISNUMBER(INDEX(TimingTasks[前置任务 WBS],ROW()-9)))),"",INDEX(TimingTasks[前置任务 WBS],ROW()-9)))</f>
        <v/>
      </c>
      <c r="I82" s="10" t="str">
        <f>IF(ROW()-9&gt;ROWS(TimingTasks[WBS]),"",IF(AND(INDEX(TimingTasks[叶子类型],ROW()-9)="",NOT(ISNUMBER(INDEX(TimingTasks[叶子类型],ROW()-9)))),"普通任务",INDEX(TimingTasks[叶子类型],ROW()-9)))</f>
        <v/>
      </c>
      <c r="J82" s="10" t="str">
        <f>IF(ROW()-9&gt;ROWS(TimingTasks[WBS]),"",IF(AND(INDEX(TimingTasks[操作],ROW()-9)="",NOT(ISNUMBER(INDEX(TimingTasks[操作],ROW()-9)))),"保留",INDEX(TimingTasks[操作],ROW()-9)))</f>
        <v/>
      </c>
      <c r="K82" s="1" t="str">
        <f>IF(P82=0,"",IF(OR(AND(L82=1,D82="",E82="",I82&lt;&gt;"里程碑"),COUNTIFS($S$10:$S$109,"&gt;"&amp;S82,$S$10:$S$109,"&lt;"&amp;(S82+IF(L82=1,1000000,IF(L82=2,1000,1))),$P$10:$P$109,1)&gt;0),"汇总",I82))</f>
        <v/>
      </c>
      <c r="L82" s="1" t="str">
        <f>IF(A82="","",LEN(("W"&amp;A82))-LEN(SUBSTITUTE(("W"&amp;A82),".",""))+1)</f>
        <v/>
      </c>
      <c r="M82" s="3" t="str">
        <f>IF(P82=0,"",IF(K82="汇总",IF(COUNTIFS($S$10:$S$109,"&gt;"&amp;S82,$S$10:$S$109,"&lt;"&amp;(S82+IF(L82=1,1000000,IF(L82=2,1000,1))),$AA$10:$AA$109,1)=0,"",_xlfn.MINIFS($Y$10:$Y$109,$S$10:$S$109,"&gt;"&amp;S82,$S$10:$S$109,"&lt;"&amp;(S82+IF(L82=1,1000000,IF(L82=2,1000,1))),$AA$10:$AA$109,1)),IF(AA82=1,D82,"")))</f>
        <v/>
      </c>
      <c r="N82" s="3" t="str">
        <f>IF(P82=0,"",IF(K82="汇总",IF(COUNTIFS($S$10:$S$109,"&gt;"&amp;S82,$S$10:$S$109,"&lt;"&amp;(S82+IF(L82=1,1000000,IF(L82=2,1000,1))),$AA$10:$AA$109,1)=0,"",_xlfn.MAXIFS($Z$10:$Z$109,$S$10:$S$109,"&gt;"&amp;S82,$S$10:$S$109,"&lt;"&amp;(S82+IF(L82=1,1000000,IF(L82=2,1000,1))),$AA$10:$AA$109,1)),IF(AA82=1,E82,"")))</f>
        <v/>
      </c>
      <c r="O82" s="7" t="str">
        <f>IF(K82="汇总",ROUND((IF(P82=0,"",IF(K82="汇总",IF(SUMIFS($Q$10:$Q$109,$S$10:$S$109,"&gt;"&amp;S82,$S$10:$S$109,"&lt;"&amp;(S82+IF(L82=1,1000000,IF(L82=2,1000,1))))=0,0,SUMIFS($R$10:$R$109,$S$10:$S$109,"&gt;"&amp;S82,$S$10:$S$109,"&lt;"&amp;(S82+IF(L82=1,1000000,IF(L82=2,1000,1))))/SUMIFS($Q$10:$Q$109,$S$10:$S$109,"&gt;"&amp;S82,$S$10:$S$109,"&lt;"&amp;(S82+IF(L82=1,1000000,IF(L82=2,1000,1))))),G82)))*100,0)/100,IF(P82=0,"",IF(K82="汇总",IF(SUMIFS($Q$10:$Q$109,$S$10:$S$109,"&gt;"&amp;S82,$S$10:$S$109,"&lt;"&amp;(S82+IF(L82=1,1000000,IF(L82=2,1000,1))))=0,0,SUMIFS($R$10:$R$109,$S$10:$S$109,"&gt;"&amp;S82,$S$10:$S$109,"&lt;"&amp;(S82+IF(L82=1,1000000,IF(L82=2,1000,1))))/SUMIFS($Q$10:$Q$109,$S$10:$S$109,"&gt;"&amp;S82,$S$10:$S$109,"&lt;"&amp;(S82+IF(L82=1,1000000,IF(L82=2,1000,1))))),G82)))</f>
        <v/>
      </c>
      <c r="P82" s="1">
        <f>IF(OR(A82="",B82="",J82="删除",AE82=0,COUNTIFS($AG$10:$AG$109,"W"&amp;A82)&lt;&gt;1,AND(L82&gt;1,COUNTIFS($AG$10:$AG$109,"W"&amp;V82,$B$10:$B$109,"&lt;&gt;")&lt;&gt;1),AND(L82=3,COUNTIFS($AG$10:$AG$109,"W"&amp;W82,$B$10:$B$109,"&lt;&gt;")&lt;&gt;1),COUNTIFS($AG$10:$AG$109,"W"&amp;V82,$J$10:$J$109,"删除")&gt;0,COUNTIFS($AG$10:$AG$109,"W"&amp;W82,$J$10:$J$109,"删除")&gt;0),0,1)</f>
        <v>0</v>
      </c>
      <c r="Q82" s="1">
        <f>IF(AA82=0,0,IF(I82="里程碑",1,F82))</f>
        <v>0</v>
      </c>
      <c r="R82" s="1">
        <f>IF(AA82=0,0,Q82*G82)</f>
        <v>0</v>
      </c>
      <c r="S82" s="1">
        <f>IF(P82=0,1000000000000000,AB82*1000000+AC82*1000+AD82)</f>
        <v>1000000000000000</v>
      </c>
      <c r="T82" s="1">
        <f>IF(P82=0,0,IF(Timing浏览!$D$5="全部",1,IF(Timing浏览!$D$5="仅里程碑",IF(K82="里程碑",1,0),IF(L82&lt;=VALUE(LEFT(Timing浏览!$D$5,1)),1,0))))</f>
        <v>0</v>
      </c>
      <c r="U82" s="1" t="str">
        <f>IF(T82=0,"",COUNTIFS($S$10:$S$109,"&lt;"&amp;S82,$T$10:$T$109,1)+1)</f>
        <v/>
      </c>
      <c r="V82" s="1" t="str">
        <f>IF(OR(A82="",L82=1),"",IF(L82=2,TEXT(AB82,"0"),TEXT(AB82,"0")&amp;"."&amp;TEXT(AC82,"0")))</f>
        <v/>
      </c>
      <c r="W82" s="1" t="str">
        <f>IF(OR(A82="",L82=1),"",TEXT(AB82,"0"))</f>
        <v/>
      </c>
      <c r="X82" s="1" t="str">
        <f>IF(AND(A82="",B82=""),"",IF(OR(A82="",B82=""),"请补编号和名称",IF(AE82=0,"编号需为1至3级正整数",IF(COUNTIFS($AG$10:$AG$109,"W"&amp;A82)&lt;&gt;1,"编号重复",IF(AND(L82&gt;1,COUNTIFS($AG$10:$AG$109,"W"&amp;V82,$B$10:$B$109,"&lt;&gt;")&lt;&gt;1),"缺少父任务",IF(J82="删除","待删除",IF(P82=0,"父任务已删除或无效",IF(K82="汇总",IF(COUNTIFS($S$10:$S$109,"&gt;"&amp;S82,$S$10:$S$109,"&lt;"&amp;(S82+IF(L82=1,1000000,IF(L82=2,1000,1))),$P$10:$P$109,1)=0,"等待子任务","由下级汇总"),IF(OR(D82="",E82=""),"待补日期",IF(E82&lt;D82,"结束早于开始",IF(AND(I82="里程碑",D82&lt;&gt;E82),"里程碑须同日","")))))))))))</f>
        <v/>
      </c>
      <c r="Y82" s="1">
        <f>IF(AA82=1,D82,100000000)</f>
        <v>100000000</v>
      </c>
      <c r="Z82" s="1">
        <f>IF(AA82=1,E82,0)</f>
        <v>0</v>
      </c>
      <c r="AA82" s="1">
        <f>IF(AND(P82=1,K82&lt;&gt;"汇总",ISNUMBER(F82),OR(I82&lt;&gt;"里程碑",D82=E82)),1,0)</f>
        <v>0</v>
      </c>
      <c r="AB82" s="1">
        <f>IF(A82="",0,IFERROR(VALUE(MID(("W"&amp;A82),2,FIND(".",("W"&amp;A82)&amp;".")-2)),-1))</f>
        <v>0</v>
      </c>
      <c r="AC82" s="1">
        <f>IF(OR(A82="",L82&lt;2),0,IFERROR(VALUE(MID(("W"&amp;A82),FIND(".",("W"&amp;A82))+1,FIND(".",("W"&amp;A82)&amp;".",FIND(".",("W"&amp;A82))+1)-FIND(".",("W"&amp;A82))-1)),-1))</f>
        <v>0</v>
      </c>
      <c r="AD82" s="1">
        <f>IF(OR(A82="",L82&lt;3),0,IFERROR(VALUE(RIGHT(("W"&amp;A82),LEN(("W"&amp;A82))-FIND(".",("W"&amp;A82),FIND(".",("W"&amp;A82))+1))),-1))</f>
        <v>0</v>
      </c>
      <c r="AE82" s="1">
        <f>IF(A82="",0,IF(AND(L82&lt;=3,AB82&gt;=1,AB82&lt;=999,AC82&gt;=0,AC82&lt;=999,AD82&gt;=0,AD82&lt;=999,A82=TEXT(AB82,"0")&amp;IF(L82&gt;1,"."&amp;TEXT(AC82,"0"),"")&amp;IF(L82&gt;2,"."&amp;TEXT(AD82,"0"),""),OR(L82&lt;2,AC82&gt;=1),OR(L82&lt;3,AD82&gt;=1)),1,0))</f>
        <v>0</v>
      </c>
      <c r="AF82" s="1"/>
      <c r="AG82" t="str">
        <f>"W"&amp;A82</f>
        <v>W</v>
      </c>
    </row>
    <row r="83" spans="1:33" ht="16.5">
      <c r="A83" s="12" t="str">
        <f>IF(ROW()-9&gt;ROWS(TimingTasks[WBS]),"",IF(AND(INDEX(TimingTasks[WBS],ROW()-9)="",NOT(ISNUMBER(INDEX(TimingTasks[WBS],ROW()-9)))),"",INDEX(TimingTasks[WBS],ROW()-9)))</f>
        <v/>
      </c>
      <c r="B83" s="10" t="str">
        <f>IF(ROW()-9&gt;ROWS(TimingTasks[WBS]),"",IF(AND(INDEX(TimingTasks[任务名称],ROW()-9)="",NOT(ISNUMBER(INDEX(TimingTasks[任务名称],ROW()-9)))),"",INDEX(TimingTasks[任务名称],ROW()-9)))</f>
        <v/>
      </c>
      <c r="C83" s="10" t="str">
        <f>IF(ROW()-9&gt;ROWS(TimingTasks[WBS]),"",IF(AND(INDEX(TimingTasks[负责人],ROW()-9)="",NOT(ISNUMBER(INDEX(TimingTasks[负责人],ROW()-9)))),"",INDEX(TimingTasks[负责人],ROW()-9)))</f>
        <v/>
      </c>
      <c r="D83" s="11" t="str">
        <f>IF(ROW()-9&gt;ROWS(TimingTasks[WBS]),"",IF(AND(INDEX(TimingTasks[输入开始],ROW()-9)="",NOT(ISNUMBER(INDEX(TimingTasks[输入开始],ROW()-9)))),"",INDEX(TimingTasks[输入开始],ROW()-9)))</f>
        <v/>
      </c>
      <c r="E83" s="11" t="str">
        <f>IF(ROW()-9&gt;ROWS(TimingTasks[WBS]),"",IF(AND(INDEX(TimingTasks[输入结束],ROW()-9)="",NOT(ISNUMBER(INDEX(TimingTasks[输入结束],ROW()-9)))),"",INDEX(TimingTasks[输入结束],ROW()-9)))</f>
        <v/>
      </c>
      <c r="F83" s="1" t="str">
        <f>IF(OR(P83=0,K83="汇总",D83="",E83="",E83&lt;D83),"",IF(I83="里程碑",0,NETWORKDAYS(D83,E83)))</f>
        <v/>
      </c>
      <c r="G83" s="15" t="str">
        <f>IF(ROW()-9&gt;ROWS(TimingTasks[WBS]),"",IF(AND(INDEX(TimingTasks[输入完成度],ROW()-9)="",NOT(ISNUMBER(INDEX(TimingTasks[输入完成度],ROW()-9)))),0,INDEX(TimingTasks[输入完成度],ROW()-9)))</f>
        <v/>
      </c>
      <c r="H83" s="10" t="str">
        <f>IF(ROW()-9&gt;ROWS(TimingTasks[WBS]),"",IF(AND(INDEX(TimingTasks[前置任务 WBS],ROW()-9)="",NOT(ISNUMBER(INDEX(TimingTasks[前置任务 WBS],ROW()-9)))),"",INDEX(TimingTasks[前置任务 WBS],ROW()-9)))</f>
        <v/>
      </c>
      <c r="I83" s="10" t="str">
        <f>IF(ROW()-9&gt;ROWS(TimingTasks[WBS]),"",IF(AND(INDEX(TimingTasks[叶子类型],ROW()-9)="",NOT(ISNUMBER(INDEX(TimingTasks[叶子类型],ROW()-9)))),"普通任务",INDEX(TimingTasks[叶子类型],ROW()-9)))</f>
        <v/>
      </c>
      <c r="J83" s="10" t="str">
        <f>IF(ROW()-9&gt;ROWS(TimingTasks[WBS]),"",IF(AND(INDEX(TimingTasks[操作],ROW()-9)="",NOT(ISNUMBER(INDEX(TimingTasks[操作],ROW()-9)))),"保留",INDEX(TimingTasks[操作],ROW()-9)))</f>
        <v/>
      </c>
      <c r="K83" s="1" t="str">
        <f>IF(P83=0,"",IF(OR(AND(L83=1,D83="",E83="",I83&lt;&gt;"里程碑"),COUNTIFS($S$10:$S$109,"&gt;"&amp;S83,$S$10:$S$109,"&lt;"&amp;(S83+IF(L83=1,1000000,IF(L83=2,1000,1))),$P$10:$P$109,1)&gt;0),"汇总",I83))</f>
        <v/>
      </c>
      <c r="L83" s="1" t="str">
        <f>IF(A83="","",LEN(("W"&amp;A83))-LEN(SUBSTITUTE(("W"&amp;A83),".",""))+1)</f>
        <v/>
      </c>
      <c r="M83" s="3" t="str">
        <f>IF(P83=0,"",IF(K83="汇总",IF(COUNTIFS($S$10:$S$109,"&gt;"&amp;S83,$S$10:$S$109,"&lt;"&amp;(S83+IF(L83=1,1000000,IF(L83=2,1000,1))),$AA$10:$AA$109,1)=0,"",_xlfn.MINIFS($Y$10:$Y$109,$S$10:$S$109,"&gt;"&amp;S83,$S$10:$S$109,"&lt;"&amp;(S83+IF(L83=1,1000000,IF(L83=2,1000,1))),$AA$10:$AA$109,1)),IF(AA83=1,D83,"")))</f>
        <v/>
      </c>
      <c r="N83" s="3" t="str">
        <f>IF(P83=0,"",IF(K83="汇总",IF(COUNTIFS($S$10:$S$109,"&gt;"&amp;S83,$S$10:$S$109,"&lt;"&amp;(S83+IF(L83=1,1000000,IF(L83=2,1000,1))),$AA$10:$AA$109,1)=0,"",_xlfn.MAXIFS($Z$10:$Z$109,$S$10:$S$109,"&gt;"&amp;S83,$S$10:$S$109,"&lt;"&amp;(S83+IF(L83=1,1000000,IF(L83=2,1000,1))),$AA$10:$AA$109,1)),IF(AA83=1,E83,"")))</f>
        <v/>
      </c>
      <c r="O83" s="7" t="str">
        <f>IF(K83="汇总",ROUND((IF(P83=0,"",IF(K83="汇总",IF(SUMIFS($Q$10:$Q$109,$S$10:$S$109,"&gt;"&amp;S83,$S$10:$S$109,"&lt;"&amp;(S83+IF(L83=1,1000000,IF(L83=2,1000,1))))=0,0,SUMIFS($R$10:$R$109,$S$10:$S$109,"&gt;"&amp;S83,$S$10:$S$109,"&lt;"&amp;(S83+IF(L83=1,1000000,IF(L83=2,1000,1))))/SUMIFS($Q$10:$Q$109,$S$10:$S$109,"&gt;"&amp;S83,$S$10:$S$109,"&lt;"&amp;(S83+IF(L83=1,1000000,IF(L83=2,1000,1))))),G83)))*100,0)/100,IF(P83=0,"",IF(K83="汇总",IF(SUMIFS($Q$10:$Q$109,$S$10:$S$109,"&gt;"&amp;S83,$S$10:$S$109,"&lt;"&amp;(S83+IF(L83=1,1000000,IF(L83=2,1000,1))))=0,0,SUMIFS($R$10:$R$109,$S$10:$S$109,"&gt;"&amp;S83,$S$10:$S$109,"&lt;"&amp;(S83+IF(L83=1,1000000,IF(L83=2,1000,1))))/SUMIFS($Q$10:$Q$109,$S$10:$S$109,"&gt;"&amp;S83,$S$10:$S$109,"&lt;"&amp;(S83+IF(L83=1,1000000,IF(L83=2,1000,1))))),G83)))</f>
        <v/>
      </c>
      <c r="P83" s="1">
        <f>IF(OR(A83="",B83="",J83="删除",AE83=0,COUNTIFS($AG$10:$AG$109,"W"&amp;A83)&lt;&gt;1,AND(L83&gt;1,COUNTIFS($AG$10:$AG$109,"W"&amp;V83,$B$10:$B$109,"&lt;&gt;")&lt;&gt;1),AND(L83=3,COUNTIFS($AG$10:$AG$109,"W"&amp;W83,$B$10:$B$109,"&lt;&gt;")&lt;&gt;1),COUNTIFS($AG$10:$AG$109,"W"&amp;V83,$J$10:$J$109,"删除")&gt;0,COUNTIFS($AG$10:$AG$109,"W"&amp;W83,$J$10:$J$109,"删除")&gt;0),0,1)</f>
        <v>0</v>
      </c>
      <c r="Q83" s="1">
        <f>IF(AA83=0,0,IF(I83="里程碑",1,F83))</f>
        <v>0</v>
      </c>
      <c r="R83" s="1">
        <f>IF(AA83=0,0,Q83*G83)</f>
        <v>0</v>
      </c>
      <c r="S83" s="1">
        <f>IF(P83=0,1000000000000000,AB83*1000000+AC83*1000+AD83)</f>
        <v>1000000000000000</v>
      </c>
      <c r="T83" s="1">
        <f>IF(P83=0,0,IF(Timing浏览!$D$5="全部",1,IF(Timing浏览!$D$5="仅里程碑",IF(K83="里程碑",1,0),IF(L83&lt;=VALUE(LEFT(Timing浏览!$D$5,1)),1,0))))</f>
        <v>0</v>
      </c>
      <c r="U83" s="1" t="str">
        <f>IF(T83=0,"",COUNTIFS($S$10:$S$109,"&lt;"&amp;S83,$T$10:$T$109,1)+1)</f>
        <v/>
      </c>
      <c r="V83" s="1" t="str">
        <f>IF(OR(A83="",L83=1),"",IF(L83=2,TEXT(AB83,"0"),TEXT(AB83,"0")&amp;"."&amp;TEXT(AC83,"0")))</f>
        <v/>
      </c>
      <c r="W83" s="1" t="str">
        <f>IF(OR(A83="",L83=1),"",TEXT(AB83,"0"))</f>
        <v/>
      </c>
      <c r="X83" s="1" t="str">
        <f>IF(AND(A83="",B83=""),"",IF(OR(A83="",B83=""),"请补编号和名称",IF(AE83=0,"编号需为1至3级正整数",IF(COUNTIFS($AG$10:$AG$109,"W"&amp;A83)&lt;&gt;1,"编号重复",IF(AND(L83&gt;1,COUNTIFS($AG$10:$AG$109,"W"&amp;V83,$B$10:$B$109,"&lt;&gt;")&lt;&gt;1),"缺少父任务",IF(J83="删除","待删除",IF(P83=0,"父任务已删除或无效",IF(K83="汇总",IF(COUNTIFS($S$10:$S$109,"&gt;"&amp;S83,$S$10:$S$109,"&lt;"&amp;(S83+IF(L83=1,1000000,IF(L83=2,1000,1))),$P$10:$P$109,1)=0,"等待子任务","由下级汇总"),IF(OR(D83="",E83=""),"待补日期",IF(E83&lt;D83,"结束早于开始",IF(AND(I83="里程碑",D83&lt;&gt;E83),"里程碑须同日","")))))))))))</f>
        <v/>
      </c>
      <c r="Y83" s="1">
        <f>IF(AA83=1,D83,100000000)</f>
        <v>100000000</v>
      </c>
      <c r="Z83" s="1">
        <f>IF(AA83=1,E83,0)</f>
        <v>0</v>
      </c>
      <c r="AA83" s="1">
        <f>IF(AND(P83=1,K83&lt;&gt;"汇总",ISNUMBER(F83),OR(I83&lt;&gt;"里程碑",D83=E83)),1,0)</f>
        <v>0</v>
      </c>
      <c r="AB83" s="1">
        <f>IF(A83="",0,IFERROR(VALUE(MID(("W"&amp;A83),2,FIND(".",("W"&amp;A83)&amp;".")-2)),-1))</f>
        <v>0</v>
      </c>
      <c r="AC83" s="1">
        <f>IF(OR(A83="",L83&lt;2),0,IFERROR(VALUE(MID(("W"&amp;A83),FIND(".",("W"&amp;A83))+1,FIND(".",("W"&amp;A83)&amp;".",FIND(".",("W"&amp;A83))+1)-FIND(".",("W"&amp;A83))-1)),-1))</f>
        <v>0</v>
      </c>
      <c r="AD83" s="1">
        <f>IF(OR(A83="",L83&lt;3),0,IFERROR(VALUE(RIGHT(("W"&amp;A83),LEN(("W"&amp;A83))-FIND(".",("W"&amp;A83),FIND(".",("W"&amp;A83))+1))),-1))</f>
        <v>0</v>
      </c>
      <c r="AE83" s="1">
        <f>IF(A83="",0,IF(AND(L83&lt;=3,AB83&gt;=1,AB83&lt;=999,AC83&gt;=0,AC83&lt;=999,AD83&gt;=0,AD83&lt;=999,A83=TEXT(AB83,"0")&amp;IF(L83&gt;1,"."&amp;TEXT(AC83,"0"),"")&amp;IF(L83&gt;2,"."&amp;TEXT(AD83,"0"),""),OR(L83&lt;2,AC83&gt;=1),OR(L83&lt;3,AD83&gt;=1)),1,0))</f>
        <v>0</v>
      </c>
      <c r="AF83" s="1"/>
      <c r="AG83" t="str">
        <f>"W"&amp;A83</f>
        <v>W</v>
      </c>
    </row>
    <row r="84" spans="1:33" ht="16.5">
      <c r="A84" s="12" t="str">
        <f>IF(ROW()-9&gt;ROWS(TimingTasks[WBS]),"",IF(AND(INDEX(TimingTasks[WBS],ROW()-9)="",NOT(ISNUMBER(INDEX(TimingTasks[WBS],ROW()-9)))),"",INDEX(TimingTasks[WBS],ROW()-9)))</f>
        <v/>
      </c>
      <c r="B84" s="10" t="str">
        <f>IF(ROW()-9&gt;ROWS(TimingTasks[WBS]),"",IF(AND(INDEX(TimingTasks[任务名称],ROW()-9)="",NOT(ISNUMBER(INDEX(TimingTasks[任务名称],ROW()-9)))),"",INDEX(TimingTasks[任务名称],ROW()-9)))</f>
        <v/>
      </c>
      <c r="C84" s="10" t="str">
        <f>IF(ROW()-9&gt;ROWS(TimingTasks[WBS]),"",IF(AND(INDEX(TimingTasks[负责人],ROW()-9)="",NOT(ISNUMBER(INDEX(TimingTasks[负责人],ROW()-9)))),"",INDEX(TimingTasks[负责人],ROW()-9)))</f>
        <v/>
      </c>
      <c r="D84" s="11" t="str">
        <f>IF(ROW()-9&gt;ROWS(TimingTasks[WBS]),"",IF(AND(INDEX(TimingTasks[输入开始],ROW()-9)="",NOT(ISNUMBER(INDEX(TimingTasks[输入开始],ROW()-9)))),"",INDEX(TimingTasks[输入开始],ROW()-9)))</f>
        <v/>
      </c>
      <c r="E84" s="11" t="str">
        <f>IF(ROW()-9&gt;ROWS(TimingTasks[WBS]),"",IF(AND(INDEX(TimingTasks[输入结束],ROW()-9)="",NOT(ISNUMBER(INDEX(TimingTasks[输入结束],ROW()-9)))),"",INDEX(TimingTasks[输入结束],ROW()-9)))</f>
        <v/>
      </c>
      <c r="F84" s="1" t="str">
        <f>IF(OR(P84=0,K84="汇总",D84="",E84="",E84&lt;D84),"",IF(I84="里程碑",0,NETWORKDAYS(D84,E84)))</f>
        <v/>
      </c>
      <c r="G84" s="15" t="str">
        <f>IF(ROW()-9&gt;ROWS(TimingTasks[WBS]),"",IF(AND(INDEX(TimingTasks[输入完成度],ROW()-9)="",NOT(ISNUMBER(INDEX(TimingTasks[输入完成度],ROW()-9)))),0,INDEX(TimingTasks[输入完成度],ROW()-9)))</f>
        <v/>
      </c>
      <c r="H84" s="10" t="str">
        <f>IF(ROW()-9&gt;ROWS(TimingTasks[WBS]),"",IF(AND(INDEX(TimingTasks[前置任务 WBS],ROW()-9)="",NOT(ISNUMBER(INDEX(TimingTasks[前置任务 WBS],ROW()-9)))),"",INDEX(TimingTasks[前置任务 WBS],ROW()-9)))</f>
        <v/>
      </c>
      <c r="I84" s="10" t="str">
        <f>IF(ROW()-9&gt;ROWS(TimingTasks[WBS]),"",IF(AND(INDEX(TimingTasks[叶子类型],ROW()-9)="",NOT(ISNUMBER(INDEX(TimingTasks[叶子类型],ROW()-9)))),"普通任务",INDEX(TimingTasks[叶子类型],ROW()-9)))</f>
        <v/>
      </c>
      <c r="J84" s="10" t="str">
        <f>IF(ROW()-9&gt;ROWS(TimingTasks[WBS]),"",IF(AND(INDEX(TimingTasks[操作],ROW()-9)="",NOT(ISNUMBER(INDEX(TimingTasks[操作],ROW()-9)))),"保留",INDEX(TimingTasks[操作],ROW()-9)))</f>
        <v/>
      </c>
      <c r="K84" s="1" t="str">
        <f>IF(P84=0,"",IF(OR(AND(L84=1,D84="",E84="",I84&lt;&gt;"里程碑"),COUNTIFS($S$10:$S$109,"&gt;"&amp;S84,$S$10:$S$109,"&lt;"&amp;(S84+IF(L84=1,1000000,IF(L84=2,1000,1))),$P$10:$P$109,1)&gt;0),"汇总",I84))</f>
        <v/>
      </c>
      <c r="L84" s="1" t="str">
        <f>IF(A84="","",LEN(("W"&amp;A84))-LEN(SUBSTITUTE(("W"&amp;A84),".",""))+1)</f>
        <v/>
      </c>
      <c r="M84" s="3" t="str">
        <f>IF(P84=0,"",IF(K84="汇总",IF(COUNTIFS($S$10:$S$109,"&gt;"&amp;S84,$S$10:$S$109,"&lt;"&amp;(S84+IF(L84=1,1000000,IF(L84=2,1000,1))),$AA$10:$AA$109,1)=0,"",_xlfn.MINIFS($Y$10:$Y$109,$S$10:$S$109,"&gt;"&amp;S84,$S$10:$S$109,"&lt;"&amp;(S84+IF(L84=1,1000000,IF(L84=2,1000,1))),$AA$10:$AA$109,1)),IF(AA84=1,D84,"")))</f>
        <v/>
      </c>
      <c r="N84" s="3" t="str">
        <f>IF(P84=0,"",IF(K84="汇总",IF(COUNTIFS($S$10:$S$109,"&gt;"&amp;S84,$S$10:$S$109,"&lt;"&amp;(S84+IF(L84=1,1000000,IF(L84=2,1000,1))),$AA$10:$AA$109,1)=0,"",_xlfn.MAXIFS($Z$10:$Z$109,$S$10:$S$109,"&gt;"&amp;S84,$S$10:$S$109,"&lt;"&amp;(S84+IF(L84=1,1000000,IF(L84=2,1000,1))),$AA$10:$AA$109,1)),IF(AA84=1,E84,"")))</f>
        <v/>
      </c>
      <c r="O84" s="7" t="str">
        <f>IF(K84="汇总",ROUND((IF(P84=0,"",IF(K84="汇总",IF(SUMIFS($Q$10:$Q$109,$S$10:$S$109,"&gt;"&amp;S84,$S$10:$S$109,"&lt;"&amp;(S84+IF(L84=1,1000000,IF(L84=2,1000,1))))=0,0,SUMIFS($R$10:$R$109,$S$10:$S$109,"&gt;"&amp;S84,$S$10:$S$109,"&lt;"&amp;(S84+IF(L84=1,1000000,IF(L84=2,1000,1))))/SUMIFS($Q$10:$Q$109,$S$10:$S$109,"&gt;"&amp;S84,$S$10:$S$109,"&lt;"&amp;(S84+IF(L84=1,1000000,IF(L84=2,1000,1))))),G84)))*100,0)/100,IF(P84=0,"",IF(K84="汇总",IF(SUMIFS($Q$10:$Q$109,$S$10:$S$109,"&gt;"&amp;S84,$S$10:$S$109,"&lt;"&amp;(S84+IF(L84=1,1000000,IF(L84=2,1000,1))))=0,0,SUMIFS($R$10:$R$109,$S$10:$S$109,"&gt;"&amp;S84,$S$10:$S$109,"&lt;"&amp;(S84+IF(L84=1,1000000,IF(L84=2,1000,1))))/SUMIFS($Q$10:$Q$109,$S$10:$S$109,"&gt;"&amp;S84,$S$10:$S$109,"&lt;"&amp;(S84+IF(L84=1,1000000,IF(L84=2,1000,1))))),G84)))</f>
        <v/>
      </c>
      <c r="P84" s="1">
        <f>IF(OR(A84="",B84="",J84="删除",AE84=0,COUNTIFS($AG$10:$AG$109,"W"&amp;A84)&lt;&gt;1,AND(L84&gt;1,COUNTIFS($AG$10:$AG$109,"W"&amp;V84,$B$10:$B$109,"&lt;&gt;")&lt;&gt;1),AND(L84=3,COUNTIFS($AG$10:$AG$109,"W"&amp;W84,$B$10:$B$109,"&lt;&gt;")&lt;&gt;1),COUNTIFS($AG$10:$AG$109,"W"&amp;V84,$J$10:$J$109,"删除")&gt;0,COUNTIFS($AG$10:$AG$109,"W"&amp;W84,$J$10:$J$109,"删除")&gt;0),0,1)</f>
        <v>0</v>
      </c>
      <c r="Q84" s="1">
        <f>IF(AA84=0,0,IF(I84="里程碑",1,F84))</f>
        <v>0</v>
      </c>
      <c r="R84" s="1">
        <f>IF(AA84=0,0,Q84*G84)</f>
        <v>0</v>
      </c>
      <c r="S84" s="1">
        <f>IF(P84=0,1000000000000000,AB84*1000000+AC84*1000+AD84)</f>
        <v>1000000000000000</v>
      </c>
      <c r="T84" s="1">
        <f>IF(P84=0,0,IF(Timing浏览!$D$5="全部",1,IF(Timing浏览!$D$5="仅里程碑",IF(K84="里程碑",1,0),IF(L84&lt;=VALUE(LEFT(Timing浏览!$D$5,1)),1,0))))</f>
        <v>0</v>
      </c>
      <c r="U84" s="1" t="str">
        <f>IF(T84=0,"",COUNTIFS($S$10:$S$109,"&lt;"&amp;S84,$T$10:$T$109,1)+1)</f>
        <v/>
      </c>
      <c r="V84" s="1" t="str">
        <f>IF(OR(A84="",L84=1),"",IF(L84=2,TEXT(AB84,"0"),TEXT(AB84,"0")&amp;"."&amp;TEXT(AC84,"0")))</f>
        <v/>
      </c>
      <c r="W84" s="1" t="str">
        <f>IF(OR(A84="",L84=1),"",TEXT(AB84,"0"))</f>
        <v/>
      </c>
      <c r="X84" s="1" t="str">
        <f>IF(AND(A84="",B84=""),"",IF(OR(A84="",B84=""),"请补编号和名称",IF(AE84=0,"编号需为1至3级正整数",IF(COUNTIFS($AG$10:$AG$109,"W"&amp;A84)&lt;&gt;1,"编号重复",IF(AND(L84&gt;1,COUNTIFS($AG$10:$AG$109,"W"&amp;V84,$B$10:$B$109,"&lt;&gt;")&lt;&gt;1),"缺少父任务",IF(J84="删除","待删除",IF(P84=0,"父任务已删除或无效",IF(K84="汇总",IF(COUNTIFS($S$10:$S$109,"&gt;"&amp;S84,$S$10:$S$109,"&lt;"&amp;(S84+IF(L84=1,1000000,IF(L84=2,1000,1))),$P$10:$P$109,1)=0,"等待子任务","由下级汇总"),IF(OR(D84="",E84=""),"待补日期",IF(E84&lt;D84,"结束早于开始",IF(AND(I84="里程碑",D84&lt;&gt;E84),"里程碑须同日","")))))))))))</f>
        <v/>
      </c>
      <c r="Y84" s="1">
        <f>IF(AA84=1,D84,100000000)</f>
        <v>100000000</v>
      </c>
      <c r="Z84" s="1">
        <f>IF(AA84=1,E84,0)</f>
        <v>0</v>
      </c>
      <c r="AA84" s="1">
        <f>IF(AND(P84=1,K84&lt;&gt;"汇总",ISNUMBER(F84),OR(I84&lt;&gt;"里程碑",D84=E84)),1,0)</f>
        <v>0</v>
      </c>
      <c r="AB84" s="1">
        <f>IF(A84="",0,IFERROR(VALUE(MID(("W"&amp;A84),2,FIND(".",("W"&amp;A84)&amp;".")-2)),-1))</f>
        <v>0</v>
      </c>
      <c r="AC84" s="1">
        <f>IF(OR(A84="",L84&lt;2),0,IFERROR(VALUE(MID(("W"&amp;A84),FIND(".",("W"&amp;A84))+1,FIND(".",("W"&amp;A84)&amp;".",FIND(".",("W"&amp;A84))+1)-FIND(".",("W"&amp;A84))-1)),-1))</f>
        <v>0</v>
      </c>
      <c r="AD84" s="1">
        <f>IF(OR(A84="",L84&lt;3),0,IFERROR(VALUE(RIGHT(("W"&amp;A84),LEN(("W"&amp;A84))-FIND(".",("W"&amp;A84),FIND(".",("W"&amp;A84))+1))),-1))</f>
        <v>0</v>
      </c>
      <c r="AE84" s="1">
        <f>IF(A84="",0,IF(AND(L84&lt;=3,AB84&gt;=1,AB84&lt;=999,AC84&gt;=0,AC84&lt;=999,AD84&gt;=0,AD84&lt;=999,A84=TEXT(AB84,"0")&amp;IF(L84&gt;1,"."&amp;TEXT(AC84,"0"),"")&amp;IF(L84&gt;2,"."&amp;TEXT(AD84,"0"),""),OR(L84&lt;2,AC84&gt;=1),OR(L84&lt;3,AD84&gt;=1)),1,0))</f>
        <v>0</v>
      </c>
      <c r="AF84" s="1"/>
      <c r="AG84" t="str">
        <f>"W"&amp;A84</f>
        <v>W</v>
      </c>
    </row>
    <row r="85" spans="1:33" ht="16.5">
      <c r="A85" s="12" t="str">
        <f>IF(ROW()-9&gt;ROWS(TimingTasks[WBS]),"",IF(AND(INDEX(TimingTasks[WBS],ROW()-9)="",NOT(ISNUMBER(INDEX(TimingTasks[WBS],ROW()-9)))),"",INDEX(TimingTasks[WBS],ROW()-9)))</f>
        <v/>
      </c>
      <c r="B85" s="10" t="str">
        <f>IF(ROW()-9&gt;ROWS(TimingTasks[WBS]),"",IF(AND(INDEX(TimingTasks[任务名称],ROW()-9)="",NOT(ISNUMBER(INDEX(TimingTasks[任务名称],ROW()-9)))),"",INDEX(TimingTasks[任务名称],ROW()-9)))</f>
        <v/>
      </c>
      <c r="C85" s="10" t="str">
        <f>IF(ROW()-9&gt;ROWS(TimingTasks[WBS]),"",IF(AND(INDEX(TimingTasks[负责人],ROW()-9)="",NOT(ISNUMBER(INDEX(TimingTasks[负责人],ROW()-9)))),"",INDEX(TimingTasks[负责人],ROW()-9)))</f>
        <v/>
      </c>
      <c r="D85" s="11" t="str">
        <f>IF(ROW()-9&gt;ROWS(TimingTasks[WBS]),"",IF(AND(INDEX(TimingTasks[输入开始],ROW()-9)="",NOT(ISNUMBER(INDEX(TimingTasks[输入开始],ROW()-9)))),"",INDEX(TimingTasks[输入开始],ROW()-9)))</f>
        <v/>
      </c>
      <c r="E85" s="11" t="str">
        <f>IF(ROW()-9&gt;ROWS(TimingTasks[WBS]),"",IF(AND(INDEX(TimingTasks[输入结束],ROW()-9)="",NOT(ISNUMBER(INDEX(TimingTasks[输入结束],ROW()-9)))),"",INDEX(TimingTasks[输入结束],ROW()-9)))</f>
        <v/>
      </c>
      <c r="F85" s="1" t="str">
        <f>IF(OR(P85=0,K85="汇总",D85="",E85="",E85&lt;D85),"",IF(I85="里程碑",0,NETWORKDAYS(D85,E85)))</f>
        <v/>
      </c>
      <c r="G85" s="15" t="str">
        <f>IF(ROW()-9&gt;ROWS(TimingTasks[WBS]),"",IF(AND(INDEX(TimingTasks[输入完成度],ROW()-9)="",NOT(ISNUMBER(INDEX(TimingTasks[输入完成度],ROW()-9)))),0,INDEX(TimingTasks[输入完成度],ROW()-9)))</f>
        <v/>
      </c>
      <c r="H85" s="10" t="str">
        <f>IF(ROW()-9&gt;ROWS(TimingTasks[WBS]),"",IF(AND(INDEX(TimingTasks[前置任务 WBS],ROW()-9)="",NOT(ISNUMBER(INDEX(TimingTasks[前置任务 WBS],ROW()-9)))),"",INDEX(TimingTasks[前置任务 WBS],ROW()-9)))</f>
        <v/>
      </c>
      <c r="I85" s="10" t="str">
        <f>IF(ROW()-9&gt;ROWS(TimingTasks[WBS]),"",IF(AND(INDEX(TimingTasks[叶子类型],ROW()-9)="",NOT(ISNUMBER(INDEX(TimingTasks[叶子类型],ROW()-9)))),"普通任务",INDEX(TimingTasks[叶子类型],ROW()-9)))</f>
        <v/>
      </c>
      <c r="J85" s="10" t="str">
        <f>IF(ROW()-9&gt;ROWS(TimingTasks[WBS]),"",IF(AND(INDEX(TimingTasks[操作],ROW()-9)="",NOT(ISNUMBER(INDEX(TimingTasks[操作],ROW()-9)))),"保留",INDEX(TimingTasks[操作],ROW()-9)))</f>
        <v/>
      </c>
      <c r="K85" s="1" t="str">
        <f>IF(P85=0,"",IF(OR(AND(L85=1,D85="",E85="",I85&lt;&gt;"里程碑"),COUNTIFS($S$10:$S$109,"&gt;"&amp;S85,$S$10:$S$109,"&lt;"&amp;(S85+IF(L85=1,1000000,IF(L85=2,1000,1))),$P$10:$P$109,1)&gt;0),"汇总",I85))</f>
        <v/>
      </c>
      <c r="L85" s="1" t="str">
        <f>IF(A85="","",LEN(("W"&amp;A85))-LEN(SUBSTITUTE(("W"&amp;A85),".",""))+1)</f>
        <v/>
      </c>
      <c r="M85" s="3" t="str">
        <f>IF(P85=0,"",IF(K85="汇总",IF(COUNTIFS($S$10:$S$109,"&gt;"&amp;S85,$S$10:$S$109,"&lt;"&amp;(S85+IF(L85=1,1000000,IF(L85=2,1000,1))),$AA$10:$AA$109,1)=0,"",_xlfn.MINIFS($Y$10:$Y$109,$S$10:$S$109,"&gt;"&amp;S85,$S$10:$S$109,"&lt;"&amp;(S85+IF(L85=1,1000000,IF(L85=2,1000,1))),$AA$10:$AA$109,1)),IF(AA85=1,D85,"")))</f>
        <v/>
      </c>
      <c r="N85" s="3" t="str">
        <f>IF(P85=0,"",IF(K85="汇总",IF(COUNTIFS($S$10:$S$109,"&gt;"&amp;S85,$S$10:$S$109,"&lt;"&amp;(S85+IF(L85=1,1000000,IF(L85=2,1000,1))),$AA$10:$AA$109,1)=0,"",_xlfn.MAXIFS($Z$10:$Z$109,$S$10:$S$109,"&gt;"&amp;S85,$S$10:$S$109,"&lt;"&amp;(S85+IF(L85=1,1000000,IF(L85=2,1000,1))),$AA$10:$AA$109,1)),IF(AA85=1,E85,"")))</f>
        <v/>
      </c>
      <c r="O85" s="7" t="str">
        <f>IF(K85="汇总",ROUND((IF(P85=0,"",IF(K85="汇总",IF(SUMIFS($Q$10:$Q$109,$S$10:$S$109,"&gt;"&amp;S85,$S$10:$S$109,"&lt;"&amp;(S85+IF(L85=1,1000000,IF(L85=2,1000,1))))=0,0,SUMIFS($R$10:$R$109,$S$10:$S$109,"&gt;"&amp;S85,$S$10:$S$109,"&lt;"&amp;(S85+IF(L85=1,1000000,IF(L85=2,1000,1))))/SUMIFS($Q$10:$Q$109,$S$10:$S$109,"&gt;"&amp;S85,$S$10:$S$109,"&lt;"&amp;(S85+IF(L85=1,1000000,IF(L85=2,1000,1))))),G85)))*100,0)/100,IF(P85=0,"",IF(K85="汇总",IF(SUMIFS($Q$10:$Q$109,$S$10:$S$109,"&gt;"&amp;S85,$S$10:$S$109,"&lt;"&amp;(S85+IF(L85=1,1000000,IF(L85=2,1000,1))))=0,0,SUMIFS($R$10:$R$109,$S$10:$S$109,"&gt;"&amp;S85,$S$10:$S$109,"&lt;"&amp;(S85+IF(L85=1,1000000,IF(L85=2,1000,1))))/SUMIFS($Q$10:$Q$109,$S$10:$S$109,"&gt;"&amp;S85,$S$10:$S$109,"&lt;"&amp;(S85+IF(L85=1,1000000,IF(L85=2,1000,1))))),G85)))</f>
        <v/>
      </c>
      <c r="P85" s="1">
        <f>IF(OR(A85="",B85="",J85="删除",AE85=0,COUNTIFS($AG$10:$AG$109,"W"&amp;A85)&lt;&gt;1,AND(L85&gt;1,COUNTIFS($AG$10:$AG$109,"W"&amp;V85,$B$10:$B$109,"&lt;&gt;")&lt;&gt;1),AND(L85=3,COUNTIFS($AG$10:$AG$109,"W"&amp;W85,$B$10:$B$109,"&lt;&gt;")&lt;&gt;1),COUNTIFS($AG$10:$AG$109,"W"&amp;V85,$J$10:$J$109,"删除")&gt;0,COUNTIFS($AG$10:$AG$109,"W"&amp;W85,$J$10:$J$109,"删除")&gt;0),0,1)</f>
        <v>0</v>
      </c>
      <c r="Q85" s="1">
        <f>IF(AA85=0,0,IF(I85="里程碑",1,F85))</f>
        <v>0</v>
      </c>
      <c r="R85" s="1">
        <f>IF(AA85=0,0,Q85*G85)</f>
        <v>0</v>
      </c>
      <c r="S85" s="1">
        <f>IF(P85=0,1000000000000000,AB85*1000000+AC85*1000+AD85)</f>
        <v>1000000000000000</v>
      </c>
      <c r="T85" s="1">
        <f>IF(P85=0,0,IF(Timing浏览!$D$5="全部",1,IF(Timing浏览!$D$5="仅里程碑",IF(K85="里程碑",1,0),IF(L85&lt;=VALUE(LEFT(Timing浏览!$D$5,1)),1,0))))</f>
        <v>0</v>
      </c>
      <c r="U85" s="1" t="str">
        <f>IF(T85=0,"",COUNTIFS($S$10:$S$109,"&lt;"&amp;S85,$T$10:$T$109,1)+1)</f>
        <v/>
      </c>
      <c r="V85" s="1" t="str">
        <f>IF(OR(A85="",L85=1),"",IF(L85=2,TEXT(AB85,"0"),TEXT(AB85,"0")&amp;"."&amp;TEXT(AC85,"0")))</f>
        <v/>
      </c>
      <c r="W85" s="1" t="str">
        <f>IF(OR(A85="",L85=1),"",TEXT(AB85,"0"))</f>
        <v/>
      </c>
      <c r="X85" s="1" t="str">
        <f>IF(AND(A85="",B85=""),"",IF(OR(A85="",B85=""),"请补编号和名称",IF(AE85=0,"编号需为1至3级正整数",IF(COUNTIFS($AG$10:$AG$109,"W"&amp;A85)&lt;&gt;1,"编号重复",IF(AND(L85&gt;1,COUNTIFS($AG$10:$AG$109,"W"&amp;V85,$B$10:$B$109,"&lt;&gt;")&lt;&gt;1),"缺少父任务",IF(J85="删除","待删除",IF(P85=0,"父任务已删除或无效",IF(K85="汇总",IF(COUNTIFS($S$10:$S$109,"&gt;"&amp;S85,$S$10:$S$109,"&lt;"&amp;(S85+IF(L85=1,1000000,IF(L85=2,1000,1))),$P$10:$P$109,1)=0,"等待子任务","由下级汇总"),IF(OR(D85="",E85=""),"待补日期",IF(E85&lt;D85,"结束早于开始",IF(AND(I85="里程碑",D85&lt;&gt;E85),"里程碑须同日","")))))))))))</f>
        <v/>
      </c>
      <c r="Y85" s="1">
        <f>IF(AA85=1,D85,100000000)</f>
        <v>100000000</v>
      </c>
      <c r="Z85" s="1">
        <f>IF(AA85=1,E85,0)</f>
        <v>0</v>
      </c>
      <c r="AA85" s="1">
        <f>IF(AND(P85=1,K85&lt;&gt;"汇总",ISNUMBER(F85),OR(I85&lt;&gt;"里程碑",D85=E85)),1,0)</f>
        <v>0</v>
      </c>
      <c r="AB85" s="1">
        <f>IF(A85="",0,IFERROR(VALUE(MID(("W"&amp;A85),2,FIND(".",("W"&amp;A85)&amp;".")-2)),-1))</f>
        <v>0</v>
      </c>
      <c r="AC85" s="1">
        <f>IF(OR(A85="",L85&lt;2),0,IFERROR(VALUE(MID(("W"&amp;A85),FIND(".",("W"&amp;A85))+1,FIND(".",("W"&amp;A85)&amp;".",FIND(".",("W"&amp;A85))+1)-FIND(".",("W"&amp;A85))-1)),-1))</f>
        <v>0</v>
      </c>
      <c r="AD85" s="1">
        <f>IF(OR(A85="",L85&lt;3),0,IFERROR(VALUE(RIGHT(("W"&amp;A85),LEN(("W"&amp;A85))-FIND(".",("W"&amp;A85),FIND(".",("W"&amp;A85))+1))),-1))</f>
        <v>0</v>
      </c>
      <c r="AE85" s="1">
        <f>IF(A85="",0,IF(AND(L85&lt;=3,AB85&gt;=1,AB85&lt;=999,AC85&gt;=0,AC85&lt;=999,AD85&gt;=0,AD85&lt;=999,A85=TEXT(AB85,"0")&amp;IF(L85&gt;1,"."&amp;TEXT(AC85,"0"),"")&amp;IF(L85&gt;2,"."&amp;TEXT(AD85,"0"),""),OR(L85&lt;2,AC85&gt;=1),OR(L85&lt;3,AD85&gt;=1)),1,0))</f>
        <v>0</v>
      </c>
      <c r="AF85" s="1"/>
      <c r="AG85" t="str">
        <f>"W"&amp;A85</f>
        <v>W</v>
      </c>
    </row>
    <row r="86" spans="1:33" ht="16.5">
      <c r="A86" s="12" t="str">
        <f>IF(ROW()-9&gt;ROWS(TimingTasks[WBS]),"",IF(AND(INDEX(TimingTasks[WBS],ROW()-9)="",NOT(ISNUMBER(INDEX(TimingTasks[WBS],ROW()-9)))),"",INDEX(TimingTasks[WBS],ROW()-9)))</f>
        <v/>
      </c>
      <c r="B86" s="10" t="str">
        <f>IF(ROW()-9&gt;ROWS(TimingTasks[WBS]),"",IF(AND(INDEX(TimingTasks[任务名称],ROW()-9)="",NOT(ISNUMBER(INDEX(TimingTasks[任务名称],ROW()-9)))),"",INDEX(TimingTasks[任务名称],ROW()-9)))</f>
        <v/>
      </c>
      <c r="C86" s="10" t="str">
        <f>IF(ROW()-9&gt;ROWS(TimingTasks[WBS]),"",IF(AND(INDEX(TimingTasks[负责人],ROW()-9)="",NOT(ISNUMBER(INDEX(TimingTasks[负责人],ROW()-9)))),"",INDEX(TimingTasks[负责人],ROW()-9)))</f>
        <v/>
      </c>
      <c r="D86" s="11" t="str">
        <f>IF(ROW()-9&gt;ROWS(TimingTasks[WBS]),"",IF(AND(INDEX(TimingTasks[输入开始],ROW()-9)="",NOT(ISNUMBER(INDEX(TimingTasks[输入开始],ROW()-9)))),"",INDEX(TimingTasks[输入开始],ROW()-9)))</f>
        <v/>
      </c>
      <c r="E86" s="11" t="str">
        <f>IF(ROW()-9&gt;ROWS(TimingTasks[WBS]),"",IF(AND(INDEX(TimingTasks[输入结束],ROW()-9)="",NOT(ISNUMBER(INDEX(TimingTasks[输入结束],ROW()-9)))),"",INDEX(TimingTasks[输入结束],ROW()-9)))</f>
        <v/>
      </c>
      <c r="F86" s="1" t="str">
        <f>IF(OR(P86=0,K86="汇总",D86="",E86="",E86&lt;D86),"",IF(I86="里程碑",0,NETWORKDAYS(D86,E86)))</f>
        <v/>
      </c>
      <c r="G86" s="15" t="str">
        <f>IF(ROW()-9&gt;ROWS(TimingTasks[WBS]),"",IF(AND(INDEX(TimingTasks[输入完成度],ROW()-9)="",NOT(ISNUMBER(INDEX(TimingTasks[输入完成度],ROW()-9)))),0,INDEX(TimingTasks[输入完成度],ROW()-9)))</f>
        <v/>
      </c>
      <c r="H86" s="10" t="str">
        <f>IF(ROW()-9&gt;ROWS(TimingTasks[WBS]),"",IF(AND(INDEX(TimingTasks[前置任务 WBS],ROW()-9)="",NOT(ISNUMBER(INDEX(TimingTasks[前置任务 WBS],ROW()-9)))),"",INDEX(TimingTasks[前置任务 WBS],ROW()-9)))</f>
        <v/>
      </c>
      <c r="I86" s="10" t="str">
        <f>IF(ROW()-9&gt;ROWS(TimingTasks[WBS]),"",IF(AND(INDEX(TimingTasks[叶子类型],ROW()-9)="",NOT(ISNUMBER(INDEX(TimingTasks[叶子类型],ROW()-9)))),"普通任务",INDEX(TimingTasks[叶子类型],ROW()-9)))</f>
        <v/>
      </c>
      <c r="J86" s="10" t="str">
        <f>IF(ROW()-9&gt;ROWS(TimingTasks[WBS]),"",IF(AND(INDEX(TimingTasks[操作],ROW()-9)="",NOT(ISNUMBER(INDEX(TimingTasks[操作],ROW()-9)))),"保留",INDEX(TimingTasks[操作],ROW()-9)))</f>
        <v/>
      </c>
      <c r="K86" s="1" t="str">
        <f>IF(P86=0,"",IF(OR(AND(L86=1,D86="",E86="",I86&lt;&gt;"里程碑"),COUNTIFS($S$10:$S$109,"&gt;"&amp;S86,$S$10:$S$109,"&lt;"&amp;(S86+IF(L86=1,1000000,IF(L86=2,1000,1))),$P$10:$P$109,1)&gt;0),"汇总",I86))</f>
        <v/>
      </c>
      <c r="L86" s="1" t="str">
        <f>IF(A86="","",LEN(("W"&amp;A86))-LEN(SUBSTITUTE(("W"&amp;A86),".",""))+1)</f>
        <v/>
      </c>
      <c r="M86" s="3" t="str">
        <f>IF(P86=0,"",IF(K86="汇总",IF(COUNTIFS($S$10:$S$109,"&gt;"&amp;S86,$S$10:$S$109,"&lt;"&amp;(S86+IF(L86=1,1000000,IF(L86=2,1000,1))),$AA$10:$AA$109,1)=0,"",_xlfn.MINIFS($Y$10:$Y$109,$S$10:$S$109,"&gt;"&amp;S86,$S$10:$S$109,"&lt;"&amp;(S86+IF(L86=1,1000000,IF(L86=2,1000,1))),$AA$10:$AA$109,1)),IF(AA86=1,D86,"")))</f>
        <v/>
      </c>
      <c r="N86" s="3" t="str">
        <f>IF(P86=0,"",IF(K86="汇总",IF(COUNTIFS($S$10:$S$109,"&gt;"&amp;S86,$S$10:$S$109,"&lt;"&amp;(S86+IF(L86=1,1000000,IF(L86=2,1000,1))),$AA$10:$AA$109,1)=0,"",_xlfn.MAXIFS($Z$10:$Z$109,$S$10:$S$109,"&gt;"&amp;S86,$S$10:$S$109,"&lt;"&amp;(S86+IF(L86=1,1000000,IF(L86=2,1000,1))),$AA$10:$AA$109,1)),IF(AA86=1,E86,"")))</f>
        <v/>
      </c>
      <c r="O86" s="7" t="str">
        <f>IF(K86="汇总",ROUND((IF(P86=0,"",IF(K86="汇总",IF(SUMIFS($Q$10:$Q$109,$S$10:$S$109,"&gt;"&amp;S86,$S$10:$S$109,"&lt;"&amp;(S86+IF(L86=1,1000000,IF(L86=2,1000,1))))=0,0,SUMIFS($R$10:$R$109,$S$10:$S$109,"&gt;"&amp;S86,$S$10:$S$109,"&lt;"&amp;(S86+IF(L86=1,1000000,IF(L86=2,1000,1))))/SUMIFS($Q$10:$Q$109,$S$10:$S$109,"&gt;"&amp;S86,$S$10:$S$109,"&lt;"&amp;(S86+IF(L86=1,1000000,IF(L86=2,1000,1))))),G86)))*100,0)/100,IF(P86=0,"",IF(K86="汇总",IF(SUMIFS($Q$10:$Q$109,$S$10:$S$109,"&gt;"&amp;S86,$S$10:$S$109,"&lt;"&amp;(S86+IF(L86=1,1000000,IF(L86=2,1000,1))))=0,0,SUMIFS($R$10:$R$109,$S$10:$S$109,"&gt;"&amp;S86,$S$10:$S$109,"&lt;"&amp;(S86+IF(L86=1,1000000,IF(L86=2,1000,1))))/SUMIFS($Q$10:$Q$109,$S$10:$S$109,"&gt;"&amp;S86,$S$10:$S$109,"&lt;"&amp;(S86+IF(L86=1,1000000,IF(L86=2,1000,1))))),G86)))</f>
        <v/>
      </c>
      <c r="P86" s="1">
        <f>IF(OR(A86="",B86="",J86="删除",AE86=0,COUNTIFS($AG$10:$AG$109,"W"&amp;A86)&lt;&gt;1,AND(L86&gt;1,COUNTIFS($AG$10:$AG$109,"W"&amp;V86,$B$10:$B$109,"&lt;&gt;")&lt;&gt;1),AND(L86=3,COUNTIFS($AG$10:$AG$109,"W"&amp;W86,$B$10:$B$109,"&lt;&gt;")&lt;&gt;1),COUNTIFS($AG$10:$AG$109,"W"&amp;V86,$J$10:$J$109,"删除")&gt;0,COUNTIFS($AG$10:$AG$109,"W"&amp;W86,$J$10:$J$109,"删除")&gt;0),0,1)</f>
        <v>0</v>
      </c>
      <c r="Q86" s="1">
        <f>IF(AA86=0,0,IF(I86="里程碑",1,F86))</f>
        <v>0</v>
      </c>
      <c r="R86" s="1">
        <f>IF(AA86=0,0,Q86*G86)</f>
        <v>0</v>
      </c>
      <c r="S86" s="1">
        <f>IF(P86=0,1000000000000000,AB86*1000000+AC86*1000+AD86)</f>
        <v>1000000000000000</v>
      </c>
      <c r="T86" s="1">
        <f>IF(P86=0,0,IF(Timing浏览!$D$5="全部",1,IF(Timing浏览!$D$5="仅里程碑",IF(K86="里程碑",1,0),IF(L86&lt;=VALUE(LEFT(Timing浏览!$D$5,1)),1,0))))</f>
        <v>0</v>
      </c>
      <c r="U86" s="1" t="str">
        <f>IF(T86=0,"",COUNTIFS($S$10:$S$109,"&lt;"&amp;S86,$T$10:$T$109,1)+1)</f>
        <v/>
      </c>
      <c r="V86" s="1" t="str">
        <f>IF(OR(A86="",L86=1),"",IF(L86=2,TEXT(AB86,"0"),TEXT(AB86,"0")&amp;"."&amp;TEXT(AC86,"0")))</f>
        <v/>
      </c>
      <c r="W86" s="1" t="str">
        <f>IF(OR(A86="",L86=1),"",TEXT(AB86,"0"))</f>
        <v/>
      </c>
      <c r="X86" s="1" t="str">
        <f>IF(AND(A86="",B86=""),"",IF(OR(A86="",B86=""),"请补编号和名称",IF(AE86=0,"编号需为1至3级正整数",IF(COUNTIFS($AG$10:$AG$109,"W"&amp;A86)&lt;&gt;1,"编号重复",IF(AND(L86&gt;1,COUNTIFS($AG$10:$AG$109,"W"&amp;V86,$B$10:$B$109,"&lt;&gt;")&lt;&gt;1),"缺少父任务",IF(J86="删除","待删除",IF(P86=0,"父任务已删除或无效",IF(K86="汇总",IF(COUNTIFS($S$10:$S$109,"&gt;"&amp;S86,$S$10:$S$109,"&lt;"&amp;(S86+IF(L86=1,1000000,IF(L86=2,1000,1))),$P$10:$P$109,1)=0,"等待子任务","由下级汇总"),IF(OR(D86="",E86=""),"待补日期",IF(E86&lt;D86,"结束早于开始",IF(AND(I86="里程碑",D86&lt;&gt;E86),"里程碑须同日","")))))))))))</f>
        <v/>
      </c>
      <c r="Y86" s="1">
        <f>IF(AA86=1,D86,100000000)</f>
        <v>100000000</v>
      </c>
      <c r="Z86" s="1">
        <f>IF(AA86=1,E86,0)</f>
        <v>0</v>
      </c>
      <c r="AA86" s="1">
        <f>IF(AND(P86=1,K86&lt;&gt;"汇总",ISNUMBER(F86),OR(I86&lt;&gt;"里程碑",D86=E86)),1,0)</f>
        <v>0</v>
      </c>
      <c r="AB86" s="1">
        <f>IF(A86="",0,IFERROR(VALUE(MID(("W"&amp;A86),2,FIND(".",("W"&amp;A86)&amp;".")-2)),-1))</f>
        <v>0</v>
      </c>
      <c r="AC86" s="1">
        <f>IF(OR(A86="",L86&lt;2),0,IFERROR(VALUE(MID(("W"&amp;A86),FIND(".",("W"&amp;A86))+1,FIND(".",("W"&amp;A86)&amp;".",FIND(".",("W"&amp;A86))+1)-FIND(".",("W"&amp;A86))-1)),-1))</f>
        <v>0</v>
      </c>
      <c r="AD86" s="1">
        <f>IF(OR(A86="",L86&lt;3),0,IFERROR(VALUE(RIGHT(("W"&amp;A86),LEN(("W"&amp;A86))-FIND(".",("W"&amp;A86),FIND(".",("W"&amp;A86))+1))),-1))</f>
        <v>0</v>
      </c>
      <c r="AE86" s="1">
        <f>IF(A86="",0,IF(AND(L86&lt;=3,AB86&gt;=1,AB86&lt;=999,AC86&gt;=0,AC86&lt;=999,AD86&gt;=0,AD86&lt;=999,A86=TEXT(AB86,"0")&amp;IF(L86&gt;1,"."&amp;TEXT(AC86,"0"),"")&amp;IF(L86&gt;2,"."&amp;TEXT(AD86,"0"),""),OR(L86&lt;2,AC86&gt;=1),OR(L86&lt;3,AD86&gt;=1)),1,0))</f>
        <v>0</v>
      </c>
      <c r="AF86" s="1"/>
      <c r="AG86" t="str">
        <f>"W"&amp;A86</f>
        <v>W</v>
      </c>
    </row>
    <row r="87" spans="1:33" ht="16.5">
      <c r="A87" s="12" t="str">
        <f>IF(ROW()-9&gt;ROWS(TimingTasks[WBS]),"",IF(AND(INDEX(TimingTasks[WBS],ROW()-9)="",NOT(ISNUMBER(INDEX(TimingTasks[WBS],ROW()-9)))),"",INDEX(TimingTasks[WBS],ROW()-9)))</f>
        <v/>
      </c>
      <c r="B87" s="10" t="str">
        <f>IF(ROW()-9&gt;ROWS(TimingTasks[WBS]),"",IF(AND(INDEX(TimingTasks[任务名称],ROW()-9)="",NOT(ISNUMBER(INDEX(TimingTasks[任务名称],ROW()-9)))),"",INDEX(TimingTasks[任务名称],ROW()-9)))</f>
        <v/>
      </c>
      <c r="C87" s="10" t="str">
        <f>IF(ROW()-9&gt;ROWS(TimingTasks[WBS]),"",IF(AND(INDEX(TimingTasks[负责人],ROW()-9)="",NOT(ISNUMBER(INDEX(TimingTasks[负责人],ROW()-9)))),"",INDEX(TimingTasks[负责人],ROW()-9)))</f>
        <v/>
      </c>
      <c r="D87" s="11" t="str">
        <f>IF(ROW()-9&gt;ROWS(TimingTasks[WBS]),"",IF(AND(INDEX(TimingTasks[输入开始],ROW()-9)="",NOT(ISNUMBER(INDEX(TimingTasks[输入开始],ROW()-9)))),"",INDEX(TimingTasks[输入开始],ROW()-9)))</f>
        <v/>
      </c>
      <c r="E87" s="11" t="str">
        <f>IF(ROW()-9&gt;ROWS(TimingTasks[WBS]),"",IF(AND(INDEX(TimingTasks[输入结束],ROW()-9)="",NOT(ISNUMBER(INDEX(TimingTasks[输入结束],ROW()-9)))),"",INDEX(TimingTasks[输入结束],ROW()-9)))</f>
        <v/>
      </c>
      <c r="F87" s="1" t="str">
        <f>IF(OR(P87=0,K87="汇总",D87="",E87="",E87&lt;D87),"",IF(I87="里程碑",0,NETWORKDAYS(D87,E87)))</f>
        <v/>
      </c>
      <c r="G87" s="15" t="str">
        <f>IF(ROW()-9&gt;ROWS(TimingTasks[WBS]),"",IF(AND(INDEX(TimingTasks[输入完成度],ROW()-9)="",NOT(ISNUMBER(INDEX(TimingTasks[输入完成度],ROW()-9)))),0,INDEX(TimingTasks[输入完成度],ROW()-9)))</f>
        <v/>
      </c>
      <c r="H87" s="10" t="str">
        <f>IF(ROW()-9&gt;ROWS(TimingTasks[WBS]),"",IF(AND(INDEX(TimingTasks[前置任务 WBS],ROW()-9)="",NOT(ISNUMBER(INDEX(TimingTasks[前置任务 WBS],ROW()-9)))),"",INDEX(TimingTasks[前置任务 WBS],ROW()-9)))</f>
        <v/>
      </c>
      <c r="I87" s="10" t="str">
        <f>IF(ROW()-9&gt;ROWS(TimingTasks[WBS]),"",IF(AND(INDEX(TimingTasks[叶子类型],ROW()-9)="",NOT(ISNUMBER(INDEX(TimingTasks[叶子类型],ROW()-9)))),"普通任务",INDEX(TimingTasks[叶子类型],ROW()-9)))</f>
        <v/>
      </c>
      <c r="J87" s="10" t="str">
        <f>IF(ROW()-9&gt;ROWS(TimingTasks[WBS]),"",IF(AND(INDEX(TimingTasks[操作],ROW()-9)="",NOT(ISNUMBER(INDEX(TimingTasks[操作],ROW()-9)))),"保留",INDEX(TimingTasks[操作],ROW()-9)))</f>
        <v/>
      </c>
      <c r="K87" s="1" t="str">
        <f>IF(P87=0,"",IF(OR(AND(L87=1,D87="",E87="",I87&lt;&gt;"里程碑"),COUNTIFS($S$10:$S$109,"&gt;"&amp;S87,$S$10:$S$109,"&lt;"&amp;(S87+IF(L87=1,1000000,IF(L87=2,1000,1))),$P$10:$P$109,1)&gt;0),"汇总",I87))</f>
        <v/>
      </c>
      <c r="L87" s="1" t="str">
        <f>IF(A87="","",LEN(("W"&amp;A87))-LEN(SUBSTITUTE(("W"&amp;A87),".",""))+1)</f>
        <v/>
      </c>
      <c r="M87" s="3" t="str">
        <f>IF(P87=0,"",IF(K87="汇总",IF(COUNTIFS($S$10:$S$109,"&gt;"&amp;S87,$S$10:$S$109,"&lt;"&amp;(S87+IF(L87=1,1000000,IF(L87=2,1000,1))),$AA$10:$AA$109,1)=0,"",_xlfn.MINIFS($Y$10:$Y$109,$S$10:$S$109,"&gt;"&amp;S87,$S$10:$S$109,"&lt;"&amp;(S87+IF(L87=1,1000000,IF(L87=2,1000,1))),$AA$10:$AA$109,1)),IF(AA87=1,D87,"")))</f>
        <v/>
      </c>
      <c r="N87" s="3" t="str">
        <f>IF(P87=0,"",IF(K87="汇总",IF(COUNTIFS($S$10:$S$109,"&gt;"&amp;S87,$S$10:$S$109,"&lt;"&amp;(S87+IF(L87=1,1000000,IF(L87=2,1000,1))),$AA$10:$AA$109,1)=0,"",_xlfn.MAXIFS($Z$10:$Z$109,$S$10:$S$109,"&gt;"&amp;S87,$S$10:$S$109,"&lt;"&amp;(S87+IF(L87=1,1000000,IF(L87=2,1000,1))),$AA$10:$AA$109,1)),IF(AA87=1,E87,"")))</f>
        <v/>
      </c>
      <c r="O87" s="7" t="str">
        <f>IF(K87="汇总",ROUND((IF(P87=0,"",IF(K87="汇总",IF(SUMIFS($Q$10:$Q$109,$S$10:$S$109,"&gt;"&amp;S87,$S$10:$S$109,"&lt;"&amp;(S87+IF(L87=1,1000000,IF(L87=2,1000,1))))=0,0,SUMIFS($R$10:$R$109,$S$10:$S$109,"&gt;"&amp;S87,$S$10:$S$109,"&lt;"&amp;(S87+IF(L87=1,1000000,IF(L87=2,1000,1))))/SUMIFS($Q$10:$Q$109,$S$10:$S$109,"&gt;"&amp;S87,$S$10:$S$109,"&lt;"&amp;(S87+IF(L87=1,1000000,IF(L87=2,1000,1))))),G87)))*100,0)/100,IF(P87=0,"",IF(K87="汇总",IF(SUMIFS($Q$10:$Q$109,$S$10:$S$109,"&gt;"&amp;S87,$S$10:$S$109,"&lt;"&amp;(S87+IF(L87=1,1000000,IF(L87=2,1000,1))))=0,0,SUMIFS($R$10:$R$109,$S$10:$S$109,"&gt;"&amp;S87,$S$10:$S$109,"&lt;"&amp;(S87+IF(L87=1,1000000,IF(L87=2,1000,1))))/SUMIFS($Q$10:$Q$109,$S$10:$S$109,"&gt;"&amp;S87,$S$10:$S$109,"&lt;"&amp;(S87+IF(L87=1,1000000,IF(L87=2,1000,1))))),G87)))</f>
        <v/>
      </c>
      <c r="P87" s="1">
        <f>IF(OR(A87="",B87="",J87="删除",AE87=0,COUNTIFS($AG$10:$AG$109,"W"&amp;A87)&lt;&gt;1,AND(L87&gt;1,COUNTIFS($AG$10:$AG$109,"W"&amp;V87,$B$10:$B$109,"&lt;&gt;")&lt;&gt;1),AND(L87=3,COUNTIFS($AG$10:$AG$109,"W"&amp;W87,$B$10:$B$109,"&lt;&gt;")&lt;&gt;1),COUNTIFS($AG$10:$AG$109,"W"&amp;V87,$J$10:$J$109,"删除")&gt;0,COUNTIFS($AG$10:$AG$109,"W"&amp;W87,$J$10:$J$109,"删除")&gt;0),0,1)</f>
        <v>0</v>
      </c>
      <c r="Q87" s="1">
        <f>IF(AA87=0,0,IF(I87="里程碑",1,F87))</f>
        <v>0</v>
      </c>
      <c r="R87" s="1">
        <f>IF(AA87=0,0,Q87*G87)</f>
        <v>0</v>
      </c>
      <c r="S87" s="1">
        <f>IF(P87=0,1000000000000000,AB87*1000000+AC87*1000+AD87)</f>
        <v>1000000000000000</v>
      </c>
      <c r="T87" s="1">
        <f>IF(P87=0,0,IF(Timing浏览!$D$5="全部",1,IF(Timing浏览!$D$5="仅里程碑",IF(K87="里程碑",1,0),IF(L87&lt;=VALUE(LEFT(Timing浏览!$D$5,1)),1,0))))</f>
        <v>0</v>
      </c>
      <c r="U87" s="1" t="str">
        <f>IF(T87=0,"",COUNTIFS($S$10:$S$109,"&lt;"&amp;S87,$T$10:$T$109,1)+1)</f>
        <v/>
      </c>
      <c r="V87" s="1" t="str">
        <f>IF(OR(A87="",L87=1),"",IF(L87=2,TEXT(AB87,"0"),TEXT(AB87,"0")&amp;"."&amp;TEXT(AC87,"0")))</f>
        <v/>
      </c>
      <c r="W87" s="1" t="str">
        <f>IF(OR(A87="",L87=1),"",TEXT(AB87,"0"))</f>
        <v/>
      </c>
      <c r="X87" s="1" t="str">
        <f>IF(AND(A87="",B87=""),"",IF(OR(A87="",B87=""),"请补编号和名称",IF(AE87=0,"编号需为1至3级正整数",IF(COUNTIFS($AG$10:$AG$109,"W"&amp;A87)&lt;&gt;1,"编号重复",IF(AND(L87&gt;1,COUNTIFS($AG$10:$AG$109,"W"&amp;V87,$B$10:$B$109,"&lt;&gt;")&lt;&gt;1),"缺少父任务",IF(J87="删除","待删除",IF(P87=0,"父任务已删除或无效",IF(K87="汇总",IF(COUNTIFS($S$10:$S$109,"&gt;"&amp;S87,$S$10:$S$109,"&lt;"&amp;(S87+IF(L87=1,1000000,IF(L87=2,1000,1))),$P$10:$P$109,1)=0,"等待子任务","由下级汇总"),IF(OR(D87="",E87=""),"待补日期",IF(E87&lt;D87,"结束早于开始",IF(AND(I87="里程碑",D87&lt;&gt;E87),"里程碑须同日","")))))))))))</f>
        <v/>
      </c>
      <c r="Y87" s="1">
        <f>IF(AA87=1,D87,100000000)</f>
        <v>100000000</v>
      </c>
      <c r="Z87" s="1">
        <f>IF(AA87=1,E87,0)</f>
        <v>0</v>
      </c>
      <c r="AA87" s="1">
        <f>IF(AND(P87=1,K87&lt;&gt;"汇总",ISNUMBER(F87),OR(I87&lt;&gt;"里程碑",D87=E87)),1,0)</f>
        <v>0</v>
      </c>
      <c r="AB87" s="1">
        <f>IF(A87="",0,IFERROR(VALUE(MID(("W"&amp;A87),2,FIND(".",("W"&amp;A87)&amp;".")-2)),-1))</f>
        <v>0</v>
      </c>
      <c r="AC87" s="1">
        <f>IF(OR(A87="",L87&lt;2),0,IFERROR(VALUE(MID(("W"&amp;A87),FIND(".",("W"&amp;A87))+1,FIND(".",("W"&amp;A87)&amp;".",FIND(".",("W"&amp;A87))+1)-FIND(".",("W"&amp;A87))-1)),-1))</f>
        <v>0</v>
      </c>
      <c r="AD87" s="1">
        <f>IF(OR(A87="",L87&lt;3),0,IFERROR(VALUE(RIGHT(("W"&amp;A87),LEN(("W"&amp;A87))-FIND(".",("W"&amp;A87),FIND(".",("W"&amp;A87))+1))),-1))</f>
        <v>0</v>
      </c>
      <c r="AE87" s="1">
        <f>IF(A87="",0,IF(AND(L87&lt;=3,AB87&gt;=1,AB87&lt;=999,AC87&gt;=0,AC87&lt;=999,AD87&gt;=0,AD87&lt;=999,A87=TEXT(AB87,"0")&amp;IF(L87&gt;1,"."&amp;TEXT(AC87,"0"),"")&amp;IF(L87&gt;2,"."&amp;TEXT(AD87,"0"),""),OR(L87&lt;2,AC87&gt;=1),OR(L87&lt;3,AD87&gt;=1)),1,0))</f>
        <v>0</v>
      </c>
      <c r="AF87" s="1"/>
      <c r="AG87" t="str">
        <f>"W"&amp;A87</f>
        <v>W</v>
      </c>
    </row>
    <row r="88" spans="1:33" ht="16.5">
      <c r="A88" s="12" t="str">
        <f>IF(ROW()-9&gt;ROWS(TimingTasks[WBS]),"",IF(AND(INDEX(TimingTasks[WBS],ROW()-9)="",NOT(ISNUMBER(INDEX(TimingTasks[WBS],ROW()-9)))),"",INDEX(TimingTasks[WBS],ROW()-9)))</f>
        <v/>
      </c>
      <c r="B88" s="10" t="str">
        <f>IF(ROW()-9&gt;ROWS(TimingTasks[WBS]),"",IF(AND(INDEX(TimingTasks[任务名称],ROW()-9)="",NOT(ISNUMBER(INDEX(TimingTasks[任务名称],ROW()-9)))),"",INDEX(TimingTasks[任务名称],ROW()-9)))</f>
        <v/>
      </c>
      <c r="C88" s="10" t="str">
        <f>IF(ROW()-9&gt;ROWS(TimingTasks[WBS]),"",IF(AND(INDEX(TimingTasks[负责人],ROW()-9)="",NOT(ISNUMBER(INDEX(TimingTasks[负责人],ROW()-9)))),"",INDEX(TimingTasks[负责人],ROW()-9)))</f>
        <v/>
      </c>
      <c r="D88" s="11" t="str">
        <f>IF(ROW()-9&gt;ROWS(TimingTasks[WBS]),"",IF(AND(INDEX(TimingTasks[输入开始],ROW()-9)="",NOT(ISNUMBER(INDEX(TimingTasks[输入开始],ROW()-9)))),"",INDEX(TimingTasks[输入开始],ROW()-9)))</f>
        <v/>
      </c>
      <c r="E88" s="11" t="str">
        <f>IF(ROW()-9&gt;ROWS(TimingTasks[WBS]),"",IF(AND(INDEX(TimingTasks[输入结束],ROW()-9)="",NOT(ISNUMBER(INDEX(TimingTasks[输入结束],ROW()-9)))),"",INDEX(TimingTasks[输入结束],ROW()-9)))</f>
        <v/>
      </c>
      <c r="F88" s="1" t="str">
        <f>IF(OR(P88=0,K88="汇总",D88="",E88="",E88&lt;D88),"",IF(I88="里程碑",0,NETWORKDAYS(D88,E88)))</f>
        <v/>
      </c>
      <c r="G88" s="15" t="str">
        <f>IF(ROW()-9&gt;ROWS(TimingTasks[WBS]),"",IF(AND(INDEX(TimingTasks[输入完成度],ROW()-9)="",NOT(ISNUMBER(INDEX(TimingTasks[输入完成度],ROW()-9)))),0,INDEX(TimingTasks[输入完成度],ROW()-9)))</f>
        <v/>
      </c>
      <c r="H88" s="10" t="str">
        <f>IF(ROW()-9&gt;ROWS(TimingTasks[WBS]),"",IF(AND(INDEX(TimingTasks[前置任务 WBS],ROW()-9)="",NOT(ISNUMBER(INDEX(TimingTasks[前置任务 WBS],ROW()-9)))),"",INDEX(TimingTasks[前置任务 WBS],ROW()-9)))</f>
        <v/>
      </c>
      <c r="I88" s="10" t="str">
        <f>IF(ROW()-9&gt;ROWS(TimingTasks[WBS]),"",IF(AND(INDEX(TimingTasks[叶子类型],ROW()-9)="",NOT(ISNUMBER(INDEX(TimingTasks[叶子类型],ROW()-9)))),"普通任务",INDEX(TimingTasks[叶子类型],ROW()-9)))</f>
        <v/>
      </c>
      <c r="J88" s="10" t="str">
        <f>IF(ROW()-9&gt;ROWS(TimingTasks[WBS]),"",IF(AND(INDEX(TimingTasks[操作],ROW()-9)="",NOT(ISNUMBER(INDEX(TimingTasks[操作],ROW()-9)))),"保留",INDEX(TimingTasks[操作],ROW()-9)))</f>
        <v/>
      </c>
      <c r="K88" s="1" t="str">
        <f>IF(P88=0,"",IF(OR(AND(L88=1,D88="",E88="",I88&lt;&gt;"里程碑"),COUNTIFS($S$10:$S$109,"&gt;"&amp;S88,$S$10:$S$109,"&lt;"&amp;(S88+IF(L88=1,1000000,IF(L88=2,1000,1))),$P$10:$P$109,1)&gt;0),"汇总",I88))</f>
        <v/>
      </c>
      <c r="L88" s="1" t="str">
        <f>IF(A88="","",LEN(("W"&amp;A88))-LEN(SUBSTITUTE(("W"&amp;A88),".",""))+1)</f>
        <v/>
      </c>
      <c r="M88" s="3" t="str">
        <f>IF(P88=0,"",IF(K88="汇总",IF(COUNTIFS($S$10:$S$109,"&gt;"&amp;S88,$S$10:$S$109,"&lt;"&amp;(S88+IF(L88=1,1000000,IF(L88=2,1000,1))),$AA$10:$AA$109,1)=0,"",_xlfn.MINIFS($Y$10:$Y$109,$S$10:$S$109,"&gt;"&amp;S88,$S$10:$S$109,"&lt;"&amp;(S88+IF(L88=1,1000000,IF(L88=2,1000,1))),$AA$10:$AA$109,1)),IF(AA88=1,D88,"")))</f>
        <v/>
      </c>
      <c r="N88" s="3" t="str">
        <f>IF(P88=0,"",IF(K88="汇总",IF(COUNTIFS($S$10:$S$109,"&gt;"&amp;S88,$S$10:$S$109,"&lt;"&amp;(S88+IF(L88=1,1000000,IF(L88=2,1000,1))),$AA$10:$AA$109,1)=0,"",_xlfn.MAXIFS($Z$10:$Z$109,$S$10:$S$109,"&gt;"&amp;S88,$S$10:$S$109,"&lt;"&amp;(S88+IF(L88=1,1000000,IF(L88=2,1000,1))),$AA$10:$AA$109,1)),IF(AA88=1,E88,"")))</f>
        <v/>
      </c>
      <c r="O88" s="7" t="str">
        <f>IF(K88="汇总",ROUND((IF(P88=0,"",IF(K88="汇总",IF(SUMIFS($Q$10:$Q$109,$S$10:$S$109,"&gt;"&amp;S88,$S$10:$S$109,"&lt;"&amp;(S88+IF(L88=1,1000000,IF(L88=2,1000,1))))=0,0,SUMIFS($R$10:$R$109,$S$10:$S$109,"&gt;"&amp;S88,$S$10:$S$109,"&lt;"&amp;(S88+IF(L88=1,1000000,IF(L88=2,1000,1))))/SUMIFS($Q$10:$Q$109,$S$10:$S$109,"&gt;"&amp;S88,$S$10:$S$109,"&lt;"&amp;(S88+IF(L88=1,1000000,IF(L88=2,1000,1))))),G88)))*100,0)/100,IF(P88=0,"",IF(K88="汇总",IF(SUMIFS($Q$10:$Q$109,$S$10:$S$109,"&gt;"&amp;S88,$S$10:$S$109,"&lt;"&amp;(S88+IF(L88=1,1000000,IF(L88=2,1000,1))))=0,0,SUMIFS($R$10:$R$109,$S$10:$S$109,"&gt;"&amp;S88,$S$10:$S$109,"&lt;"&amp;(S88+IF(L88=1,1000000,IF(L88=2,1000,1))))/SUMIFS($Q$10:$Q$109,$S$10:$S$109,"&gt;"&amp;S88,$S$10:$S$109,"&lt;"&amp;(S88+IF(L88=1,1000000,IF(L88=2,1000,1))))),G88)))</f>
        <v/>
      </c>
      <c r="P88" s="1">
        <f>IF(OR(A88="",B88="",J88="删除",AE88=0,COUNTIFS($AG$10:$AG$109,"W"&amp;A88)&lt;&gt;1,AND(L88&gt;1,COUNTIFS($AG$10:$AG$109,"W"&amp;V88,$B$10:$B$109,"&lt;&gt;")&lt;&gt;1),AND(L88=3,COUNTIFS($AG$10:$AG$109,"W"&amp;W88,$B$10:$B$109,"&lt;&gt;")&lt;&gt;1),COUNTIFS($AG$10:$AG$109,"W"&amp;V88,$J$10:$J$109,"删除")&gt;0,COUNTIFS($AG$10:$AG$109,"W"&amp;W88,$J$10:$J$109,"删除")&gt;0),0,1)</f>
        <v>0</v>
      </c>
      <c r="Q88" s="1">
        <f>IF(AA88=0,0,IF(I88="里程碑",1,F88))</f>
        <v>0</v>
      </c>
      <c r="R88" s="1">
        <f>IF(AA88=0,0,Q88*G88)</f>
        <v>0</v>
      </c>
      <c r="S88" s="1">
        <f>IF(P88=0,1000000000000000,AB88*1000000+AC88*1000+AD88)</f>
        <v>1000000000000000</v>
      </c>
      <c r="T88" s="1">
        <f>IF(P88=0,0,IF(Timing浏览!$D$5="全部",1,IF(Timing浏览!$D$5="仅里程碑",IF(K88="里程碑",1,0),IF(L88&lt;=VALUE(LEFT(Timing浏览!$D$5,1)),1,0))))</f>
        <v>0</v>
      </c>
      <c r="U88" s="1" t="str">
        <f>IF(T88=0,"",COUNTIFS($S$10:$S$109,"&lt;"&amp;S88,$T$10:$T$109,1)+1)</f>
        <v/>
      </c>
      <c r="V88" s="1" t="str">
        <f>IF(OR(A88="",L88=1),"",IF(L88=2,TEXT(AB88,"0"),TEXT(AB88,"0")&amp;"."&amp;TEXT(AC88,"0")))</f>
        <v/>
      </c>
      <c r="W88" s="1" t="str">
        <f>IF(OR(A88="",L88=1),"",TEXT(AB88,"0"))</f>
        <v/>
      </c>
      <c r="X88" s="1" t="str">
        <f>IF(AND(A88="",B88=""),"",IF(OR(A88="",B88=""),"请补编号和名称",IF(AE88=0,"编号需为1至3级正整数",IF(COUNTIFS($AG$10:$AG$109,"W"&amp;A88)&lt;&gt;1,"编号重复",IF(AND(L88&gt;1,COUNTIFS($AG$10:$AG$109,"W"&amp;V88,$B$10:$B$109,"&lt;&gt;")&lt;&gt;1),"缺少父任务",IF(J88="删除","待删除",IF(P88=0,"父任务已删除或无效",IF(K88="汇总",IF(COUNTIFS($S$10:$S$109,"&gt;"&amp;S88,$S$10:$S$109,"&lt;"&amp;(S88+IF(L88=1,1000000,IF(L88=2,1000,1))),$P$10:$P$109,1)=0,"等待子任务","由下级汇总"),IF(OR(D88="",E88=""),"待补日期",IF(E88&lt;D88,"结束早于开始",IF(AND(I88="里程碑",D88&lt;&gt;E88),"里程碑须同日","")))))))))))</f>
        <v/>
      </c>
      <c r="Y88" s="1">
        <f>IF(AA88=1,D88,100000000)</f>
        <v>100000000</v>
      </c>
      <c r="Z88" s="1">
        <f>IF(AA88=1,E88,0)</f>
        <v>0</v>
      </c>
      <c r="AA88" s="1">
        <f>IF(AND(P88=1,K88&lt;&gt;"汇总",ISNUMBER(F88),OR(I88&lt;&gt;"里程碑",D88=E88)),1,0)</f>
        <v>0</v>
      </c>
      <c r="AB88" s="1">
        <f>IF(A88="",0,IFERROR(VALUE(MID(("W"&amp;A88),2,FIND(".",("W"&amp;A88)&amp;".")-2)),-1))</f>
        <v>0</v>
      </c>
      <c r="AC88" s="1">
        <f>IF(OR(A88="",L88&lt;2),0,IFERROR(VALUE(MID(("W"&amp;A88),FIND(".",("W"&amp;A88))+1,FIND(".",("W"&amp;A88)&amp;".",FIND(".",("W"&amp;A88))+1)-FIND(".",("W"&amp;A88))-1)),-1))</f>
        <v>0</v>
      </c>
      <c r="AD88" s="1">
        <f>IF(OR(A88="",L88&lt;3),0,IFERROR(VALUE(RIGHT(("W"&amp;A88),LEN(("W"&amp;A88))-FIND(".",("W"&amp;A88),FIND(".",("W"&amp;A88))+1))),-1))</f>
        <v>0</v>
      </c>
      <c r="AE88" s="1">
        <f>IF(A88="",0,IF(AND(L88&lt;=3,AB88&gt;=1,AB88&lt;=999,AC88&gt;=0,AC88&lt;=999,AD88&gt;=0,AD88&lt;=999,A88=TEXT(AB88,"0")&amp;IF(L88&gt;1,"."&amp;TEXT(AC88,"0"),"")&amp;IF(L88&gt;2,"."&amp;TEXT(AD88,"0"),""),OR(L88&lt;2,AC88&gt;=1),OR(L88&lt;3,AD88&gt;=1)),1,0))</f>
        <v>0</v>
      </c>
      <c r="AF88" s="1"/>
      <c r="AG88" t="str">
        <f>"W"&amp;A88</f>
        <v>W</v>
      </c>
    </row>
    <row r="89" spans="1:33" ht="16.5">
      <c r="A89" s="12" t="str">
        <f>IF(ROW()-9&gt;ROWS(TimingTasks[WBS]),"",IF(AND(INDEX(TimingTasks[WBS],ROW()-9)="",NOT(ISNUMBER(INDEX(TimingTasks[WBS],ROW()-9)))),"",INDEX(TimingTasks[WBS],ROW()-9)))</f>
        <v/>
      </c>
      <c r="B89" s="10" t="str">
        <f>IF(ROW()-9&gt;ROWS(TimingTasks[WBS]),"",IF(AND(INDEX(TimingTasks[任务名称],ROW()-9)="",NOT(ISNUMBER(INDEX(TimingTasks[任务名称],ROW()-9)))),"",INDEX(TimingTasks[任务名称],ROW()-9)))</f>
        <v/>
      </c>
      <c r="C89" s="10" t="str">
        <f>IF(ROW()-9&gt;ROWS(TimingTasks[WBS]),"",IF(AND(INDEX(TimingTasks[负责人],ROW()-9)="",NOT(ISNUMBER(INDEX(TimingTasks[负责人],ROW()-9)))),"",INDEX(TimingTasks[负责人],ROW()-9)))</f>
        <v/>
      </c>
      <c r="D89" s="11" t="str">
        <f>IF(ROW()-9&gt;ROWS(TimingTasks[WBS]),"",IF(AND(INDEX(TimingTasks[输入开始],ROW()-9)="",NOT(ISNUMBER(INDEX(TimingTasks[输入开始],ROW()-9)))),"",INDEX(TimingTasks[输入开始],ROW()-9)))</f>
        <v/>
      </c>
      <c r="E89" s="11" t="str">
        <f>IF(ROW()-9&gt;ROWS(TimingTasks[WBS]),"",IF(AND(INDEX(TimingTasks[输入结束],ROW()-9)="",NOT(ISNUMBER(INDEX(TimingTasks[输入结束],ROW()-9)))),"",INDEX(TimingTasks[输入结束],ROW()-9)))</f>
        <v/>
      </c>
      <c r="F89" s="1" t="str">
        <f>IF(OR(P89=0,K89="汇总",D89="",E89="",E89&lt;D89),"",IF(I89="里程碑",0,NETWORKDAYS(D89,E89)))</f>
        <v/>
      </c>
      <c r="G89" s="15" t="str">
        <f>IF(ROW()-9&gt;ROWS(TimingTasks[WBS]),"",IF(AND(INDEX(TimingTasks[输入完成度],ROW()-9)="",NOT(ISNUMBER(INDEX(TimingTasks[输入完成度],ROW()-9)))),0,INDEX(TimingTasks[输入完成度],ROW()-9)))</f>
        <v/>
      </c>
      <c r="H89" s="10" t="str">
        <f>IF(ROW()-9&gt;ROWS(TimingTasks[WBS]),"",IF(AND(INDEX(TimingTasks[前置任务 WBS],ROW()-9)="",NOT(ISNUMBER(INDEX(TimingTasks[前置任务 WBS],ROW()-9)))),"",INDEX(TimingTasks[前置任务 WBS],ROW()-9)))</f>
        <v/>
      </c>
      <c r="I89" s="10" t="str">
        <f>IF(ROW()-9&gt;ROWS(TimingTasks[WBS]),"",IF(AND(INDEX(TimingTasks[叶子类型],ROW()-9)="",NOT(ISNUMBER(INDEX(TimingTasks[叶子类型],ROW()-9)))),"普通任务",INDEX(TimingTasks[叶子类型],ROW()-9)))</f>
        <v/>
      </c>
      <c r="J89" s="10" t="str">
        <f>IF(ROW()-9&gt;ROWS(TimingTasks[WBS]),"",IF(AND(INDEX(TimingTasks[操作],ROW()-9)="",NOT(ISNUMBER(INDEX(TimingTasks[操作],ROW()-9)))),"保留",INDEX(TimingTasks[操作],ROW()-9)))</f>
        <v/>
      </c>
      <c r="K89" s="1" t="str">
        <f>IF(P89=0,"",IF(OR(AND(L89=1,D89="",E89="",I89&lt;&gt;"里程碑"),COUNTIFS($S$10:$S$109,"&gt;"&amp;S89,$S$10:$S$109,"&lt;"&amp;(S89+IF(L89=1,1000000,IF(L89=2,1000,1))),$P$10:$P$109,1)&gt;0),"汇总",I89))</f>
        <v/>
      </c>
      <c r="L89" s="1" t="str">
        <f>IF(A89="","",LEN(("W"&amp;A89))-LEN(SUBSTITUTE(("W"&amp;A89),".",""))+1)</f>
        <v/>
      </c>
      <c r="M89" s="3" t="str">
        <f>IF(P89=0,"",IF(K89="汇总",IF(COUNTIFS($S$10:$S$109,"&gt;"&amp;S89,$S$10:$S$109,"&lt;"&amp;(S89+IF(L89=1,1000000,IF(L89=2,1000,1))),$AA$10:$AA$109,1)=0,"",_xlfn.MINIFS($Y$10:$Y$109,$S$10:$S$109,"&gt;"&amp;S89,$S$10:$S$109,"&lt;"&amp;(S89+IF(L89=1,1000000,IF(L89=2,1000,1))),$AA$10:$AA$109,1)),IF(AA89=1,D89,"")))</f>
        <v/>
      </c>
      <c r="N89" s="3" t="str">
        <f>IF(P89=0,"",IF(K89="汇总",IF(COUNTIFS($S$10:$S$109,"&gt;"&amp;S89,$S$10:$S$109,"&lt;"&amp;(S89+IF(L89=1,1000000,IF(L89=2,1000,1))),$AA$10:$AA$109,1)=0,"",_xlfn.MAXIFS($Z$10:$Z$109,$S$10:$S$109,"&gt;"&amp;S89,$S$10:$S$109,"&lt;"&amp;(S89+IF(L89=1,1000000,IF(L89=2,1000,1))),$AA$10:$AA$109,1)),IF(AA89=1,E89,"")))</f>
        <v/>
      </c>
      <c r="O89" s="7" t="str">
        <f>IF(K89="汇总",ROUND((IF(P89=0,"",IF(K89="汇总",IF(SUMIFS($Q$10:$Q$109,$S$10:$S$109,"&gt;"&amp;S89,$S$10:$S$109,"&lt;"&amp;(S89+IF(L89=1,1000000,IF(L89=2,1000,1))))=0,0,SUMIFS($R$10:$R$109,$S$10:$S$109,"&gt;"&amp;S89,$S$10:$S$109,"&lt;"&amp;(S89+IF(L89=1,1000000,IF(L89=2,1000,1))))/SUMIFS($Q$10:$Q$109,$S$10:$S$109,"&gt;"&amp;S89,$S$10:$S$109,"&lt;"&amp;(S89+IF(L89=1,1000000,IF(L89=2,1000,1))))),G89)))*100,0)/100,IF(P89=0,"",IF(K89="汇总",IF(SUMIFS($Q$10:$Q$109,$S$10:$S$109,"&gt;"&amp;S89,$S$10:$S$109,"&lt;"&amp;(S89+IF(L89=1,1000000,IF(L89=2,1000,1))))=0,0,SUMIFS($R$10:$R$109,$S$10:$S$109,"&gt;"&amp;S89,$S$10:$S$109,"&lt;"&amp;(S89+IF(L89=1,1000000,IF(L89=2,1000,1))))/SUMIFS($Q$10:$Q$109,$S$10:$S$109,"&gt;"&amp;S89,$S$10:$S$109,"&lt;"&amp;(S89+IF(L89=1,1000000,IF(L89=2,1000,1))))),G89)))</f>
        <v/>
      </c>
      <c r="P89" s="1">
        <f>IF(OR(A89="",B89="",J89="删除",AE89=0,COUNTIFS($AG$10:$AG$109,"W"&amp;A89)&lt;&gt;1,AND(L89&gt;1,COUNTIFS($AG$10:$AG$109,"W"&amp;V89,$B$10:$B$109,"&lt;&gt;")&lt;&gt;1),AND(L89=3,COUNTIFS($AG$10:$AG$109,"W"&amp;W89,$B$10:$B$109,"&lt;&gt;")&lt;&gt;1),COUNTIFS($AG$10:$AG$109,"W"&amp;V89,$J$10:$J$109,"删除")&gt;0,COUNTIFS($AG$10:$AG$109,"W"&amp;W89,$J$10:$J$109,"删除")&gt;0),0,1)</f>
        <v>0</v>
      </c>
      <c r="Q89" s="1">
        <f>IF(AA89=0,0,IF(I89="里程碑",1,F89))</f>
        <v>0</v>
      </c>
      <c r="R89" s="1">
        <f>IF(AA89=0,0,Q89*G89)</f>
        <v>0</v>
      </c>
      <c r="S89" s="1">
        <f>IF(P89=0,1000000000000000,AB89*1000000+AC89*1000+AD89)</f>
        <v>1000000000000000</v>
      </c>
      <c r="T89" s="1">
        <f>IF(P89=0,0,IF(Timing浏览!$D$5="全部",1,IF(Timing浏览!$D$5="仅里程碑",IF(K89="里程碑",1,0),IF(L89&lt;=VALUE(LEFT(Timing浏览!$D$5,1)),1,0))))</f>
        <v>0</v>
      </c>
      <c r="U89" s="1" t="str">
        <f>IF(T89=0,"",COUNTIFS($S$10:$S$109,"&lt;"&amp;S89,$T$10:$T$109,1)+1)</f>
        <v/>
      </c>
      <c r="V89" s="1" t="str">
        <f>IF(OR(A89="",L89=1),"",IF(L89=2,TEXT(AB89,"0"),TEXT(AB89,"0")&amp;"."&amp;TEXT(AC89,"0")))</f>
        <v/>
      </c>
      <c r="W89" s="1" t="str">
        <f>IF(OR(A89="",L89=1),"",TEXT(AB89,"0"))</f>
        <v/>
      </c>
      <c r="X89" s="1" t="str">
        <f>IF(AND(A89="",B89=""),"",IF(OR(A89="",B89=""),"请补编号和名称",IF(AE89=0,"编号需为1至3级正整数",IF(COUNTIFS($AG$10:$AG$109,"W"&amp;A89)&lt;&gt;1,"编号重复",IF(AND(L89&gt;1,COUNTIFS($AG$10:$AG$109,"W"&amp;V89,$B$10:$B$109,"&lt;&gt;")&lt;&gt;1),"缺少父任务",IF(J89="删除","待删除",IF(P89=0,"父任务已删除或无效",IF(K89="汇总",IF(COUNTIFS($S$10:$S$109,"&gt;"&amp;S89,$S$10:$S$109,"&lt;"&amp;(S89+IF(L89=1,1000000,IF(L89=2,1000,1))),$P$10:$P$109,1)=0,"等待子任务","由下级汇总"),IF(OR(D89="",E89=""),"待补日期",IF(E89&lt;D89,"结束早于开始",IF(AND(I89="里程碑",D89&lt;&gt;E89),"里程碑须同日","")))))))))))</f>
        <v/>
      </c>
      <c r="Y89" s="1">
        <f>IF(AA89=1,D89,100000000)</f>
        <v>100000000</v>
      </c>
      <c r="Z89" s="1">
        <f>IF(AA89=1,E89,0)</f>
        <v>0</v>
      </c>
      <c r="AA89" s="1">
        <f>IF(AND(P89=1,K89&lt;&gt;"汇总",ISNUMBER(F89),OR(I89&lt;&gt;"里程碑",D89=E89)),1,0)</f>
        <v>0</v>
      </c>
      <c r="AB89" s="1">
        <f>IF(A89="",0,IFERROR(VALUE(MID(("W"&amp;A89),2,FIND(".",("W"&amp;A89)&amp;".")-2)),-1))</f>
        <v>0</v>
      </c>
      <c r="AC89" s="1">
        <f>IF(OR(A89="",L89&lt;2),0,IFERROR(VALUE(MID(("W"&amp;A89),FIND(".",("W"&amp;A89))+1,FIND(".",("W"&amp;A89)&amp;".",FIND(".",("W"&amp;A89))+1)-FIND(".",("W"&amp;A89))-1)),-1))</f>
        <v>0</v>
      </c>
      <c r="AD89" s="1">
        <f>IF(OR(A89="",L89&lt;3),0,IFERROR(VALUE(RIGHT(("W"&amp;A89),LEN(("W"&amp;A89))-FIND(".",("W"&amp;A89),FIND(".",("W"&amp;A89))+1))),-1))</f>
        <v>0</v>
      </c>
      <c r="AE89" s="1">
        <f>IF(A89="",0,IF(AND(L89&lt;=3,AB89&gt;=1,AB89&lt;=999,AC89&gt;=0,AC89&lt;=999,AD89&gt;=0,AD89&lt;=999,A89=TEXT(AB89,"0")&amp;IF(L89&gt;1,"."&amp;TEXT(AC89,"0"),"")&amp;IF(L89&gt;2,"."&amp;TEXT(AD89,"0"),""),OR(L89&lt;2,AC89&gt;=1),OR(L89&lt;3,AD89&gt;=1)),1,0))</f>
        <v>0</v>
      </c>
      <c r="AF89" s="1"/>
      <c r="AG89" t="str">
        <f>"W"&amp;A89</f>
        <v>W</v>
      </c>
    </row>
    <row r="90" spans="1:33" ht="16.5">
      <c r="A90" s="12" t="str">
        <f>IF(ROW()-9&gt;ROWS(TimingTasks[WBS]),"",IF(AND(INDEX(TimingTasks[WBS],ROW()-9)="",NOT(ISNUMBER(INDEX(TimingTasks[WBS],ROW()-9)))),"",INDEX(TimingTasks[WBS],ROW()-9)))</f>
        <v/>
      </c>
      <c r="B90" s="10" t="str">
        <f>IF(ROW()-9&gt;ROWS(TimingTasks[WBS]),"",IF(AND(INDEX(TimingTasks[任务名称],ROW()-9)="",NOT(ISNUMBER(INDEX(TimingTasks[任务名称],ROW()-9)))),"",INDEX(TimingTasks[任务名称],ROW()-9)))</f>
        <v/>
      </c>
      <c r="C90" s="10" t="str">
        <f>IF(ROW()-9&gt;ROWS(TimingTasks[WBS]),"",IF(AND(INDEX(TimingTasks[负责人],ROW()-9)="",NOT(ISNUMBER(INDEX(TimingTasks[负责人],ROW()-9)))),"",INDEX(TimingTasks[负责人],ROW()-9)))</f>
        <v/>
      </c>
      <c r="D90" s="11" t="str">
        <f>IF(ROW()-9&gt;ROWS(TimingTasks[WBS]),"",IF(AND(INDEX(TimingTasks[输入开始],ROW()-9)="",NOT(ISNUMBER(INDEX(TimingTasks[输入开始],ROW()-9)))),"",INDEX(TimingTasks[输入开始],ROW()-9)))</f>
        <v/>
      </c>
      <c r="E90" s="11" t="str">
        <f>IF(ROW()-9&gt;ROWS(TimingTasks[WBS]),"",IF(AND(INDEX(TimingTasks[输入结束],ROW()-9)="",NOT(ISNUMBER(INDEX(TimingTasks[输入结束],ROW()-9)))),"",INDEX(TimingTasks[输入结束],ROW()-9)))</f>
        <v/>
      </c>
      <c r="F90" s="1" t="str">
        <f>IF(OR(P90=0,K90="汇总",D90="",E90="",E90&lt;D90),"",IF(I90="里程碑",0,NETWORKDAYS(D90,E90)))</f>
        <v/>
      </c>
      <c r="G90" s="15" t="str">
        <f>IF(ROW()-9&gt;ROWS(TimingTasks[WBS]),"",IF(AND(INDEX(TimingTasks[输入完成度],ROW()-9)="",NOT(ISNUMBER(INDEX(TimingTasks[输入完成度],ROW()-9)))),0,INDEX(TimingTasks[输入完成度],ROW()-9)))</f>
        <v/>
      </c>
      <c r="H90" s="10" t="str">
        <f>IF(ROW()-9&gt;ROWS(TimingTasks[WBS]),"",IF(AND(INDEX(TimingTasks[前置任务 WBS],ROW()-9)="",NOT(ISNUMBER(INDEX(TimingTasks[前置任务 WBS],ROW()-9)))),"",INDEX(TimingTasks[前置任务 WBS],ROW()-9)))</f>
        <v/>
      </c>
      <c r="I90" s="10" t="str">
        <f>IF(ROW()-9&gt;ROWS(TimingTasks[WBS]),"",IF(AND(INDEX(TimingTasks[叶子类型],ROW()-9)="",NOT(ISNUMBER(INDEX(TimingTasks[叶子类型],ROW()-9)))),"普通任务",INDEX(TimingTasks[叶子类型],ROW()-9)))</f>
        <v/>
      </c>
      <c r="J90" s="10" t="str">
        <f>IF(ROW()-9&gt;ROWS(TimingTasks[WBS]),"",IF(AND(INDEX(TimingTasks[操作],ROW()-9)="",NOT(ISNUMBER(INDEX(TimingTasks[操作],ROW()-9)))),"保留",INDEX(TimingTasks[操作],ROW()-9)))</f>
        <v/>
      </c>
      <c r="K90" s="1" t="str">
        <f>IF(P90=0,"",IF(OR(AND(L90=1,D90="",E90="",I90&lt;&gt;"里程碑"),COUNTIFS($S$10:$S$109,"&gt;"&amp;S90,$S$10:$S$109,"&lt;"&amp;(S90+IF(L90=1,1000000,IF(L90=2,1000,1))),$P$10:$P$109,1)&gt;0),"汇总",I90))</f>
        <v/>
      </c>
      <c r="L90" s="1" t="str">
        <f>IF(A90="","",LEN(("W"&amp;A90))-LEN(SUBSTITUTE(("W"&amp;A90),".",""))+1)</f>
        <v/>
      </c>
      <c r="M90" s="3" t="str">
        <f>IF(P90=0,"",IF(K90="汇总",IF(COUNTIFS($S$10:$S$109,"&gt;"&amp;S90,$S$10:$S$109,"&lt;"&amp;(S90+IF(L90=1,1000000,IF(L90=2,1000,1))),$AA$10:$AA$109,1)=0,"",_xlfn.MINIFS($Y$10:$Y$109,$S$10:$S$109,"&gt;"&amp;S90,$S$10:$S$109,"&lt;"&amp;(S90+IF(L90=1,1000000,IF(L90=2,1000,1))),$AA$10:$AA$109,1)),IF(AA90=1,D90,"")))</f>
        <v/>
      </c>
      <c r="N90" s="3" t="str">
        <f>IF(P90=0,"",IF(K90="汇总",IF(COUNTIFS($S$10:$S$109,"&gt;"&amp;S90,$S$10:$S$109,"&lt;"&amp;(S90+IF(L90=1,1000000,IF(L90=2,1000,1))),$AA$10:$AA$109,1)=0,"",_xlfn.MAXIFS($Z$10:$Z$109,$S$10:$S$109,"&gt;"&amp;S90,$S$10:$S$109,"&lt;"&amp;(S90+IF(L90=1,1000000,IF(L90=2,1000,1))),$AA$10:$AA$109,1)),IF(AA90=1,E90,"")))</f>
        <v/>
      </c>
      <c r="O90" s="7" t="str">
        <f>IF(K90="汇总",ROUND((IF(P90=0,"",IF(K90="汇总",IF(SUMIFS($Q$10:$Q$109,$S$10:$S$109,"&gt;"&amp;S90,$S$10:$S$109,"&lt;"&amp;(S90+IF(L90=1,1000000,IF(L90=2,1000,1))))=0,0,SUMIFS($R$10:$R$109,$S$10:$S$109,"&gt;"&amp;S90,$S$10:$S$109,"&lt;"&amp;(S90+IF(L90=1,1000000,IF(L90=2,1000,1))))/SUMIFS($Q$10:$Q$109,$S$10:$S$109,"&gt;"&amp;S90,$S$10:$S$109,"&lt;"&amp;(S90+IF(L90=1,1000000,IF(L90=2,1000,1))))),G90)))*100,0)/100,IF(P90=0,"",IF(K90="汇总",IF(SUMIFS($Q$10:$Q$109,$S$10:$S$109,"&gt;"&amp;S90,$S$10:$S$109,"&lt;"&amp;(S90+IF(L90=1,1000000,IF(L90=2,1000,1))))=0,0,SUMIFS($R$10:$R$109,$S$10:$S$109,"&gt;"&amp;S90,$S$10:$S$109,"&lt;"&amp;(S90+IF(L90=1,1000000,IF(L90=2,1000,1))))/SUMIFS($Q$10:$Q$109,$S$10:$S$109,"&gt;"&amp;S90,$S$10:$S$109,"&lt;"&amp;(S90+IF(L90=1,1000000,IF(L90=2,1000,1))))),G90)))</f>
        <v/>
      </c>
      <c r="P90" s="1">
        <f>IF(OR(A90="",B90="",J90="删除",AE90=0,COUNTIFS($AG$10:$AG$109,"W"&amp;A90)&lt;&gt;1,AND(L90&gt;1,COUNTIFS($AG$10:$AG$109,"W"&amp;V90,$B$10:$B$109,"&lt;&gt;")&lt;&gt;1),AND(L90=3,COUNTIFS($AG$10:$AG$109,"W"&amp;W90,$B$10:$B$109,"&lt;&gt;")&lt;&gt;1),COUNTIFS($AG$10:$AG$109,"W"&amp;V90,$J$10:$J$109,"删除")&gt;0,COUNTIFS($AG$10:$AG$109,"W"&amp;W90,$J$10:$J$109,"删除")&gt;0),0,1)</f>
        <v>0</v>
      </c>
      <c r="Q90" s="1">
        <f>IF(AA90=0,0,IF(I90="里程碑",1,F90))</f>
        <v>0</v>
      </c>
      <c r="R90" s="1">
        <f>IF(AA90=0,0,Q90*G90)</f>
        <v>0</v>
      </c>
      <c r="S90" s="1">
        <f>IF(P90=0,1000000000000000,AB90*1000000+AC90*1000+AD90)</f>
        <v>1000000000000000</v>
      </c>
      <c r="T90" s="1">
        <f>IF(P90=0,0,IF(Timing浏览!$D$5="全部",1,IF(Timing浏览!$D$5="仅里程碑",IF(K90="里程碑",1,0),IF(L90&lt;=VALUE(LEFT(Timing浏览!$D$5,1)),1,0))))</f>
        <v>0</v>
      </c>
      <c r="U90" s="1" t="str">
        <f>IF(T90=0,"",COUNTIFS($S$10:$S$109,"&lt;"&amp;S90,$T$10:$T$109,1)+1)</f>
        <v/>
      </c>
      <c r="V90" s="1" t="str">
        <f>IF(OR(A90="",L90=1),"",IF(L90=2,TEXT(AB90,"0"),TEXT(AB90,"0")&amp;"."&amp;TEXT(AC90,"0")))</f>
        <v/>
      </c>
      <c r="W90" s="1" t="str">
        <f>IF(OR(A90="",L90=1),"",TEXT(AB90,"0"))</f>
        <v/>
      </c>
      <c r="X90" s="1" t="str">
        <f>IF(AND(A90="",B90=""),"",IF(OR(A90="",B90=""),"请补编号和名称",IF(AE90=0,"编号需为1至3级正整数",IF(COUNTIFS($AG$10:$AG$109,"W"&amp;A90)&lt;&gt;1,"编号重复",IF(AND(L90&gt;1,COUNTIFS($AG$10:$AG$109,"W"&amp;V90,$B$10:$B$109,"&lt;&gt;")&lt;&gt;1),"缺少父任务",IF(J90="删除","待删除",IF(P90=0,"父任务已删除或无效",IF(K90="汇总",IF(COUNTIFS($S$10:$S$109,"&gt;"&amp;S90,$S$10:$S$109,"&lt;"&amp;(S90+IF(L90=1,1000000,IF(L90=2,1000,1))),$P$10:$P$109,1)=0,"等待子任务","由下级汇总"),IF(OR(D90="",E90=""),"待补日期",IF(E90&lt;D90,"结束早于开始",IF(AND(I90="里程碑",D90&lt;&gt;E90),"里程碑须同日","")))))))))))</f>
        <v/>
      </c>
      <c r="Y90" s="1">
        <f>IF(AA90=1,D90,100000000)</f>
        <v>100000000</v>
      </c>
      <c r="Z90" s="1">
        <f>IF(AA90=1,E90,0)</f>
        <v>0</v>
      </c>
      <c r="AA90" s="1">
        <f>IF(AND(P90=1,K90&lt;&gt;"汇总",ISNUMBER(F90),OR(I90&lt;&gt;"里程碑",D90=E90)),1,0)</f>
        <v>0</v>
      </c>
      <c r="AB90" s="1">
        <f>IF(A90="",0,IFERROR(VALUE(MID(("W"&amp;A90),2,FIND(".",("W"&amp;A90)&amp;".")-2)),-1))</f>
        <v>0</v>
      </c>
      <c r="AC90" s="1">
        <f>IF(OR(A90="",L90&lt;2),0,IFERROR(VALUE(MID(("W"&amp;A90),FIND(".",("W"&amp;A90))+1,FIND(".",("W"&amp;A90)&amp;".",FIND(".",("W"&amp;A90))+1)-FIND(".",("W"&amp;A90))-1)),-1))</f>
        <v>0</v>
      </c>
      <c r="AD90" s="1">
        <f>IF(OR(A90="",L90&lt;3),0,IFERROR(VALUE(RIGHT(("W"&amp;A90),LEN(("W"&amp;A90))-FIND(".",("W"&amp;A90),FIND(".",("W"&amp;A90))+1))),-1))</f>
        <v>0</v>
      </c>
      <c r="AE90" s="1">
        <f>IF(A90="",0,IF(AND(L90&lt;=3,AB90&gt;=1,AB90&lt;=999,AC90&gt;=0,AC90&lt;=999,AD90&gt;=0,AD90&lt;=999,A90=TEXT(AB90,"0")&amp;IF(L90&gt;1,"."&amp;TEXT(AC90,"0"),"")&amp;IF(L90&gt;2,"."&amp;TEXT(AD90,"0"),""),OR(L90&lt;2,AC90&gt;=1),OR(L90&lt;3,AD90&gt;=1)),1,0))</f>
        <v>0</v>
      </c>
      <c r="AF90" s="1"/>
      <c r="AG90" t="str">
        <f>"W"&amp;A90</f>
        <v>W</v>
      </c>
    </row>
    <row r="91" spans="1:33" ht="16.5">
      <c r="A91" s="12" t="str">
        <f>IF(ROW()-9&gt;ROWS(TimingTasks[WBS]),"",IF(AND(INDEX(TimingTasks[WBS],ROW()-9)="",NOT(ISNUMBER(INDEX(TimingTasks[WBS],ROW()-9)))),"",INDEX(TimingTasks[WBS],ROW()-9)))</f>
        <v/>
      </c>
      <c r="B91" s="10" t="str">
        <f>IF(ROW()-9&gt;ROWS(TimingTasks[WBS]),"",IF(AND(INDEX(TimingTasks[任务名称],ROW()-9)="",NOT(ISNUMBER(INDEX(TimingTasks[任务名称],ROW()-9)))),"",INDEX(TimingTasks[任务名称],ROW()-9)))</f>
        <v/>
      </c>
      <c r="C91" s="10" t="str">
        <f>IF(ROW()-9&gt;ROWS(TimingTasks[WBS]),"",IF(AND(INDEX(TimingTasks[负责人],ROW()-9)="",NOT(ISNUMBER(INDEX(TimingTasks[负责人],ROW()-9)))),"",INDEX(TimingTasks[负责人],ROW()-9)))</f>
        <v/>
      </c>
      <c r="D91" s="11" t="str">
        <f>IF(ROW()-9&gt;ROWS(TimingTasks[WBS]),"",IF(AND(INDEX(TimingTasks[输入开始],ROW()-9)="",NOT(ISNUMBER(INDEX(TimingTasks[输入开始],ROW()-9)))),"",INDEX(TimingTasks[输入开始],ROW()-9)))</f>
        <v/>
      </c>
      <c r="E91" s="11" t="str">
        <f>IF(ROW()-9&gt;ROWS(TimingTasks[WBS]),"",IF(AND(INDEX(TimingTasks[输入结束],ROW()-9)="",NOT(ISNUMBER(INDEX(TimingTasks[输入结束],ROW()-9)))),"",INDEX(TimingTasks[输入结束],ROW()-9)))</f>
        <v/>
      </c>
      <c r="F91" s="1" t="str">
        <f>IF(OR(P91=0,K91="汇总",D91="",E91="",E91&lt;D91),"",IF(I91="里程碑",0,NETWORKDAYS(D91,E91)))</f>
        <v/>
      </c>
      <c r="G91" s="15" t="str">
        <f>IF(ROW()-9&gt;ROWS(TimingTasks[WBS]),"",IF(AND(INDEX(TimingTasks[输入完成度],ROW()-9)="",NOT(ISNUMBER(INDEX(TimingTasks[输入完成度],ROW()-9)))),0,INDEX(TimingTasks[输入完成度],ROW()-9)))</f>
        <v/>
      </c>
      <c r="H91" s="10" t="str">
        <f>IF(ROW()-9&gt;ROWS(TimingTasks[WBS]),"",IF(AND(INDEX(TimingTasks[前置任务 WBS],ROW()-9)="",NOT(ISNUMBER(INDEX(TimingTasks[前置任务 WBS],ROW()-9)))),"",INDEX(TimingTasks[前置任务 WBS],ROW()-9)))</f>
        <v/>
      </c>
      <c r="I91" s="10" t="str">
        <f>IF(ROW()-9&gt;ROWS(TimingTasks[WBS]),"",IF(AND(INDEX(TimingTasks[叶子类型],ROW()-9)="",NOT(ISNUMBER(INDEX(TimingTasks[叶子类型],ROW()-9)))),"普通任务",INDEX(TimingTasks[叶子类型],ROW()-9)))</f>
        <v/>
      </c>
      <c r="J91" s="10" t="str">
        <f>IF(ROW()-9&gt;ROWS(TimingTasks[WBS]),"",IF(AND(INDEX(TimingTasks[操作],ROW()-9)="",NOT(ISNUMBER(INDEX(TimingTasks[操作],ROW()-9)))),"保留",INDEX(TimingTasks[操作],ROW()-9)))</f>
        <v/>
      </c>
      <c r="K91" s="1" t="str">
        <f>IF(P91=0,"",IF(OR(AND(L91=1,D91="",E91="",I91&lt;&gt;"里程碑"),COUNTIFS($S$10:$S$109,"&gt;"&amp;S91,$S$10:$S$109,"&lt;"&amp;(S91+IF(L91=1,1000000,IF(L91=2,1000,1))),$P$10:$P$109,1)&gt;0),"汇总",I91))</f>
        <v/>
      </c>
      <c r="L91" s="1" t="str">
        <f>IF(A91="","",LEN(("W"&amp;A91))-LEN(SUBSTITUTE(("W"&amp;A91),".",""))+1)</f>
        <v/>
      </c>
      <c r="M91" s="3" t="str">
        <f>IF(P91=0,"",IF(K91="汇总",IF(COUNTIFS($S$10:$S$109,"&gt;"&amp;S91,$S$10:$S$109,"&lt;"&amp;(S91+IF(L91=1,1000000,IF(L91=2,1000,1))),$AA$10:$AA$109,1)=0,"",_xlfn.MINIFS($Y$10:$Y$109,$S$10:$S$109,"&gt;"&amp;S91,$S$10:$S$109,"&lt;"&amp;(S91+IF(L91=1,1000000,IF(L91=2,1000,1))),$AA$10:$AA$109,1)),IF(AA91=1,D91,"")))</f>
        <v/>
      </c>
      <c r="N91" s="3" t="str">
        <f>IF(P91=0,"",IF(K91="汇总",IF(COUNTIFS($S$10:$S$109,"&gt;"&amp;S91,$S$10:$S$109,"&lt;"&amp;(S91+IF(L91=1,1000000,IF(L91=2,1000,1))),$AA$10:$AA$109,1)=0,"",_xlfn.MAXIFS($Z$10:$Z$109,$S$10:$S$109,"&gt;"&amp;S91,$S$10:$S$109,"&lt;"&amp;(S91+IF(L91=1,1000000,IF(L91=2,1000,1))),$AA$10:$AA$109,1)),IF(AA91=1,E91,"")))</f>
        <v/>
      </c>
      <c r="O91" s="7" t="str">
        <f>IF(K91="汇总",ROUND((IF(P91=0,"",IF(K91="汇总",IF(SUMIFS($Q$10:$Q$109,$S$10:$S$109,"&gt;"&amp;S91,$S$10:$S$109,"&lt;"&amp;(S91+IF(L91=1,1000000,IF(L91=2,1000,1))))=0,0,SUMIFS($R$10:$R$109,$S$10:$S$109,"&gt;"&amp;S91,$S$10:$S$109,"&lt;"&amp;(S91+IF(L91=1,1000000,IF(L91=2,1000,1))))/SUMIFS($Q$10:$Q$109,$S$10:$S$109,"&gt;"&amp;S91,$S$10:$S$109,"&lt;"&amp;(S91+IF(L91=1,1000000,IF(L91=2,1000,1))))),G91)))*100,0)/100,IF(P91=0,"",IF(K91="汇总",IF(SUMIFS($Q$10:$Q$109,$S$10:$S$109,"&gt;"&amp;S91,$S$10:$S$109,"&lt;"&amp;(S91+IF(L91=1,1000000,IF(L91=2,1000,1))))=0,0,SUMIFS($R$10:$R$109,$S$10:$S$109,"&gt;"&amp;S91,$S$10:$S$109,"&lt;"&amp;(S91+IF(L91=1,1000000,IF(L91=2,1000,1))))/SUMIFS($Q$10:$Q$109,$S$10:$S$109,"&gt;"&amp;S91,$S$10:$S$109,"&lt;"&amp;(S91+IF(L91=1,1000000,IF(L91=2,1000,1))))),G91)))</f>
        <v/>
      </c>
      <c r="P91" s="1">
        <f>IF(OR(A91="",B91="",J91="删除",AE91=0,COUNTIFS($AG$10:$AG$109,"W"&amp;A91)&lt;&gt;1,AND(L91&gt;1,COUNTIFS($AG$10:$AG$109,"W"&amp;V91,$B$10:$B$109,"&lt;&gt;")&lt;&gt;1),AND(L91=3,COUNTIFS($AG$10:$AG$109,"W"&amp;W91,$B$10:$B$109,"&lt;&gt;")&lt;&gt;1),COUNTIFS($AG$10:$AG$109,"W"&amp;V91,$J$10:$J$109,"删除")&gt;0,COUNTIFS($AG$10:$AG$109,"W"&amp;W91,$J$10:$J$109,"删除")&gt;0),0,1)</f>
        <v>0</v>
      </c>
      <c r="Q91" s="1">
        <f>IF(AA91=0,0,IF(I91="里程碑",1,F91))</f>
        <v>0</v>
      </c>
      <c r="R91" s="1">
        <f>IF(AA91=0,0,Q91*G91)</f>
        <v>0</v>
      </c>
      <c r="S91" s="1">
        <f>IF(P91=0,1000000000000000,AB91*1000000+AC91*1000+AD91)</f>
        <v>1000000000000000</v>
      </c>
      <c r="T91" s="1">
        <f>IF(P91=0,0,IF(Timing浏览!$D$5="全部",1,IF(Timing浏览!$D$5="仅里程碑",IF(K91="里程碑",1,0),IF(L91&lt;=VALUE(LEFT(Timing浏览!$D$5,1)),1,0))))</f>
        <v>0</v>
      </c>
      <c r="U91" s="1" t="str">
        <f>IF(T91=0,"",COUNTIFS($S$10:$S$109,"&lt;"&amp;S91,$T$10:$T$109,1)+1)</f>
        <v/>
      </c>
      <c r="V91" s="1" t="str">
        <f>IF(OR(A91="",L91=1),"",IF(L91=2,TEXT(AB91,"0"),TEXT(AB91,"0")&amp;"."&amp;TEXT(AC91,"0")))</f>
        <v/>
      </c>
      <c r="W91" s="1" t="str">
        <f>IF(OR(A91="",L91=1),"",TEXT(AB91,"0"))</f>
        <v/>
      </c>
      <c r="X91" s="1" t="str">
        <f>IF(AND(A91="",B91=""),"",IF(OR(A91="",B91=""),"请补编号和名称",IF(AE91=0,"编号需为1至3级正整数",IF(COUNTIFS($AG$10:$AG$109,"W"&amp;A91)&lt;&gt;1,"编号重复",IF(AND(L91&gt;1,COUNTIFS($AG$10:$AG$109,"W"&amp;V91,$B$10:$B$109,"&lt;&gt;")&lt;&gt;1),"缺少父任务",IF(J91="删除","待删除",IF(P91=0,"父任务已删除或无效",IF(K91="汇总",IF(COUNTIFS($S$10:$S$109,"&gt;"&amp;S91,$S$10:$S$109,"&lt;"&amp;(S91+IF(L91=1,1000000,IF(L91=2,1000,1))),$P$10:$P$109,1)=0,"等待子任务","由下级汇总"),IF(OR(D91="",E91=""),"待补日期",IF(E91&lt;D91,"结束早于开始",IF(AND(I91="里程碑",D91&lt;&gt;E91),"里程碑须同日","")))))))))))</f>
        <v/>
      </c>
      <c r="Y91" s="1">
        <f>IF(AA91=1,D91,100000000)</f>
        <v>100000000</v>
      </c>
      <c r="Z91" s="1">
        <f>IF(AA91=1,E91,0)</f>
        <v>0</v>
      </c>
      <c r="AA91" s="1">
        <f>IF(AND(P91=1,K91&lt;&gt;"汇总",ISNUMBER(F91),OR(I91&lt;&gt;"里程碑",D91=E91)),1,0)</f>
        <v>0</v>
      </c>
      <c r="AB91" s="1">
        <f>IF(A91="",0,IFERROR(VALUE(MID(("W"&amp;A91),2,FIND(".",("W"&amp;A91)&amp;".")-2)),-1))</f>
        <v>0</v>
      </c>
      <c r="AC91" s="1">
        <f>IF(OR(A91="",L91&lt;2),0,IFERROR(VALUE(MID(("W"&amp;A91),FIND(".",("W"&amp;A91))+1,FIND(".",("W"&amp;A91)&amp;".",FIND(".",("W"&amp;A91))+1)-FIND(".",("W"&amp;A91))-1)),-1))</f>
        <v>0</v>
      </c>
      <c r="AD91" s="1">
        <f>IF(OR(A91="",L91&lt;3),0,IFERROR(VALUE(RIGHT(("W"&amp;A91),LEN(("W"&amp;A91))-FIND(".",("W"&amp;A91),FIND(".",("W"&amp;A91))+1))),-1))</f>
        <v>0</v>
      </c>
      <c r="AE91" s="1">
        <f>IF(A91="",0,IF(AND(L91&lt;=3,AB91&gt;=1,AB91&lt;=999,AC91&gt;=0,AC91&lt;=999,AD91&gt;=0,AD91&lt;=999,A91=TEXT(AB91,"0")&amp;IF(L91&gt;1,"."&amp;TEXT(AC91,"0"),"")&amp;IF(L91&gt;2,"."&amp;TEXT(AD91,"0"),""),OR(L91&lt;2,AC91&gt;=1),OR(L91&lt;3,AD91&gt;=1)),1,0))</f>
        <v>0</v>
      </c>
      <c r="AF91" s="1"/>
      <c r="AG91" t="str">
        <f>"W"&amp;A91</f>
        <v>W</v>
      </c>
    </row>
    <row r="92" spans="1:33" ht="16.5">
      <c r="A92" s="12" t="str">
        <f>IF(ROW()-9&gt;ROWS(TimingTasks[WBS]),"",IF(AND(INDEX(TimingTasks[WBS],ROW()-9)="",NOT(ISNUMBER(INDEX(TimingTasks[WBS],ROW()-9)))),"",INDEX(TimingTasks[WBS],ROW()-9)))</f>
        <v/>
      </c>
      <c r="B92" s="10" t="str">
        <f>IF(ROW()-9&gt;ROWS(TimingTasks[WBS]),"",IF(AND(INDEX(TimingTasks[任务名称],ROW()-9)="",NOT(ISNUMBER(INDEX(TimingTasks[任务名称],ROW()-9)))),"",INDEX(TimingTasks[任务名称],ROW()-9)))</f>
        <v/>
      </c>
      <c r="C92" s="10" t="str">
        <f>IF(ROW()-9&gt;ROWS(TimingTasks[WBS]),"",IF(AND(INDEX(TimingTasks[负责人],ROW()-9)="",NOT(ISNUMBER(INDEX(TimingTasks[负责人],ROW()-9)))),"",INDEX(TimingTasks[负责人],ROW()-9)))</f>
        <v/>
      </c>
      <c r="D92" s="11" t="str">
        <f>IF(ROW()-9&gt;ROWS(TimingTasks[WBS]),"",IF(AND(INDEX(TimingTasks[输入开始],ROW()-9)="",NOT(ISNUMBER(INDEX(TimingTasks[输入开始],ROW()-9)))),"",INDEX(TimingTasks[输入开始],ROW()-9)))</f>
        <v/>
      </c>
      <c r="E92" s="11" t="str">
        <f>IF(ROW()-9&gt;ROWS(TimingTasks[WBS]),"",IF(AND(INDEX(TimingTasks[输入结束],ROW()-9)="",NOT(ISNUMBER(INDEX(TimingTasks[输入结束],ROW()-9)))),"",INDEX(TimingTasks[输入结束],ROW()-9)))</f>
        <v/>
      </c>
      <c r="F92" s="1" t="str">
        <f>IF(OR(P92=0,K92="汇总",D92="",E92="",E92&lt;D92),"",IF(I92="里程碑",0,NETWORKDAYS(D92,E92)))</f>
        <v/>
      </c>
      <c r="G92" s="15" t="str">
        <f>IF(ROW()-9&gt;ROWS(TimingTasks[WBS]),"",IF(AND(INDEX(TimingTasks[输入完成度],ROW()-9)="",NOT(ISNUMBER(INDEX(TimingTasks[输入完成度],ROW()-9)))),0,INDEX(TimingTasks[输入完成度],ROW()-9)))</f>
        <v/>
      </c>
      <c r="H92" s="10" t="str">
        <f>IF(ROW()-9&gt;ROWS(TimingTasks[WBS]),"",IF(AND(INDEX(TimingTasks[前置任务 WBS],ROW()-9)="",NOT(ISNUMBER(INDEX(TimingTasks[前置任务 WBS],ROW()-9)))),"",INDEX(TimingTasks[前置任务 WBS],ROW()-9)))</f>
        <v/>
      </c>
      <c r="I92" s="10" t="str">
        <f>IF(ROW()-9&gt;ROWS(TimingTasks[WBS]),"",IF(AND(INDEX(TimingTasks[叶子类型],ROW()-9)="",NOT(ISNUMBER(INDEX(TimingTasks[叶子类型],ROW()-9)))),"普通任务",INDEX(TimingTasks[叶子类型],ROW()-9)))</f>
        <v/>
      </c>
      <c r="J92" s="10" t="str">
        <f>IF(ROW()-9&gt;ROWS(TimingTasks[WBS]),"",IF(AND(INDEX(TimingTasks[操作],ROW()-9)="",NOT(ISNUMBER(INDEX(TimingTasks[操作],ROW()-9)))),"保留",INDEX(TimingTasks[操作],ROW()-9)))</f>
        <v/>
      </c>
      <c r="K92" s="1" t="str">
        <f>IF(P92=0,"",IF(OR(AND(L92=1,D92="",E92="",I92&lt;&gt;"里程碑"),COUNTIFS($S$10:$S$109,"&gt;"&amp;S92,$S$10:$S$109,"&lt;"&amp;(S92+IF(L92=1,1000000,IF(L92=2,1000,1))),$P$10:$P$109,1)&gt;0),"汇总",I92))</f>
        <v/>
      </c>
      <c r="L92" s="1" t="str">
        <f>IF(A92="","",LEN(("W"&amp;A92))-LEN(SUBSTITUTE(("W"&amp;A92),".",""))+1)</f>
        <v/>
      </c>
      <c r="M92" s="3" t="str">
        <f>IF(P92=0,"",IF(K92="汇总",IF(COUNTIFS($S$10:$S$109,"&gt;"&amp;S92,$S$10:$S$109,"&lt;"&amp;(S92+IF(L92=1,1000000,IF(L92=2,1000,1))),$AA$10:$AA$109,1)=0,"",_xlfn.MINIFS($Y$10:$Y$109,$S$10:$S$109,"&gt;"&amp;S92,$S$10:$S$109,"&lt;"&amp;(S92+IF(L92=1,1000000,IF(L92=2,1000,1))),$AA$10:$AA$109,1)),IF(AA92=1,D92,"")))</f>
        <v/>
      </c>
      <c r="N92" s="3" t="str">
        <f>IF(P92=0,"",IF(K92="汇总",IF(COUNTIFS($S$10:$S$109,"&gt;"&amp;S92,$S$10:$S$109,"&lt;"&amp;(S92+IF(L92=1,1000000,IF(L92=2,1000,1))),$AA$10:$AA$109,1)=0,"",_xlfn.MAXIFS($Z$10:$Z$109,$S$10:$S$109,"&gt;"&amp;S92,$S$10:$S$109,"&lt;"&amp;(S92+IF(L92=1,1000000,IF(L92=2,1000,1))),$AA$10:$AA$109,1)),IF(AA92=1,E92,"")))</f>
        <v/>
      </c>
      <c r="O92" s="7" t="str">
        <f>IF(K92="汇总",ROUND((IF(P92=0,"",IF(K92="汇总",IF(SUMIFS($Q$10:$Q$109,$S$10:$S$109,"&gt;"&amp;S92,$S$10:$S$109,"&lt;"&amp;(S92+IF(L92=1,1000000,IF(L92=2,1000,1))))=0,0,SUMIFS($R$10:$R$109,$S$10:$S$109,"&gt;"&amp;S92,$S$10:$S$109,"&lt;"&amp;(S92+IF(L92=1,1000000,IF(L92=2,1000,1))))/SUMIFS($Q$10:$Q$109,$S$10:$S$109,"&gt;"&amp;S92,$S$10:$S$109,"&lt;"&amp;(S92+IF(L92=1,1000000,IF(L92=2,1000,1))))),G92)))*100,0)/100,IF(P92=0,"",IF(K92="汇总",IF(SUMIFS($Q$10:$Q$109,$S$10:$S$109,"&gt;"&amp;S92,$S$10:$S$109,"&lt;"&amp;(S92+IF(L92=1,1000000,IF(L92=2,1000,1))))=0,0,SUMIFS($R$10:$R$109,$S$10:$S$109,"&gt;"&amp;S92,$S$10:$S$109,"&lt;"&amp;(S92+IF(L92=1,1000000,IF(L92=2,1000,1))))/SUMIFS($Q$10:$Q$109,$S$10:$S$109,"&gt;"&amp;S92,$S$10:$S$109,"&lt;"&amp;(S92+IF(L92=1,1000000,IF(L92=2,1000,1))))),G92)))</f>
        <v/>
      </c>
      <c r="P92" s="1">
        <f>IF(OR(A92="",B92="",J92="删除",AE92=0,COUNTIFS($AG$10:$AG$109,"W"&amp;A92)&lt;&gt;1,AND(L92&gt;1,COUNTIFS($AG$10:$AG$109,"W"&amp;V92,$B$10:$B$109,"&lt;&gt;")&lt;&gt;1),AND(L92=3,COUNTIFS($AG$10:$AG$109,"W"&amp;W92,$B$10:$B$109,"&lt;&gt;")&lt;&gt;1),COUNTIFS($AG$10:$AG$109,"W"&amp;V92,$J$10:$J$109,"删除")&gt;0,COUNTIFS($AG$10:$AG$109,"W"&amp;W92,$J$10:$J$109,"删除")&gt;0),0,1)</f>
        <v>0</v>
      </c>
      <c r="Q92" s="1">
        <f>IF(AA92=0,0,IF(I92="里程碑",1,F92))</f>
        <v>0</v>
      </c>
      <c r="R92" s="1">
        <f>IF(AA92=0,0,Q92*G92)</f>
        <v>0</v>
      </c>
      <c r="S92" s="1">
        <f>IF(P92=0,1000000000000000,AB92*1000000+AC92*1000+AD92)</f>
        <v>1000000000000000</v>
      </c>
      <c r="T92" s="1">
        <f>IF(P92=0,0,IF(Timing浏览!$D$5="全部",1,IF(Timing浏览!$D$5="仅里程碑",IF(K92="里程碑",1,0),IF(L92&lt;=VALUE(LEFT(Timing浏览!$D$5,1)),1,0))))</f>
        <v>0</v>
      </c>
      <c r="U92" s="1" t="str">
        <f>IF(T92=0,"",COUNTIFS($S$10:$S$109,"&lt;"&amp;S92,$T$10:$T$109,1)+1)</f>
        <v/>
      </c>
      <c r="V92" s="1" t="str">
        <f>IF(OR(A92="",L92=1),"",IF(L92=2,TEXT(AB92,"0"),TEXT(AB92,"0")&amp;"."&amp;TEXT(AC92,"0")))</f>
        <v/>
      </c>
      <c r="W92" s="1" t="str">
        <f>IF(OR(A92="",L92=1),"",TEXT(AB92,"0"))</f>
        <v/>
      </c>
      <c r="X92" s="1" t="str">
        <f>IF(AND(A92="",B92=""),"",IF(OR(A92="",B92=""),"请补编号和名称",IF(AE92=0,"编号需为1至3级正整数",IF(COUNTIFS($AG$10:$AG$109,"W"&amp;A92)&lt;&gt;1,"编号重复",IF(AND(L92&gt;1,COUNTIFS($AG$10:$AG$109,"W"&amp;V92,$B$10:$B$109,"&lt;&gt;")&lt;&gt;1),"缺少父任务",IF(J92="删除","待删除",IF(P92=0,"父任务已删除或无效",IF(K92="汇总",IF(COUNTIFS($S$10:$S$109,"&gt;"&amp;S92,$S$10:$S$109,"&lt;"&amp;(S92+IF(L92=1,1000000,IF(L92=2,1000,1))),$P$10:$P$109,1)=0,"等待子任务","由下级汇总"),IF(OR(D92="",E92=""),"待补日期",IF(E92&lt;D92,"结束早于开始",IF(AND(I92="里程碑",D92&lt;&gt;E92),"里程碑须同日","")))))))))))</f>
        <v/>
      </c>
      <c r="Y92" s="1">
        <f>IF(AA92=1,D92,100000000)</f>
        <v>100000000</v>
      </c>
      <c r="Z92" s="1">
        <f>IF(AA92=1,E92,0)</f>
        <v>0</v>
      </c>
      <c r="AA92" s="1">
        <f>IF(AND(P92=1,K92&lt;&gt;"汇总",ISNUMBER(F92),OR(I92&lt;&gt;"里程碑",D92=E92)),1,0)</f>
        <v>0</v>
      </c>
      <c r="AB92" s="1">
        <f>IF(A92="",0,IFERROR(VALUE(MID(("W"&amp;A92),2,FIND(".",("W"&amp;A92)&amp;".")-2)),-1))</f>
        <v>0</v>
      </c>
      <c r="AC92" s="1">
        <f>IF(OR(A92="",L92&lt;2),0,IFERROR(VALUE(MID(("W"&amp;A92),FIND(".",("W"&amp;A92))+1,FIND(".",("W"&amp;A92)&amp;".",FIND(".",("W"&amp;A92))+1)-FIND(".",("W"&amp;A92))-1)),-1))</f>
        <v>0</v>
      </c>
      <c r="AD92" s="1">
        <f>IF(OR(A92="",L92&lt;3),0,IFERROR(VALUE(RIGHT(("W"&amp;A92),LEN(("W"&amp;A92))-FIND(".",("W"&amp;A92),FIND(".",("W"&amp;A92))+1))),-1))</f>
        <v>0</v>
      </c>
      <c r="AE92" s="1">
        <f>IF(A92="",0,IF(AND(L92&lt;=3,AB92&gt;=1,AB92&lt;=999,AC92&gt;=0,AC92&lt;=999,AD92&gt;=0,AD92&lt;=999,A92=TEXT(AB92,"0")&amp;IF(L92&gt;1,"."&amp;TEXT(AC92,"0"),"")&amp;IF(L92&gt;2,"."&amp;TEXT(AD92,"0"),""),OR(L92&lt;2,AC92&gt;=1),OR(L92&lt;3,AD92&gt;=1)),1,0))</f>
        <v>0</v>
      </c>
      <c r="AF92" s="1"/>
      <c r="AG92" t="str">
        <f>"W"&amp;A92</f>
        <v>W</v>
      </c>
    </row>
    <row r="93" spans="1:33" ht="16.5">
      <c r="A93" s="12" t="str">
        <f>IF(ROW()-9&gt;ROWS(TimingTasks[WBS]),"",IF(AND(INDEX(TimingTasks[WBS],ROW()-9)="",NOT(ISNUMBER(INDEX(TimingTasks[WBS],ROW()-9)))),"",INDEX(TimingTasks[WBS],ROW()-9)))</f>
        <v/>
      </c>
      <c r="B93" s="10" t="str">
        <f>IF(ROW()-9&gt;ROWS(TimingTasks[WBS]),"",IF(AND(INDEX(TimingTasks[任务名称],ROW()-9)="",NOT(ISNUMBER(INDEX(TimingTasks[任务名称],ROW()-9)))),"",INDEX(TimingTasks[任务名称],ROW()-9)))</f>
        <v/>
      </c>
      <c r="C93" s="10" t="str">
        <f>IF(ROW()-9&gt;ROWS(TimingTasks[WBS]),"",IF(AND(INDEX(TimingTasks[负责人],ROW()-9)="",NOT(ISNUMBER(INDEX(TimingTasks[负责人],ROW()-9)))),"",INDEX(TimingTasks[负责人],ROW()-9)))</f>
        <v/>
      </c>
      <c r="D93" s="11" t="str">
        <f>IF(ROW()-9&gt;ROWS(TimingTasks[WBS]),"",IF(AND(INDEX(TimingTasks[输入开始],ROW()-9)="",NOT(ISNUMBER(INDEX(TimingTasks[输入开始],ROW()-9)))),"",INDEX(TimingTasks[输入开始],ROW()-9)))</f>
        <v/>
      </c>
      <c r="E93" s="11" t="str">
        <f>IF(ROW()-9&gt;ROWS(TimingTasks[WBS]),"",IF(AND(INDEX(TimingTasks[输入结束],ROW()-9)="",NOT(ISNUMBER(INDEX(TimingTasks[输入结束],ROW()-9)))),"",INDEX(TimingTasks[输入结束],ROW()-9)))</f>
        <v/>
      </c>
      <c r="F93" s="1" t="str">
        <f>IF(OR(P93=0,K93="汇总",D93="",E93="",E93&lt;D93),"",IF(I93="里程碑",0,NETWORKDAYS(D93,E93)))</f>
        <v/>
      </c>
      <c r="G93" s="15" t="str">
        <f>IF(ROW()-9&gt;ROWS(TimingTasks[WBS]),"",IF(AND(INDEX(TimingTasks[输入完成度],ROW()-9)="",NOT(ISNUMBER(INDEX(TimingTasks[输入完成度],ROW()-9)))),0,INDEX(TimingTasks[输入完成度],ROW()-9)))</f>
        <v/>
      </c>
      <c r="H93" s="10" t="str">
        <f>IF(ROW()-9&gt;ROWS(TimingTasks[WBS]),"",IF(AND(INDEX(TimingTasks[前置任务 WBS],ROW()-9)="",NOT(ISNUMBER(INDEX(TimingTasks[前置任务 WBS],ROW()-9)))),"",INDEX(TimingTasks[前置任务 WBS],ROW()-9)))</f>
        <v/>
      </c>
      <c r="I93" s="10" t="str">
        <f>IF(ROW()-9&gt;ROWS(TimingTasks[WBS]),"",IF(AND(INDEX(TimingTasks[叶子类型],ROW()-9)="",NOT(ISNUMBER(INDEX(TimingTasks[叶子类型],ROW()-9)))),"普通任务",INDEX(TimingTasks[叶子类型],ROW()-9)))</f>
        <v/>
      </c>
      <c r="J93" s="10" t="str">
        <f>IF(ROW()-9&gt;ROWS(TimingTasks[WBS]),"",IF(AND(INDEX(TimingTasks[操作],ROW()-9)="",NOT(ISNUMBER(INDEX(TimingTasks[操作],ROW()-9)))),"保留",INDEX(TimingTasks[操作],ROW()-9)))</f>
        <v/>
      </c>
      <c r="K93" s="1" t="str">
        <f>IF(P93=0,"",IF(OR(AND(L93=1,D93="",E93="",I93&lt;&gt;"里程碑"),COUNTIFS($S$10:$S$109,"&gt;"&amp;S93,$S$10:$S$109,"&lt;"&amp;(S93+IF(L93=1,1000000,IF(L93=2,1000,1))),$P$10:$P$109,1)&gt;0),"汇总",I93))</f>
        <v/>
      </c>
      <c r="L93" s="1" t="str">
        <f>IF(A93="","",LEN(("W"&amp;A93))-LEN(SUBSTITUTE(("W"&amp;A93),".",""))+1)</f>
        <v/>
      </c>
      <c r="M93" s="3" t="str">
        <f>IF(P93=0,"",IF(K93="汇总",IF(COUNTIFS($S$10:$S$109,"&gt;"&amp;S93,$S$10:$S$109,"&lt;"&amp;(S93+IF(L93=1,1000000,IF(L93=2,1000,1))),$AA$10:$AA$109,1)=0,"",_xlfn.MINIFS($Y$10:$Y$109,$S$10:$S$109,"&gt;"&amp;S93,$S$10:$S$109,"&lt;"&amp;(S93+IF(L93=1,1000000,IF(L93=2,1000,1))),$AA$10:$AA$109,1)),IF(AA93=1,D93,"")))</f>
        <v/>
      </c>
      <c r="N93" s="3" t="str">
        <f>IF(P93=0,"",IF(K93="汇总",IF(COUNTIFS($S$10:$S$109,"&gt;"&amp;S93,$S$10:$S$109,"&lt;"&amp;(S93+IF(L93=1,1000000,IF(L93=2,1000,1))),$AA$10:$AA$109,1)=0,"",_xlfn.MAXIFS($Z$10:$Z$109,$S$10:$S$109,"&gt;"&amp;S93,$S$10:$S$109,"&lt;"&amp;(S93+IF(L93=1,1000000,IF(L93=2,1000,1))),$AA$10:$AA$109,1)),IF(AA93=1,E93,"")))</f>
        <v/>
      </c>
      <c r="O93" s="7" t="str">
        <f>IF(K93="汇总",ROUND((IF(P93=0,"",IF(K93="汇总",IF(SUMIFS($Q$10:$Q$109,$S$10:$S$109,"&gt;"&amp;S93,$S$10:$S$109,"&lt;"&amp;(S93+IF(L93=1,1000000,IF(L93=2,1000,1))))=0,0,SUMIFS($R$10:$R$109,$S$10:$S$109,"&gt;"&amp;S93,$S$10:$S$109,"&lt;"&amp;(S93+IF(L93=1,1000000,IF(L93=2,1000,1))))/SUMIFS($Q$10:$Q$109,$S$10:$S$109,"&gt;"&amp;S93,$S$10:$S$109,"&lt;"&amp;(S93+IF(L93=1,1000000,IF(L93=2,1000,1))))),G93)))*100,0)/100,IF(P93=0,"",IF(K93="汇总",IF(SUMIFS($Q$10:$Q$109,$S$10:$S$109,"&gt;"&amp;S93,$S$10:$S$109,"&lt;"&amp;(S93+IF(L93=1,1000000,IF(L93=2,1000,1))))=0,0,SUMIFS($R$10:$R$109,$S$10:$S$109,"&gt;"&amp;S93,$S$10:$S$109,"&lt;"&amp;(S93+IF(L93=1,1000000,IF(L93=2,1000,1))))/SUMIFS($Q$10:$Q$109,$S$10:$S$109,"&gt;"&amp;S93,$S$10:$S$109,"&lt;"&amp;(S93+IF(L93=1,1000000,IF(L93=2,1000,1))))),G93)))</f>
        <v/>
      </c>
      <c r="P93" s="1">
        <f>IF(OR(A93="",B93="",J93="删除",AE93=0,COUNTIFS($AG$10:$AG$109,"W"&amp;A93)&lt;&gt;1,AND(L93&gt;1,COUNTIFS($AG$10:$AG$109,"W"&amp;V93,$B$10:$B$109,"&lt;&gt;")&lt;&gt;1),AND(L93=3,COUNTIFS($AG$10:$AG$109,"W"&amp;W93,$B$10:$B$109,"&lt;&gt;")&lt;&gt;1),COUNTIFS($AG$10:$AG$109,"W"&amp;V93,$J$10:$J$109,"删除")&gt;0,COUNTIFS($AG$10:$AG$109,"W"&amp;W93,$J$10:$J$109,"删除")&gt;0),0,1)</f>
        <v>0</v>
      </c>
      <c r="Q93" s="1">
        <f>IF(AA93=0,0,IF(I93="里程碑",1,F93))</f>
        <v>0</v>
      </c>
      <c r="R93" s="1">
        <f>IF(AA93=0,0,Q93*G93)</f>
        <v>0</v>
      </c>
      <c r="S93" s="1">
        <f>IF(P93=0,1000000000000000,AB93*1000000+AC93*1000+AD93)</f>
        <v>1000000000000000</v>
      </c>
      <c r="T93" s="1">
        <f>IF(P93=0,0,IF(Timing浏览!$D$5="全部",1,IF(Timing浏览!$D$5="仅里程碑",IF(K93="里程碑",1,0),IF(L93&lt;=VALUE(LEFT(Timing浏览!$D$5,1)),1,0))))</f>
        <v>0</v>
      </c>
      <c r="U93" s="1" t="str">
        <f>IF(T93=0,"",COUNTIFS($S$10:$S$109,"&lt;"&amp;S93,$T$10:$T$109,1)+1)</f>
        <v/>
      </c>
      <c r="V93" s="1" t="str">
        <f>IF(OR(A93="",L93=1),"",IF(L93=2,TEXT(AB93,"0"),TEXT(AB93,"0")&amp;"."&amp;TEXT(AC93,"0")))</f>
        <v/>
      </c>
      <c r="W93" s="1" t="str">
        <f>IF(OR(A93="",L93=1),"",TEXT(AB93,"0"))</f>
        <v/>
      </c>
      <c r="X93" s="1" t="str">
        <f>IF(AND(A93="",B93=""),"",IF(OR(A93="",B93=""),"请补编号和名称",IF(AE93=0,"编号需为1至3级正整数",IF(COUNTIFS($AG$10:$AG$109,"W"&amp;A93)&lt;&gt;1,"编号重复",IF(AND(L93&gt;1,COUNTIFS($AG$10:$AG$109,"W"&amp;V93,$B$10:$B$109,"&lt;&gt;")&lt;&gt;1),"缺少父任务",IF(J93="删除","待删除",IF(P93=0,"父任务已删除或无效",IF(K93="汇总",IF(COUNTIFS($S$10:$S$109,"&gt;"&amp;S93,$S$10:$S$109,"&lt;"&amp;(S93+IF(L93=1,1000000,IF(L93=2,1000,1))),$P$10:$P$109,1)=0,"等待子任务","由下级汇总"),IF(OR(D93="",E93=""),"待补日期",IF(E93&lt;D93,"结束早于开始",IF(AND(I93="里程碑",D93&lt;&gt;E93),"里程碑须同日","")))))))))))</f>
        <v/>
      </c>
      <c r="Y93" s="1">
        <f>IF(AA93=1,D93,100000000)</f>
        <v>100000000</v>
      </c>
      <c r="Z93" s="1">
        <f>IF(AA93=1,E93,0)</f>
        <v>0</v>
      </c>
      <c r="AA93" s="1">
        <f>IF(AND(P93=1,K93&lt;&gt;"汇总",ISNUMBER(F93),OR(I93&lt;&gt;"里程碑",D93=E93)),1,0)</f>
        <v>0</v>
      </c>
      <c r="AB93" s="1">
        <f>IF(A93="",0,IFERROR(VALUE(MID(("W"&amp;A93),2,FIND(".",("W"&amp;A93)&amp;".")-2)),-1))</f>
        <v>0</v>
      </c>
      <c r="AC93" s="1">
        <f>IF(OR(A93="",L93&lt;2),0,IFERROR(VALUE(MID(("W"&amp;A93),FIND(".",("W"&amp;A93))+1,FIND(".",("W"&amp;A93)&amp;".",FIND(".",("W"&amp;A93))+1)-FIND(".",("W"&amp;A93))-1)),-1))</f>
        <v>0</v>
      </c>
      <c r="AD93" s="1">
        <f>IF(OR(A93="",L93&lt;3),0,IFERROR(VALUE(RIGHT(("W"&amp;A93),LEN(("W"&amp;A93))-FIND(".",("W"&amp;A93),FIND(".",("W"&amp;A93))+1))),-1))</f>
        <v>0</v>
      </c>
      <c r="AE93" s="1">
        <f>IF(A93="",0,IF(AND(L93&lt;=3,AB93&gt;=1,AB93&lt;=999,AC93&gt;=0,AC93&lt;=999,AD93&gt;=0,AD93&lt;=999,A93=TEXT(AB93,"0")&amp;IF(L93&gt;1,"."&amp;TEXT(AC93,"0"),"")&amp;IF(L93&gt;2,"."&amp;TEXT(AD93,"0"),""),OR(L93&lt;2,AC93&gt;=1),OR(L93&lt;3,AD93&gt;=1)),1,0))</f>
        <v>0</v>
      </c>
      <c r="AF93" s="1"/>
      <c r="AG93" t="str">
        <f>"W"&amp;A93</f>
        <v>W</v>
      </c>
    </row>
    <row r="94" spans="1:33" ht="16.5">
      <c r="A94" s="12" t="str">
        <f>IF(ROW()-9&gt;ROWS(TimingTasks[WBS]),"",IF(AND(INDEX(TimingTasks[WBS],ROW()-9)="",NOT(ISNUMBER(INDEX(TimingTasks[WBS],ROW()-9)))),"",INDEX(TimingTasks[WBS],ROW()-9)))</f>
        <v/>
      </c>
      <c r="B94" s="10" t="str">
        <f>IF(ROW()-9&gt;ROWS(TimingTasks[WBS]),"",IF(AND(INDEX(TimingTasks[任务名称],ROW()-9)="",NOT(ISNUMBER(INDEX(TimingTasks[任务名称],ROW()-9)))),"",INDEX(TimingTasks[任务名称],ROW()-9)))</f>
        <v/>
      </c>
      <c r="C94" s="10" t="str">
        <f>IF(ROW()-9&gt;ROWS(TimingTasks[WBS]),"",IF(AND(INDEX(TimingTasks[负责人],ROW()-9)="",NOT(ISNUMBER(INDEX(TimingTasks[负责人],ROW()-9)))),"",INDEX(TimingTasks[负责人],ROW()-9)))</f>
        <v/>
      </c>
      <c r="D94" s="11" t="str">
        <f>IF(ROW()-9&gt;ROWS(TimingTasks[WBS]),"",IF(AND(INDEX(TimingTasks[输入开始],ROW()-9)="",NOT(ISNUMBER(INDEX(TimingTasks[输入开始],ROW()-9)))),"",INDEX(TimingTasks[输入开始],ROW()-9)))</f>
        <v/>
      </c>
      <c r="E94" s="11" t="str">
        <f>IF(ROW()-9&gt;ROWS(TimingTasks[WBS]),"",IF(AND(INDEX(TimingTasks[输入结束],ROW()-9)="",NOT(ISNUMBER(INDEX(TimingTasks[输入结束],ROW()-9)))),"",INDEX(TimingTasks[输入结束],ROW()-9)))</f>
        <v/>
      </c>
      <c r="F94" s="1" t="str">
        <f>IF(OR(P94=0,K94="汇总",D94="",E94="",E94&lt;D94),"",IF(I94="里程碑",0,NETWORKDAYS(D94,E94)))</f>
        <v/>
      </c>
      <c r="G94" s="15" t="str">
        <f>IF(ROW()-9&gt;ROWS(TimingTasks[WBS]),"",IF(AND(INDEX(TimingTasks[输入完成度],ROW()-9)="",NOT(ISNUMBER(INDEX(TimingTasks[输入完成度],ROW()-9)))),0,INDEX(TimingTasks[输入完成度],ROW()-9)))</f>
        <v/>
      </c>
      <c r="H94" s="10" t="str">
        <f>IF(ROW()-9&gt;ROWS(TimingTasks[WBS]),"",IF(AND(INDEX(TimingTasks[前置任务 WBS],ROW()-9)="",NOT(ISNUMBER(INDEX(TimingTasks[前置任务 WBS],ROW()-9)))),"",INDEX(TimingTasks[前置任务 WBS],ROW()-9)))</f>
        <v/>
      </c>
      <c r="I94" s="10" t="str">
        <f>IF(ROW()-9&gt;ROWS(TimingTasks[WBS]),"",IF(AND(INDEX(TimingTasks[叶子类型],ROW()-9)="",NOT(ISNUMBER(INDEX(TimingTasks[叶子类型],ROW()-9)))),"普通任务",INDEX(TimingTasks[叶子类型],ROW()-9)))</f>
        <v/>
      </c>
      <c r="J94" s="10" t="str">
        <f>IF(ROW()-9&gt;ROWS(TimingTasks[WBS]),"",IF(AND(INDEX(TimingTasks[操作],ROW()-9)="",NOT(ISNUMBER(INDEX(TimingTasks[操作],ROW()-9)))),"保留",INDEX(TimingTasks[操作],ROW()-9)))</f>
        <v/>
      </c>
      <c r="K94" s="1" t="str">
        <f>IF(P94=0,"",IF(OR(AND(L94=1,D94="",E94="",I94&lt;&gt;"里程碑"),COUNTIFS($S$10:$S$109,"&gt;"&amp;S94,$S$10:$S$109,"&lt;"&amp;(S94+IF(L94=1,1000000,IF(L94=2,1000,1))),$P$10:$P$109,1)&gt;0),"汇总",I94))</f>
        <v/>
      </c>
      <c r="L94" s="1" t="str">
        <f>IF(A94="","",LEN(("W"&amp;A94))-LEN(SUBSTITUTE(("W"&amp;A94),".",""))+1)</f>
        <v/>
      </c>
      <c r="M94" s="3" t="str">
        <f>IF(P94=0,"",IF(K94="汇总",IF(COUNTIFS($S$10:$S$109,"&gt;"&amp;S94,$S$10:$S$109,"&lt;"&amp;(S94+IF(L94=1,1000000,IF(L94=2,1000,1))),$AA$10:$AA$109,1)=0,"",_xlfn.MINIFS($Y$10:$Y$109,$S$10:$S$109,"&gt;"&amp;S94,$S$10:$S$109,"&lt;"&amp;(S94+IF(L94=1,1000000,IF(L94=2,1000,1))),$AA$10:$AA$109,1)),IF(AA94=1,D94,"")))</f>
        <v/>
      </c>
      <c r="N94" s="3" t="str">
        <f>IF(P94=0,"",IF(K94="汇总",IF(COUNTIFS($S$10:$S$109,"&gt;"&amp;S94,$S$10:$S$109,"&lt;"&amp;(S94+IF(L94=1,1000000,IF(L94=2,1000,1))),$AA$10:$AA$109,1)=0,"",_xlfn.MAXIFS($Z$10:$Z$109,$S$10:$S$109,"&gt;"&amp;S94,$S$10:$S$109,"&lt;"&amp;(S94+IF(L94=1,1000000,IF(L94=2,1000,1))),$AA$10:$AA$109,1)),IF(AA94=1,E94,"")))</f>
        <v/>
      </c>
      <c r="O94" s="7" t="str">
        <f>IF(K94="汇总",ROUND((IF(P94=0,"",IF(K94="汇总",IF(SUMIFS($Q$10:$Q$109,$S$10:$S$109,"&gt;"&amp;S94,$S$10:$S$109,"&lt;"&amp;(S94+IF(L94=1,1000000,IF(L94=2,1000,1))))=0,0,SUMIFS($R$10:$R$109,$S$10:$S$109,"&gt;"&amp;S94,$S$10:$S$109,"&lt;"&amp;(S94+IF(L94=1,1000000,IF(L94=2,1000,1))))/SUMIFS($Q$10:$Q$109,$S$10:$S$109,"&gt;"&amp;S94,$S$10:$S$109,"&lt;"&amp;(S94+IF(L94=1,1000000,IF(L94=2,1000,1))))),G94)))*100,0)/100,IF(P94=0,"",IF(K94="汇总",IF(SUMIFS($Q$10:$Q$109,$S$10:$S$109,"&gt;"&amp;S94,$S$10:$S$109,"&lt;"&amp;(S94+IF(L94=1,1000000,IF(L94=2,1000,1))))=0,0,SUMIFS($R$10:$R$109,$S$10:$S$109,"&gt;"&amp;S94,$S$10:$S$109,"&lt;"&amp;(S94+IF(L94=1,1000000,IF(L94=2,1000,1))))/SUMIFS($Q$10:$Q$109,$S$10:$S$109,"&gt;"&amp;S94,$S$10:$S$109,"&lt;"&amp;(S94+IF(L94=1,1000000,IF(L94=2,1000,1))))),G94)))</f>
        <v/>
      </c>
      <c r="P94" s="1">
        <f>IF(OR(A94="",B94="",J94="删除",AE94=0,COUNTIFS($AG$10:$AG$109,"W"&amp;A94)&lt;&gt;1,AND(L94&gt;1,COUNTIFS($AG$10:$AG$109,"W"&amp;V94,$B$10:$B$109,"&lt;&gt;")&lt;&gt;1),AND(L94=3,COUNTIFS($AG$10:$AG$109,"W"&amp;W94,$B$10:$B$109,"&lt;&gt;")&lt;&gt;1),COUNTIFS($AG$10:$AG$109,"W"&amp;V94,$J$10:$J$109,"删除")&gt;0,COUNTIFS($AG$10:$AG$109,"W"&amp;W94,$J$10:$J$109,"删除")&gt;0),0,1)</f>
        <v>0</v>
      </c>
      <c r="Q94" s="1">
        <f>IF(AA94=0,0,IF(I94="里程碑",1,F94))</f>
        <v>0</v>
      </c>
      <c r="R94" s="1">
        <f>IF(AA94=0,0,Q94*G94)</f>
        <v>0</v>
      </c>
      <c r="S94" s="1">
        <f>IF(P94=0,1000000000000000,AB94*1000000+AC94*1000+AD94)</f>
        <v>1000000000000000</v>
      </c>
      <c r="T94" s="1">
        <f>IF(P94=0,0,IF(Timing浏览!$D$5="全部",1,IF(Timing浏览!$D$5="仅里程碑",IF(K94="里程碑",1,0),IF(L94&lt;=VALUE(LEFT(Timing浏览!$D$5,1)),1,0))))</f>
        <v>0</v>
      </c>
      <c r="U94" s="1" t="str">
        <f>IF(T94=0,"",COUNTIFS($S$10:$S$109,"&lt;"&amp;S94,$T$10:$T$109,1)+1)</f>
        <v/>
      </c>
      <c r="V94" s="1" t="str">
        <f>IF(OR(A94="",L94=1),"",IF(L94=2,TEXT(AB94,"0"),TEXT(AB94,"0")&amp;"."&amp;TEXT(AC94,"0")))</f>
        <v/>
      </c>
      <c r="W94" s="1" t="str">
        <f>IF(OR(A94="",L94=1),"",TEXT(AB94,"0"))</f>
        <v/>
      </c>
      <c r="X94" s="1" t="str">
        <f>IF(AND(A94="",B94=""),"",IF(OR(A94="",B94=""),"请补编号和名称",IF(AE94=0,"编号需为1至3级正整数",IF(COUNTIFS($AG$10:$AG$109,"W"&amp;A94)&lt;&gt;1,"编号重复",IF(AND(L94&gt;1,COUNTIFS($AG$10:$AG$109,"W"&amp;V94,$B$10:$B$109,"&lt;&gt;")&lt;&gt;1),"缺少父任务",IF(J94="删除","待删除",IF(P94=0,"父任务已删除或无效",IF(K94="汇总",IF(COUNTIFS($S$10:$S$109,"&gt;"&amp;S94,$S$10:$S$109,"&lt;"&amp;(S94+IF(L94=1,1000000,IF(L94=2,1000,1))),$P$10:$P$109,1)=0,"等待子任务","由下级汇总"),IF(OR(D94="",E94=""),"待补日期",IF(E94&lt;D94,"结束早于开始",IF(AND(I94="里程碑",D94&lt;&gt;E94),"里程碑须同日","")))))))))))</f>
        <v/>
      </c>
      <c r="Y94" s="1">
        <f>IF(AA94=1,D94,100000000)</f>
        <v>100000000</v>
      </c>
      <c r="Z94" s="1">
        <f>IF(AA94=1,E94,0)</f>
        <v>0</v>
      </c>
      <c r="AA94" s="1">
        <f>IF(AND(P94=1,K94&lt;&gt;"汇总",ISNUMBER(F94),OR(I94&lt;&gt;"里程碑",D94=E94)),1,0)</f>
        <v>0</v>
      </c>
      <c r="AB94" s="1">
        <f>IF(A94="",0,IFERROR(VALUE(MID(("W"&amp;A94),2,FIND(".",("W"&amp;A94)&amp;".")-2)),-1))</f>
        <v>0</v>
      </c>
      <c r="AC94" s="1">
        <f>IF(OR(A94="",L94&lt;2),0,IFERROR(VALUE(MID(("W"&amp;A94),FIND(".",("W"&amp;A94))+1,FIND(".",("W"&amp;A94)&amp;".",FIND(".",("W"&amp;A94))+1)-FIND(".",("W"&amp;A94))-1)),-1))</f>
        <v>0</v>
      </c>
      <c r="AD94" s="1">
        <f>IF(OR(A94="",L94&lt;3),0,IFERROR(VALUE(RIGHT(("W"&amp;A94),LEN(("W"&amp;A94))-FIND(".",("W"&amp;A94),FIND(".",("W"&amp;A94))+1))),-1))</f>
        <v>0</v>
      </c>
      <c r="AE94" s="1">
        <f>IF(A94="",0,IF(AND(L94&lt;=3,AB94&gt;=1,AB94&lt;=999,AC94&gt;=0,AC94&lt;=999,AD94&gt;=0,AD94&lt;=999,A94=TEXT(AB94,"0")&amp;IF(L94&gt;1,"."&amp;TEXT(AC94,"0"),"")&amp;IF(L94&gt;2,"."&amp;TEXT(AD94,"0"),""),OR(L94&lt;2,AC94&gt;=1),OR(L94&lt;3,AD94&gt;=1)),1,0))</f>
        <v>0</v>
      </c>
      <c r="AF94" s="1"/>
      <c r="AG94" t="str">
        <f>"W"&amp;A94</f>
        <v>W</v>
      </c>
    </row>
    <row r="95" spans="1:33" ht="16.5">
      <c r="A95" s="12" t="str">
        <f>IF(ROW()-9&gt;ROWS(TimingTasks[WBS]),"",IF(AND(INDEX(TimingTasks[WBS],ROW()-9)="",NOT(ISNUMBER(INDEX(TimingTasks[WBS],ROW()-9)))),"",INDEX(TimingTasks[WBS],ROW()-9)))</f>
        <v/>
      </c>
      <c r="B95" s="10" t="str">
        <f>IF(ROW()-9&gt;ROWS(TimingTasks[WBS]),"",IF(AND(INDEX(TimingTasks[任务名称],ROW()-9)="",NOT(ISNUMBER(INDEX(TimingTasks[任务名称],ROW()-9)))),"",INDEX(TimingTasks[任务名称],ROW()-9)))</f>
        <v/>
      </c>
      <c r="C95" s="10" t="str">
        <f>IF(ROW()-9&gt;ROWS(TimingTasks[WBS]),"",IF(AND(INDEX(TimingTasks[负责人],ROW()-9)="",NOT(ISNUMBER(INDEX(TimingTasks[负责人],ROW()-9)))),"",INDEX(TimingTasks[负责人],ROW()-9)))</f>
        <v/>
      </c>
      <c r="D95" s="11" t="str">
        <f>IF(ROW()-9&gt;ROWS(TimingTasks[WBS]),"",IF(AND(INDEX(TimingTasks[输入开始],ROW()-9)="",NOT(ISNUMBER(INDEX(TimingTasks[输入开始],ROW()-9)))),"",INDEX(TimingTasks[输入开始],ROW()-9)))</f>
        <v/>
      </c>
      <c r="E95" s="11" t="str">
        <f>IF(ROW()-9&gt;ROWS(TimingTasks[WBS]),"",IF(AND(INDEX(TimingTasks[输入结束],ROW()-9)="",NOT(ISNUMBER(INDEX(TimingTasks[输入结束],ROW()-9)))),"",INDEX(TimingTasks[输入结束],ROW()-9)))</f>
        <v/>
      </c>
      <c r="F95" s="1" t="str">
        <f>IF(OR(P95=0,K95="汇总",D95="",E95="",E95&lt;D95),"",IF(I95="里程碑",0,NETWORKDAYS(D95,E95)))</f>
        <v/>
      </c>
      <c r="G95" s="15" t="str">
        <f>IF(ROW()-9&gt;ROWS(TimingTasks[WBS]),"",IF(AND(INDEX(TimingTasks[输入完成度],ROW()-9)="",NOT(ISNUMBER(INDEX(TimingTasks[输入完成度],ROW()-9)))),0,INDEX(TimingTasks[输入完成度],ROW()-9)))</f>
        <v/>
      </c>
      <c r="H95" s="10" t="str">
        <f>IF(ROW()-9&gt;ROWS(TimingTasks[WBS]),"",IF(AND(INDEX(TimingTasks[前置任务 WBS],ROW()-9)="",NOT(ISNUMBER(INDEX(TimingTasks[前置任务 WBS],ROW()-9)))),"",INDEX(TimingTasks[前置任务 WBS],ROW()-9)))</f>
        <v/>
      </c>
      <c r="I95" s="10" t="str">
        <f>IF(ROW()-9&gt;ROWS(TimingTasks[WBS]),"",IF(AND(INDEX(TimingTasks[叶子类型],ROW()-9)="",NOT(ISNUMBER(INDEX(TimingTasks[叶子类型],ROW()-9)))),"普通任务",INDEX(TimingTasks[叶子类型],ROW()-9)))</f>
        <v/>
      </c>
      <c r="J95" s="10" t="str">
        <f>IF(ROW()-9&gt;ROWS(TimingTasks[WBS]),"",IF(AND(INDEX(TimingTasks[操作],ROW()-9)="",NOT(ISNUMBER(INDEX(TimingTasks[操作],ROW()-9)))),"保留",INDEX(TimingTasks[操作],ROW()-9)))</f>
        <v/>
      </c>
      <c r="K95" s="1" t="str">
        <f>IF(P95=0,"",IF(OR(AND(L95=1,D95="",E95="",I95&lt;&gt;"里程碑"),COUNTIFS($S$10:$S$109,"&gt;"&amp;S95,$S$10:$S$109,"&lt;"&amp;(S95+IF(L95=1,1000000,IF(L95=2,1000,1))),$P$10:$P$109,1)&gt;0),"汇总",I95))</f>
        <v/>
      </c>
      <c r="L95" s="1" t="str">
        <f>IF(A95="","",LEN(("W"&amp;A95))-LEN(SUBSTITUTE(("W"&amp;A95),".",""))+1)</f>
        <v/>
      </c>
      <c r="M95" s="3" t="str">
        <f>IF(P95=0,"",IF(K95="汇总",IF(COUNTIFS($S$10:$S$109,"&gt;"&amp;S95,$S$10:$S$109,"&lt;"&amp;(S95+IF(L95=1,1000000,IF(L95=2,1000,1))),$AA$10:$AA$109,1)=0,"",_xlfn.MINIFS($Y$10:$Y$109,$S$10:$S$109,"&gt;"&amp;S95,$S$10:$S$109,"&lt;"&amp;(S95+IF(L95=1,1000000,IF(L95=2,1000,1))),$AA$10:$AA$109,1)),IF(AA95=1,D95,"")))</f>
        <v/>
      </c>
      <c r="N95" s="3" t="str">
        <f>IF(P95=0,"",IF(K95="汇总",IF(COUNTIFS($S$10:$S$109,"&gt;"&amp;S95,$S$10:$S$109,"&lt;"&amp;(S95+IF(L95=1,1000000,IF(L95=2,1000,1))),$AA$10:$AA$109,1)=0,"",_xlfn.MAXIFS($Z$10:$Z$109,$S$10:$S$109,"&gt;"&amp;S95,$S$10:$S$109,"&lt;"&amp;(S95+IF(L95=1,1000000,IF(L95=2,1000,1))),$AA$10:$AA$109,1)),IF(AA95=1,E95,"")))</f>
        <v/>
      </c>
      <c r="O95" s="7" t="str">
        <f>IF(K95="汇总",ROUND((IF(P95=0,"",IF(K95="汇总",IF(SUMIFS($Q$10:$Q$109,$S$10:$S$109,"&gt;"&amp;S95,$S$10:$S$109,"&lt;"&amp;(S95+IF(L95=1,1000000,IF(L95=2,1000,1))))=0,0,SUMIFS($R$10:$R$109,$S$10:$S$109,"&gt;"&amp;S95,$S$10:$S$109,"&lt;"&amp;(S95+IF(L95=1,1000000,IF(L95=2,1000,1))))/SUMIFS($Q$10:$Q$109,$S$10:$S$109,"&gt;"&amp;S95,$S$10:$S$109,"&lt;"&amp;(S95+IF(L95=1,1000000,IF(L95=2,1000,1))))),G95)))*100,0)/100,IF(P95=0,"",IF(K95="汇总",IF(SUMIFS($Q$10:$Q$109,$S$10:$S$109,"&gt;"&amp;S95,$S$10:$S$109,"&lt;"&amp;(S95+IF(L95=1,1000000,IF(L95=2,1000,1))))=0,0,SUMIFS($R$10:$R$109,$S$10:$S$109,"&gt;"&amp;S95,$S$10:$S$109,"&lt;"&amp;(S95+IF(L95=1,1000000,IF(L95=2,1000,1))))/SUMIFS($Q$10:$Q$109,$S$10:$S$109,"&gt;"&amp;S95,$S$10:$S$109,"&lt;"&amp;(S95+IF(L95=1,1000000,IF(L95=2,1000,1))))),G95)))</f>
        <v/>
      </c>
      <c r="P95" s="1">
        <f>IF(OR(A95="",B95="",J95="删除",AE95=0,COUNTIFS($AG$10:$AG$109,"W"&amp;A95)&lt;&gt;1,AND(L95&gt;1,COUNTIFS($AG$10:$AG$109,"W"&amp;V95,$B$10:$B$109,"&lt;&gt;")&lt;&gt;1),AND(L95=3,COUNTIFS($AG$10:$AG$109,"W"&amp;W95,$B$10:$B$109,"&lt;&gt;")&lt;&gt;1),COUNTIFS($AG$10:$AG$109,"W"&amp;V95,$J$10:$J$109,"删除")&gt;0,COUNTIFS($AG$10:$AG$109,"W"&amp;W95,$J$10:$J$109,"删除")&gt;0),0,1)</f>
        <v>0</v>
      </c>
      <c r="Q95" s="1">
        <f>IF(AA95=0,0,IF(I95="里程碑",1,F95))</f>
        <v>0</v>
      </c>
      <c r="R95" s="1">
        <f>IF(AA95=0,0,Q95*G95)</f>
        <v>0</v>
      </c>
      <c r="S95" s="1">
        <f>IF(P95=0,1000000000000000,AB95*1000000+AC95*1000+AD95)</f>
        <v>1000000000000000</v>
      </c>
      <c r="T95" s="1">
        <f>IF(P95=0,0,IF(Timing浏览!$D$5="全部",1,IF(Timing浏览!$D$5="仅里程碑",IF(K95="里程碑",1,0),IF(L95&lt;=VALUE(LEFT(Timing浏览!$D$5,1)),1,0))))</f>
        <v>0</v>
      </c>
      <c r="U95" s="1" t="str">
        <f>IF(T95=0,"",COUNTIFS($S$10:$S$109,"&lt;"&amp;S95,$T$10:$T$109,1)+1)</f>
        <v/>
      </c>
      <c r="V95" s="1" t="str">
        <f>IF(OR(A95="",L95=1),"",IF(L95=2,TEXT(AB95,"0"),TEXT(AB95,"0")&amp;"."&amp;TEXT(AC95,"0")))</f>
        <v/>
      </c>
      <c r="W95" s="1" t="str">
        <f>IF(OR(A95="",L95=1),"",TEXT(AB95,"0"))</f>
        <v/>
      </c>
      <c r="X95" s="1" t="str">
        <f>IF(AND(A95="",B95=""),"",IF(OR(A95="",B95=""),"请补编号和名称",IF(AE95=0,"编号需为1至3级正整数",IF(COUNTIFS($AG$10:$AG$109,"W"&amp;A95)&lt;&gt;1,"编号重复",IF(AND(L95&gt;1,COUNTIFS($AG$10:$AG$109,"W"&amp;V95,$B$10:$B$109,"&lt;&gt;")&lt;&gt;1),"缺少父任务",IF(J95="删除","待删除",IF(P95=0,"父任务已删除或无效",IF(K95="汇总",IF(COUNTIFS($S$10:$S$109,"&gt;"&amp;S95,$S$10:$S$109,"&lt;"&amp;(S95+IF(L95=1,1000000,IF(L95=2,1000,1))),$P$10:$P$109,1)=0,"等待子任务","由下级汇总"),IF(OR(D95="",E95=""),"待补日期",IF(E95&lt;D95,"结束早于开始",IF(AND(I95="里程碑",D95&lt;&gt;E95),"里程碑须同日","")))))))))))</f>
        <v/>
      </c>
      <c r="Y95" s="1">
        <f>IF(AA95=1,D95,100000000)</f>
        <v>100000000</v>
      </c>
      <c r="Z95" s="1">
        <f>IF(AA95=1,E95,0)</f>
        <v>0</v>
      </c>
      <c r="AA95" s="1">
        <f>IF(AND(P95=1,K95&lt;&gt;"汇总",ISNUMBER(F95),OR(I95&lt;&gt;"里程碑",D95=E95)),1,0)</f>
        <v>0</v>
      </c>
      <c r="AB95" s="1">
        <f>IF(A95="",0,IFERROR(VALUE(MID(("W"&amp;A95),2,FIND(".",("W"&amp;A95)&amp;".")-2)),-1))</f>
        <v>0</v>
      </c>
      <c r="AC95" s="1">
        <f>IF(OR(A95="",L95&lt;2),0,IFERROR(VALUE(MID(("W"&amp;A95),FIND(".",("W"&amp;A95))+1,FIND(".",("W"&amp;A95)&amp;".",FIND(".",("W"&amp;A95))+1)-FIND(".",("W"&amp;A95))-1)),-1))</f>
        <v>0</v>
      </c>
      <c r="AD95" s="1">
        <f>IF(OR(A95="",L95&lt;3),0,IFERROR(VALUE(RIGHT(("W"&amp;A95),LEN(("W"&amp;A95))-FIND(".",("W"&amp;A95),FIND(".",("W"&amp;A95))+1))),-1))</f>
        <v>0</v>
      </c>
      <c r="AE95" s="1">
        <f>IF(A95="",0,IF(AND(L95&lt;=3,AB95&gt;=1,AB95&lt;=999,AC95&gt;=0,AC95&lt;=999,AD95&gt;=0,AD95&lt;=999,A95=TEXT(AB95,"0")&amp;IF(L95&gt;1,"."&amp;TEXT(AC95,"0"),"")&amp;IF(L95&gt;2,"."&amp;TEXT(AD95,"0"),""),OR(L95&lt;2,AC95&gt;=1),OR(L95&lt;3,AD95&gt;=1)),1,0))</f>
        <v>0</v>
      </c>
      <c r="AF95" s="1"/>
      <c r="AG95" t="str">
        <f>"W"&amp;A95</f>
        <v>W</v>
      </c>
    </row>
    <row r="96" spans="1:33" ht="16.5">
      <c r="A96" s="12" t="str">
        <f>IF(ROW()-9&gt;ROWS(TimingTasks[WBS]),"",IF(AND(INDEX(TimingTasks[WBS],ROW()-9)="",NOT(ISNUMBER(INDEX(TimingTasks[WBS],ROW()-9)))),"",INDEX(TimingTasks[WBS],ROW()-9)))</f>
        <v/>
      </c>
      <c r="B96" s="10" t="str">
        <f>IF(ROW()-9&gt;ROWS(TimingTasks[WBS]),"",IF(AND(INDEX(TimingTasks[任务名称],ROW()-9)="",NOT(ISNUMBER(INDEX(TimingTasks[任务名称],ROW()-9)))),"",INDEX(TimingTasks[任务名称],ROW()-9)))</f>
        <v/>
      </c>
      <c r="C96" s="10" t="str">
        <f>IF(ROW()-9&gt;ROWS(TimingTasks[WBS]),"",IF(AND(INDEX(TimingTasks[负责人],ROW()-9)="",NOT(ISNUMBER(INDEX(TimingTasks[负责人],ROW()-9)))),"",INDEX(TimingTasks[负责人],ROW()-9)))</f>
        <v/>
      </c>
      <c r="D96" s="11" t="str">
        <f>IF(ROW()-9&gt;ROWS(TimingTasks[WBS]),"",IF(AND(INDEX(TimingTasks[输入开始],ROW()-9)="",NOT(ISNUMBER(INDEX(TimingTasks[输入开始],ROW()-9)))),"",INDEX(TimingTasks[输入开始],ROW()-9)))</f>
        <v/>
      </c>
      <c r="E96" s="11" t="str">
        <f>IF(ROW()-9&gt;ROWS(TimingTasks[WBS]),"",IF(AND(INDEX(TimingTasks[输入结束],ROW()-9)="",NOT(ISNUMBER(INDEX(TimingTasks[输入结束],ROW()-9)))),"",INDEX(TimingTasks[输入结束],ROW()-9)))</f>
        <v/>
      </c>
      <c r="F96" s="1" t="str">
        <f>IF(OR(P96=0,K96="汇总",D96="",E96="",E96&lt;D96),"",IF(I96="里程碑",0,NETWORKDAYS(D96,E96)))</f>
        <v/>
      </c>
      <c r="G96" s="15" t="str">
        <f>IF(ROW()-9&gt;ROWS(TimingTasks[WBS]),"",IF(AND(INDEX(TimingTasks[输入完成度],ROW()-9)="",NOT(ISNUMBER(INDEX(TimingTasks[输入完成度],ROW()-9)))),0,INDEX(TimingTasks[输入完成度],ROW()-9)))</f>
        <v/>
      </c>
      <c r="H96" s="10" t="str">
        <f>IF(ROW()-9&gt;ROWS(TimingTasks[WBS]),"",IF(AND(INDEX(TimingTasks[前置任务 WBS],ROW()-9)="",NOT(ISNUMBER(INDEX(TimingTasks[前置任务 WBS],ROW()-9)))),"",INDEX(TimingTasks[前置任务 WBS],ROW()-9)))</f>
        <v/>
      </c>
      <c r="I96" s="10" t="str">
        <f>IF(ROW()-9&gt;ROWS(TimingTasks[WBS]),"",IF(AND(INDEX(TimingTasks[叶子类型],ROW()-9)="",NOT(ISNUMBER(INDEX(TimingTasks[叶子类型],ROW()-9)))),"普通任务",INDEX(TimingTasks[叶子类型],ROW()-9)))</f>
        <v/>
      </c>
      <c r="J96" s="10" t="str">
        <f>IF(ROW()-9&gt;ROWS(TimingTasks[WBS]),"",IF(AND(INDEX(TimingTasks[操作],ROW()-9)="",NOT(ISNUMBER(INDEX(TimingTasks[操作],ROW()-9)))),"保留",INDEX(TimingTasks[操作],ROW()-9)))</f>
        <v/>
      </c>
      <c r="K96" s="1" t="str">
        <f>IF(P96=0,"",IF(OR(AND(L96=1,D96="",E96="",I96&lt;&gt;"里程碑"),COUNTIFS($S$10:$S$109,"&gt;"&amp;S96,$S$10:$S$109,"&lt;"&amp;(S96+IF(L96=1,1000000,IF(L96=2,1000,1))),$P$10:$P$109,1)&gt;0),"汇总",I96))</f>
        <v/>
      </c>
      <c r="L96" s="1" t="str">
        <f>IF(A96="","",LEN(("W"&amp;A96))-LEN(SUBSTITUTE(("W"&amp;A96),".",""))+1)</f>
        <v/>
      </c>
      <c r="M96" s="3" t="str">
        <f>IF(P96=0,"",IF(K96="汇总",IF(COUNTIFS($S$10:$S$109,"&gt;"&amp;S96,$S$10:$S$109,"&lt;"&amp;(S96+IF(L96=1,1000000,IF(L96=2,1000,1))),$AA$10:$AA$109,1)=0,"",_xlfn.MINIFS($Y$10:$Y$109,$S$10:$S$109,"&gt;"&amp;S96,$S$10:$S$109,"&lt;"&amp;(S96+IF(L96=1,1000000,IF(L96=2,1000,1))),$AA$10:$AA$109,1)),IF(AA96=1,D96,"")))</f>
        <v/>
      </c>
      <c r="N96" s="3" t="str">
        <f>IF(P96=0,"",IF(K96="汇总",IF(COUNTIFS($S$10:$S$109,"&gt;"&amp;S96,$S$10:$S$109,"&lt;"&amp;(S96+IF(L96=1,1000000,IF(L96=2,1000,1))),$AA$10:$AA$109,1)=0,"",_xlfn.MAXIFS($Z$10:$Z$109,$S$10:$S$109,"&gt;"&amp;S96,$S$10:$S$109,"&lt;"&amp;(S96+IF(L96=1,1000000,IF(L96=2,1000,1))),$AA$10:$AA$109,1)),IF(AA96=1,E96,"")))</f>
        <v/>
      </c>
      <c r="O96" s="7" t="str">
        <f>IF(K96="汇总",ROUND((IF(P96=0,"",IF(K96="汇总",IF(SUMIFS($Q$10:$Q$109,$S$10:$S$109,"&gt;"&amp;S96,$S$10:$S$109,"&lt;"&amp;(S96+IF(L96=1,1000000,IF(L96=2,1000,1))))=0,0,SUMIFS($R$10:$R$109,$S$10:$S$109,"&gt;"&amp;S96,$S$10:$S$109,"&lt;"&amp;(S96+IF(L96=1,1000000,IF(L96=2,1000,1))))/SUMIFS($Q$10:$Q$109,$S$10:$S$109,"&gt;"&amp;S96,$S$10:$S$109,"&lt;"&amp;(S96+IF(L96=1,1000000,IF(L96=2,1000,1))))),G96)))*100,0)/100,IF(P96=0,"",IF(K96="汇总",IF(SUMIFS($Q$10:$Q$109,$S$10:$S$109,"&gt;"&amp;S96,$S$10:$S$109,"&lt;"&amp;(S96+IF(L96=1,1000000,IF(L96=2,1000,1))))=0,0,SUMIFS($R$10:$R$109,$S$10:$S$109,"&gt;"&amp;S96,$S$10:$S$109,"&lt;"&amp;(S96+IF(L96=1,1000000,IF(L96=2,1000,1))))/SUMIFS($Q$10:$Q$109,$S$10:$S$109,"&gt;"&amp;S96,$S$10:$S$109,"&lt;"&amp;(S96+IF(L96=1,1000000,IF(L96=2,1000,1))))),G96)))</f>
        <v/>
      </c>
      <c r="P96" s="1">
        <f>IF(OR(A96="",B96="",J96="删除",AE96=0,COUNTIFS($AG$10:$AG$109,"W"&amp;A96)&lt;&gt;1,AND(L96&gt;1,COUNTIFS($AG$10:$AG$109,"W"&amp;V96,$B$10:$B$109,"&lt;&gt;")&lt;&gt;1),AND(L96=3,COUNTIFS($AG$10:$AG$109,"W"&amp;W96,$B$10:$B$109,"&lt;&gt;")&lt;&gt;1),COUNTIFS($AG$10:$AG$109,"W"&amp;V96,$J$10:$J$109,"删除")&gt;0,COUNTIFS($AG$10:$AG$109,"W"&amp;W96,$J$10:$J$109,"删除")&gt;0),0,1)</f>
        <v>0</v>
      </c>
      <c r="Q96" s="1">
        <f>IF(AA96=0,0,IF(I96="里程碑",1,F96))</f>
        <v>0</v>
      </c>
      <c r="R96" s="1">
        <f>IF(AA96=0,0,Q96*G96)</f>
        <v>0</v>
      </c>
      <c r="S96" s="1">
        <f>IF(P96=0,1000000000000000,AB96*1000000+AC96*1000+AD96)</f>
        <v>1000000000000000</v>
      </c>
      <c r="T96" s="1">
        <f>IF(P96=0,0,IF(Timing浏览!$D$5="全部",1,IF(Timing浏览!$D$5="仅里程碑",IF(K96="里程碑",1,0),IF(L96&lt;=VALUE(LEFT(Timing浏览!$D$5,1)),1,0))))</f>
        <v>0</v>
      </c>
      <c r="U96" s="1" t="str">
        <f>IF(T96=0,"",COUNTIFS($S$10:$S$109,"&lt;"&amp;S96,$T$10:$T$109,1)+1)</f>
        <v/>
      </c>
      <c r="V96" s="1" t="str">
        <f>IF(OR(A96="",L96=1),"",IF(L96=2,TEXT(AB96,"0"),TEXT(AB96,"0")&amp;"."&amp;TEXT(AC96,"0")))</f>
        <v/>
      </c>
      <c r="W96" s="1" t="str">
        <f>IF(OR(A96="",L96=1),"",TEXT(AB96,"0"))</f>
        <v/>
      </c>
      <c r="X96" s="1" t="str">
        <f>IF(AND(A96="",B96=""),"",IF(OR(A96="",B96=""),"请补编号和名称",IF(AE96=0,"编号需为1至3级正整数",IF(COUNTIFS($AG$10:$AG$109,"W"&amp;A96)&lt;&gt;1,"编号重复",IF(AND(L96&gt;1,COUNTIFS($AG$10:$AG$109,"W"&amp;V96,$B$10:$B$109,"&lt;&gt;")&lt;&gt;1),"缺少父任务",IF(J96="删除","待删除",IF(P96=0,"父任务已删除或无效",IF(K96="汇总",IF(COUNTIFS($S$10:$S$109,"&gt;"&amp;S96,$S$10:$S$109,"&lt;"&amp;(S96+IF(L96=1,1000000,IF(L96=2,1000,1))),$P$10:$P$109,1)=0,"等待子任务","由下级汇总"),IF(OR(D96="",E96=""),"待补日期",IF(E96&lt;D96,"结束早于开始",IF(AND(I96="里程碑",D96&lt;&gt;E96),"里程碑须同日","")))))))))))</f>
        <v/>
      </c>
      <c r="Y96" s="1">
        <f>IF(AA96=1,D96,100000000)</f>
        <v>100000000</v>
      </c>
      <c r="Z96" s="1">
        <f>IF(AA96=1,E96,0)</f>
        <v>0</v>
      </c>
      <c r="AA96" s="1">
        <f>IF(AND(P96=1,K96&lt;&gt;"汇总",ISNUMBER(F96),OR(I96&lt;&gt;"里程碑",D96=E96)),1,0)</f>
        <v>0</v>
      </c>
      <c r="AB96" s="1">
        <f>IF(A96="",0,IFERROR(VALUE(MID(("W"&amp;A96),2,FIND(".",("W"&amp;A96)&amp;".")-2)),-1))</f>
        <v>0</v>
      </c>
      <c r="AC96" s="1">
        <f>IF(OR(A96="",L96&lt;2),0,IFERROR(VALUE(MID(("W"&amp;A96),FIND(".",("W"&amp;A96))+1,FIND(".",("W"&amp;A96)&amp;".",FIND(".",("W"&amp;A96))+1)-FIND(".",("W"&amp;A96))-1)),-1))</f>
        <v>0</v>
      </c>
      <c r="AD96" s="1">
        <f>IF(OR(A96="",L96&lt;3),0,IFERROR(VALUE(RIGHT(("W"&amp;A96),LEN(("W"&amp;A96))-FIND(".",("W"&amp;A96),FIND(".",("W"&amp;A96))+1))),-1))</f>
        <v>0</v>
      </c>
      <c r="AE96" s="1">
        <f>IF(A96="",0,IF(AND(L96&lt;=3,AB96&gt;=1,AB96&lt;=999,AC96&gt;=0,AC96&lt;=999,AD96&gt;=0,AD96&lt;=999,A96=TEXT(AB96,"0")&amp;IF(L96&gt;1,"."&amp;TEXT(AC96,"0"),"")&amp;IF(L96&gt;2,"."&amp;TEXT(AD96,"0"),""),OR(L96&lt;2,AC96&gt;=1),OR(L96&lt;3,AD96&gt;=1)),1,0))</f>
        <v>0</v>
      </c>
      <c r="AF96" s="1"/>
      <c r="AG96" t="str">
        <f>"W"&amp;A96</f>
        <v>W</v>
      </c>
    </row>
    <row r="97" spans="1:33" ht="16.5">
      <c r="A97" s="12" t="str">
        <f>IF(ROW()-9&gt;ROWS(TimingTasks[WBS]),"",IF(AND(INDEX(TimingTasks[WBS],ROW()-9)="",NOT(ISNUMBER(INDEX(TimingTasks[WBS],ROW()-9)))),"",INDEX(TimingTasks[WBS],ROW()-9)))</f>
        <v/>
      </c>
      <c r="B97" s="10" t="str">
        <f>IF(ROW()-9&gt;ROWS(TimingTasks[WBS]),"",IF(AND(INDEX(TimingTasks[任务名称],ROW()-9)="",NOT(ISNUMBER(INDEX(TimingTasks[任务名称],ROW()-9)))),"",INDEX(TimingTasks[任务名称],ROW()-9)))</f>
        <v/>
      </c>
      <c r="C97" s="10" t="str">
        <f>IF(ROW()-9&gt;ROWS(TimingTasks[WBS]),"",IF(AND(INDEX(TimingTasks[负责人],ROW()-9)="",NOT(ISNUMBER(INDEX(TimingTasks[负责人],ROW()-9)))),"",INDEX(TimingTasks[负责人],ROW()-9)))</f>
        <v/>
      </c>
      <c r="D97" s="11" t="str">
        <f>IF(ROW()-9&gt;ROWS(TimingTasks[WBS]),"",IF(AND(INDEX(TimingTasks[输入开始],ROW()-9)="",NOT(ISNUMBER(INDEX(TimingTasks[输入开始],ROW()-9)))),"",INDEX(TimingTasks[输入开始],ROW()-9)))</f>
        <v/>
      </c>
      <c r="E97" s="11" t="str">
        <f>IF(ROW()-9&gt;ROWS(TimingTasks[WBS]),"",IF(AND(INDEX(TimingTasks[输入结束],ROW()-9)="",NOT(ISNUMBER(INDEX(TimingTasks[输入结束],ROW()-9)))),"",INDEX(TimingTasks[输入结束],ROW()-9)))</f>
        <v/>
      </c>
      <c r="F97" s="1" t="str">
        <f>IF(OR(P97=0,K97="汇总",D97="",E97="",E97&lt;D97),"",IF(I97="里程碑",0,NETWORKDAYS(D97,E97)))</f>
        <v/>
      </c>
      <c r="G97" s="15" t="str">
        <f>IF(ROW()-9&gt;ROWS(TimingTasks[WBS]),"",IF(AND(INDEX(TimingTasks[输入完成度],ROW()-9)="",NOT(ISNUMBER(INDEX(TimingTasks[输入完成度],ROW()-9)))),0,INDEX(TimingTasks[输入完成度],ROW()-9)))</f>
        <v/>
      </c>
      <c r="H97" s="10" t="str">
        <f>IF(ROW()-9&gt;ROWS(TimingTasks[WBS]),"",IF(AND(INDEX(TimingTasks[前置任务 WBS],ROW()-9)="",NOT(ISNUMBER(INDEX(TimingTasks[前置任务 WBS],ROW()-9)))),"",INDEX(TimingTasks[前置任务 WBS],ROW()-9)))</f>
        <v/>
      </c>
      <c r="I97" s="10" t="str">
        <f>IF(ROW()-9&gt;ROWS(TimingTasks[WBS]),"",IF(AND(INDEX(TimingTasks[叶子类型],ROW()-9)="",NOT(ISNUMBER(INDEX(TimingTasks[叶子类型],ROW()-9)))),"普通任务",INDEX(TimingTasks[叶子类型],ROW()-9)))</f>
        <v/>
      </c>
      <c r="J97" s="10" t="str">
        <f>IF(ROW()-9&gt;ROWS(TimingTasks[WBS]),"",IF(AND(INDEX(TimingTasks[操作],ROW()-9)="",NOT(ISNUMBER(INDEX(TimingTasks[操作],ROW()-9)))),"保留",INDEX(TimingTasks[操作],ROW()-9)))</f>
        <v/>
      </c>
      <c r="K97" s="1" t="str">
        <f>IF(P97=0,"",IF(OR(AND(L97=1,D97="",E97="",I97&lt;&gt;"里程碑"),COUNTIFS($S$10:$S$109,"&gt;"&amp;S97,$S$10:$S$109,"&lt;"&amp;(S97+IF(L97=1,1000000,IF(L97=2,1000,1))),$P$10:$P$109,1)&gt;0),"汇总",I97))</f>
        <v/>
      </c>
      <c r="L97" s="1" t="str">
        <f>IF(A97="","",LEN(("W"&amp;A97))-LEN(SUBSTITUTE(("W"&amp;A97),".",""))+1)</f>
        <v/>
      </c>
      <c r="M97" s="3" t="str">
        <f>IF(P97=0,"",IF(K97="汇总",IF(COUNTIFS($S$10:$S$109,"&gt;"&amp;S97,$S$10:$S$109,"&lt;"&amp;(S97+IF(L97=1,1000000,IF(L97=2,1000,1))),$AA$10:$AA$109,1)=0,"",_xlfn.MINIFS($Y$10:$Y$109,$S$10:$S$109,"&gt;"&amp;S97,$S$10:$S$109,"&lt;"&amp;(S97+IF(L97=1,1000000,IF(L97=2,1000,1))),$AA$10:$AA$109,1)),IF(AA97=1,D97,"")))</f>
        <v/>
      </c>
      <c r="N97" s="3" t="str">
        <f>IF(P97=0,"",IF(K97="汇总",IF(COUNTIFS($S$10:$S$109,"&gt;"&amp;S97,$S$10:$S$109,"&lt;"&amp;(S97+IF(L97=1,1000000,IF(L97=2,1000,1))),$AA$10:$AA$109,1)=0,"",_xlfn.MAXIFS($Z$10:$Z$109,$S$10:$S$109,"&gt;"&amp;S97,$S$10:$S$109,"&lt;"&amp;(S97+IF(L97=1,1000000,IF(L97=2,1000,1))),$AA$10:$AA$109,1)),IF(AA97=1,E97,"")))</f>
        <v/>
      </c>
      <c r="O97" s="7" t="str">
        <f>IF(K97="汇总",ROUND((IF(P97=0,"",IF(K97="汇总",IF(SUMIFS($Q$10:$Q$109,$S$10:$S$109,"&gt;"&amp;S97,$S$10:$S$109,"&lt;"&amp;(S97+IF(L97=1,1000000,IF(L97=2,1000,1))))=0,0,SUMIFS($R$10:$R$109,$S$10:$S$109,"&gt;"&amp;S97,$S$10:$S$109,"&lt;"&amp;(S97+IF(L97=1,1000000,IF(L97=2,1000,1))))/SUMIFS($Q$10:$Q$109,$S$10:$S$109,"&gt;"&amp;S97,$S$10:$S$109,"&lt;"&amp;(S97+IF(L97=1,1000000,IF(L97=2,1000,1))))),G97)))*100,0)/100,IF(P97=0,"",IF(K97="汇总",IF(SUMIFS($Q$10:$Q$109,$S$10:$S$109,"&gt;"&amp;S97,$S$10:$S$109,"&lt;"&amp;(S97+IF(L97=1,1000000,IF(L97=2,1000,1))))=0,0,SUMIFS($R$10:$R$109,$S$10:$S$109,"&gt;"&amp;S97,$S$10:$S$109,"&lt;"&amp;(S97+IF(L97=1,1000000,IF(L97=2,1000,1))))/SUMIFS($Q$10:$Q$109,$S$10:$S$109,"&gt;"&amp;S97,$S$10:$S$109,"&lt;"&amp;(S97+IF(L97=1,1000000,IF(L97=2,1000,1))))),G97)))</f>
        <v/>
      </c>
      <c r="P97" s="1">
        <f>IF(OR(A97="",B97="",J97="删除",AE97=0,COUNTIFS($AG$10:$AG$109,"W"&amp;A97)&lt;&gt;1,AND(L97&gt;1,COUNTIFS($AG$10:$AG$109,"W"&amp;V97,$B$10:$B$109,"&lt;&gt;")&lt;&gt;1),AND(L97=3,COUNTIFS($AG$10:$AG$109,"W"&amp;W97,$B$10:$B$109,"&lt;&gt;")&lt;&gt;1),COUNTIFS($AG$10:$AG$109,"W"&amp;V97,$J$10:$J$109,"删除")&gt;0,COUNTIFS($AG$10:$AG$109,"W"&amp;W97,$J$10:$J$109,"删除")&gt;0),0,1)</f>
        <v>0</v>
      </c>
      <c r="Q97" s="1">
        <f>IF(AA97=0,0,IF(I97="里程碑",1,F97))</f>
        <v>0</v>
      </c>
      <c r="R97" s="1">
        <f>IF(AA97=0,0,Q97*G97)</f>
        <v>0</v>
      </c>
      <c r="S97" s="1">
        <f>IF(P97=0,1000000000000000,AB97*1000000+AC97*1000+AD97)</f>
        <v>1000000000000000</v>
      </c>
      <c r="T97" s="1">
        <f>IF(P97=0,0,IF(Timing浏览!$D$5="全部",1,IF(Timing浏览!$D$5="仅里程碑",IF(K97="里程碑",1,0),IF(L97&lt;=VALUE(LEFT(Timing浏览!$D$5,1)),1,0))))</f>
        <v>0</v>
      </c>
      <c r="U97" s="1" t="str">
        <f>IF(T97=0,"",COUNTIFS($S$10:$S$109,"&lt;"&amp;S97,$T$10:$T$109,1)+1)</f>
        <v/>
      </c>
      <c r="V97" s="1" t="str">
        <f>IF(OR(A97="",L97=1),"",IF(L97=2,TEXT(AB97,"0"),TEXT(AB97,"0")&amp;"."&amp;TEXT(AC97,"0")))</f>
        <v/>
      </c>
      <c r="W97" s="1" t="str">
        <f>IF(OR(A97="",L97=1),"",TEXT(AB97,"0"))</f>
        <v/>
      </c>
      <c r="X97" s="1" t="str">
        <f>IF(AND(A97="",B97=""),"",IF(OR(A97="",B97=""),"请补编号和名称",IF(AE97=0,"编号需为1至3级正整数",IF(COUNTIFS($AG$10:$AG$109,"W"&amp;A97)&lt;&gt;1,"编号重复",IF(AND(L97&gt;1,COUNTIFS($AG$10:$AG$109,"W"&amp;V97,$B$10:$B$109,"&lt;&gt;")&lt;&gt;1),"缺少父任务",IF(J97="删除","待删除",IF(P97=0,"父任务已删除或无效",IF(K97="汇总",IF(COUNTIFS($S$10:$S$109,"&gt;"&amp;S97,$S$10:$S$109,"&lt;"&amp;(S97+IF(L97=1,1000000,IF(L97=2,1000,1))),$P$10:$P$109,1)=0,"等待子任务","由下级汇总"),IF(OR(D97="",E97=""),"待补日期",IF(E97&lt;D97,"结束早于开始",IF(AND(I97="里程碑",D97&lt;&gt;E97),"里程碑须同日","")))))))))))</f>
        <v/>
      </c>
      <c r="Y97" s="1">
        <f>IF(AA97=1,D97,100000000)</f>
        <v>100000000</v>
      </c>
      <c r="Z97" s="1">
        <f>IF(AA97=1,E97,0)</f>
        <v>0</v>
      </c>
      <c r="AA97" s="1">
        <f>IF(AND(P97=1,K97&lt;&gt;"汇总",ISNUMBER(F97),OR(I97&lt;&gt;"里程碑",D97=E97)),1,0)</f>
        <v>0</v>
      </c>
      <c r="AB97" s="1">
        <f>IF(A97="",0,IFERROR(VALUE(MID(("W"&amp;A97),2,FIND(".",("W"&amp;A97)&amp;".")-2)),-1))</f>
        <v>0</v>
      </c>
      <c r="AC97" s="1">
        <f>IF(OR(A97="",L97&lt;2),0,IFERROR(VALUE(MID(("W"&amp;A97),FIND(".",("W"&amp;A97))+1,FIND(".",("W"&amp;A97)&amp;".",FIND(".",("W"&amp;A97))+1)-FIND(".",("W"&amp;A97))-1)),-1))</f>
        <v>0</v>
      </c>
      <c r="AD97" s="1">
        <f>IF(OR(A97="",L97&lt;3),0,IFERROR(VALUE(RIGHT(("W"&amp;A97),LEN(("W"&amp;A97))-FIND(".",("W"&amp;A97),FIND(".",("W"&amp;A97))+1))),-1))</f>
        <v>0</v>
      </c>
      <c r="AE97" s="1">
        <f>IF(A97="",0,IF(AND(L97&lt;=3,AB97&gt;=1,AB97&lt;=999,AC97&gt;=0,AC97&lt;=999,AD97&gt;=0,AD97&lt;=999,A97=TEXT(AB97,"0")&amp;IF(L97&gt;1,"."&amp;TEXT(AC97,"0"),"")&amp;IF(L97&gt;2,"."&amp;TEXT(AD97,"0"),""),OR(L97&lt;2,AC97&gt;=1),OR(L97&lt;3,AD97&gt;=1)),1,0))</f>
        <v>0</v>
      </c>
      <c r="AF97" s="1"/>
      <c r="AG97" t="str">
        <f>"W"&amp;A97</f>
        <v>W</v>
      </c>
    </row>
    <row r="98" spans="1:33" ht="16.5">
      <c r="A98" s="12" t="str">
        <f>IF(ROW()-9&gt;ROWS(TimingTasks[WBS]),"",IF(AND(INDEX(TimingTasks[WBS],ROW()-9)="",NOT(ISNUMBER(INDEX(TimingTasks[WBS],ROW()-9)))),"",INDEX(TimingTasks[WBS],ROW()-9)))</f>
        <v/>
      </c>
      <c r="B98" s="10" t="str">
        <f>IF(ROW()-9&gt;ROWS(TimingTasks[WBS]),"",IF(AND(INDEX(TimingTasks[任务名称],ROW()-9)="",NOT(ISNUMBER(INDEX(TimingTasks[任务名称],ROW()-9)))),"",INDEX(TimingTasks[任务名称],ROW()-9)))</f>
        <v/>
      </c>
      <c r="C98" s="10" t="str">
        <f>IF(ROW()-9&gt;ROWS(TimingTasks[WBS]),"",IF(AND(INDEX(TimingTasks[负责人],ROW()-9)="",NOT(ISNUMBER(INDEX(TimingTasks[负责人],ROW()-9)))),"",INDEX(TimingTasks[负责人],ROW()-9)))</f>
        <v/>
      </c>
      <c r="D98" s="11" t="str">
        <f>IF(ROW()-9&gt;ROWS(TimingTasks[WBS]),"",IF(AND(INDEX(TimingTasks[输入开始],ROW()-9)="",NOT(ISNUMBER(INDEX(TimingTasks[输入开始],ROW()-9)))),"",INDEX(TimingTasks[输入开始],ROW()-9)))</f>
        <v/>
      </c>
      <c r="E98" s="11" t="str">
        <f>IF(ROW()-9&gt;ROWS(TimingTasks[WBS]),"",IF(AND(INDEX(TimingTasks[输入结束],ROW()-9)="",NOT(ISNUMBER(INDEX(TimingTasks[输入结束],ROW()-9)))),"",INDEX(TimingTasks[输入结束],ROW()-9)))</f>
        <v/>
      </c>
      <c r="F98" s="1" t="str">
        <f>IF(OR(P98=0,K98="汇总",D98="",E98="",E98&lt;D98),"",IF(I98="里程碑",0,NETWORKDAYS(D98,E98)))</f>
        <v/>
      </c>
      <c r="G98" s="15" t="str">
        <f>IF(ROW()-9&gt;ROWS(TimingTasks[WBS]),"",IF(AND(INDEX(TimingTasks[输入完成度],ROW()-9)="",NOT(ISNUMBER(INDEX(TimingTasks[输入完成度],ROW()-9)))),0,INDEX(TimingTasks[输入完成度],ROW()-9)))</f>
        <v/>
      </c>
      <c r="H98" s="10" t="str">
        <f>IF(ROW()-9&gt;ROWS(TimingTasks[WBS]),"",IF(AND(INDEX(TimingTasks[前置任务 WBS],ROW()-9)="",NOT(ISNUMBER(INDEX(TimingTasks[前置任务 WBS],ROW()-9)))),"",INDEX(TimingTasks[前置任务 WBS],ROW()-9)))</f>
        <v/>
      </c>
      <c r="I98" s="10" t="str">
        <f>IF(ROW()-9&gt;ROWS(TimingTasks[WBS]),"",IF(AND(INDEX(TimingTasks[叶子类型],ROW()-9)="",NOT(ISNUMBER(INDEX(TimingTasks[叶子类型],ROW()-9)))),"普通任务",INDEX(TimingTasks[叶子类型],ROW()-9)))</f>
        <v/>
      </c>
      <c r="J98" s="10" t="str">
        <f>IF(ROW()-9&gt;ROWS(TimingTasks[WBS]),"",IF(AND(INDEX(TimingTasks[操作],ROW()-9)="",NOT(ISNUMBER(INDEX(TimingTasks[操作],ROW()-9)))),"保留",INDEX(TimingTasks[操作],ROW()-9)))</f>
        <v/>
      </c>
      <c r="K98" s="1" t="str">
        <f>IF(P98=0,"",IF(OR(AND(L98=1,D98="",E98="",I98&lt;&gt;"里程碑"),COUNTIFS($S$10:$S$109,"&gt;"&amp;S98,$S$10:$S$109,"&lt;"&amp;(S98+IF(L98=1,1000000,IF(L98=2,1000,1))),$P$10:$P$109,1)&gt;0),"汇总",I98))</f>
        <v/>
      </c>
      <c r="L98" s="1" t="str">
        <f>IF(A98="","",LEN(("W"&amp;A98))-LEN(SUBSTITUTE(("W"&amp;A98),".",""))+1)</f>
        <v/>
      </c>
      <c r="M98" s="3" t="str">
        <f>IF(P98=0,"",IF(K98="汇总",IF(COUNTIFS($S$10:$S$109,"&gt;"&amp;S98,$S$10:$S$109,"&lt;"&amp;(S98+IF(L98=1,1000000,IF(L98=2,1000,1))),$AA$10:$AA$109,1)=0,"",_xlfn.MINIFS($Y$10:$Y$109,$S$10:$S$109,"&gt;"&amp;S98,$S$10:$S$109,"&lt;"&amp;(S98+IF(L98=1,1000000,IF(L98=2,1000,1))),$AA$10:$AA$109,1)),IF(AA98=1,D98,"")))</f>
        <v/>
      </c>
      <c r="N98" s="3" t="str">
        <f>IF(P98=0,"",IF(K98="汇总",IF(COUNTIFS($S$10:$S$109,"&gt;"&amp;S98,$S$10:$S$109,"&lt;"&amp;(S98+IF(L98=1,1000000,IF(L98=2,1000,1))),$AA$10:$AA$109,1)=0,"",_xlfn.MAXIFS($Z$10:$Z$109,$S$10:$S$109,"&gt;"&amp;S98,$S$10:$S$109,"&lt;"&amp;(S98+IF(L98=1,1000000,IF(L98=2,1000,1))),$AA$10:$AA$109,1)),IF(AA98=1,E98,"")))</f>
        <v/>
      </c>
      <c r="O98" s="7" t="str">
        <f>IF(K98="汇总",ROUND((IF(P98=0,"",IF(K98="汇总",IF(SUMIFS($Q$10:$Q$109,$S$10:$S$109,"&gt;"&amp;S98,$S$10:$S$109,"&lt;"&amp;(S98+IF(L98=1,1000000,IF(L98=2,1000,1))))=0,0,SUMIFS($R$10:$R$109,$S$10:$S$109,"&gt;"&amp;S98,$S$10:$S$109,"&lt;"&amp;(S98+IF(L98=1,1000000,IF(L98=2,1000,1))))/SUMIFS($Q$10:$Q$109,$S$10:$S$109,"&gt;"&amp;S98,$S$10:$S$109,"&lt;"&amp;(S98+IF(L98=1,1000000,IF(L98=2,1000,1))))),G98)))*100,0)/100,IF(P98=0,"",IF(K98="汇总",IF(SUMIFS($Q$10:$Q$109,$S$10:$S$109,"&gt;"&amp;S98,$S$10:$S$109,"&lt;"&amp;(S98+IF(L98=1,1000000,IF(L98=2,1000,1))))=0,0,SUMIFS($R$10:$R$109,$S$10:$S$109,"&gt;"&amp;S98,$S$10:$S$109,"&lt;"&amp;(S98+IF(L98=1,1000000,IF(L98=2,1000,1))))/SUMIFS($Q$10:$Q$109,$S$10:$S$109,"&gt;"&amp;S98,$S$10:$S$109,"&lt;"&amp;(S98+IF(L98=1,1000000,IF(L98=2,1000,1))))),G98)))</f>
        <v/>
      </c>
      <c r="P98" s="1">
        <f>IF(OR(A98="",B98="",J98="删除",AE98=0,COUNTIFS($AG$10:$AG$109,"W"&amp;A98)&lt;&gt;1,AND(L98&gt;1,COUNTIFS($AG$10:$AG$109,"W"&amp;V98,$B$10:$B$109,"&lt;&gt;")&lt;&gt;1),AND(L98=3,COUNTIFS($AG$10:$AG$109,"W"&amp;W98,$B$10:$B$109,"&lt;&gt;")&lt;&gt;1),COUNTIFS($AG$10:$AG$109,"W"&amp;V98,$J$10:$J$109,"删除")&gt;0,COUNTIFS($AG$10:$AG$109,"W"&amp;W98,$J$10:$J$109,"删除")&gt;0),0,1)</f>
        <v>0</v>
      </c>
      <c r="Q98" s="1">
        <f>IF(AA98=0,0,IF(I98="里程碑",1,F98))</f>
        <v>0</v>
      </c>
      <c r="R98" s="1">
        <f>IF(AA98=0,0,Q98*G98)</f>
        <v>0</v>
      </c>
      <c r="S98" s="1">
        <f>IF(P98=0,1000000000000000,AB98*1000000+AC98*1000+AD98)</f>
        <v>1000000000000000</v>
      </c>
      <c r="T98" s="1">
        <f>IF(P98=0,0,IF(Timing浏览!$D$5="全部",1,IF(Timing浏览!$D$5="仅里程碑",IF(K98="里程碑",1,0),IF(L98&lt;=VALUE(LEFT(Timing浏览!$D$5,1)),1,0))))</f>
        <v>0</v>
      </c>
      <c r="U98" s="1" t="str">
        <f>IF(T98=0,"",COUNTIFS($S$10:$S$109,"&lt;"&amp;S98,$T$10:$T$109,1)+1)</f>
        <v/>
      </c>
      <c r="V98" s="1" t="str">
        <f>IF(OR(A98="",L98=1),"",IF(L98=2,TEXT(AB98,"0"),TEXT(AB98,"0")&amp;"."&amp;TEXT(AC98,"0")))</f>
        <v/>
      </c>
      <c r="W98" s="1" t="str">
        <f>IF(OR(A98="",L98=1),"",TEXT(AB98,"0"))</f>
        <v/>
      </c>
      <c r="X98" s="1" t="str">
        <f>IF(AND(A98="",B98=""),"",IF(OR(A98="",B98=""),"请补编号和名称",IF(AE98=0,"编号需为1至3级正整数",IF(COUNTIFS($AG$10:$AG$109,"W"&amp;A98)&lt;&gt;1,"编号重复",IF(AND(L98&gt;1,COUNTIFS($AG$10:$AG$109,"W"&amp;V98,$B$10:$B$109,"&lt;&gt;")&lt;&gt;1),"缺少父任务",IF(J98="删除","待删除",IF(P98=0,"父任务已删除或无效",IF(K98="汇总",IF(COUNTIFS($S$10:$S$109,"&gt;"&amp;S98,$S$10:$S$109,"&lt;"&amp;(S98+IF(L98=1,1000000,IF(L98=2,1000,1))),$P$10:$P$109,1)=0,"等待子任务","由下级汇总"),IF(OR(D98="",E98=""),"待补日期",IF(E98&lt;D98,"结束早于开始",IF(AND(I98="里程碑",D98&lt;&gt;E98),"里程碑须同日","")))))))))))</f>
        <v/>
      </c>
      <c r="Y98" s="1">
        <f>IF(AA98=1,D98,100000000)</f>
        <v>100000000</v>
      </c>
      <c r="Z98" s="1">
        <f>IF(AA98=1,E98,0)</f>
        <v>0</v>
      </c>
      <c r="AA98" s="1">
        <f>IF(AND(P98=1,K98&lt;&gt;"汇总",ISNUMBER(F98),OR(I98&lt;&gt;"里程碑",D98=E98)),1,0)</f>
        <v>0</v>
      </c>
      <c r="AB98" s="1">
        <f>IF(A98="",0,IFERROR(VALUE(MID(("W"&amp;A98),2,FIND(".",("W"&amp;A98)&amp;".")-2)),-1))</f>
        <v>0</v>
      </c>
      <c r="AC98" s="1">
        <f>IF(OR(A98="",L98&lt;2),0,IFERROR(VALUE(MID(("W"&amp;A98),FIND(".",("W"&amp;A98))+1,FIND(".",("W"&amp;A98)&amp;".",FIND(".",("W"&amp;A98))+1)-FIND(".",("W"&amp;A98))-1)),-1))</f>
        <v>0</v>
      </c>
      <c r="AD98" s="1">
        <f>IF(OR(A98="",L98&lt;3),0,IFERROR(VALUE(RIGHT(("W"&amp;A98),LEN(("W"&amp;A98))-FIND(".",("W"&amp;A98),FIND(".",("W"&amp;A98))+1))),-1))</f>
        <v>0</v>
      </c>
      <c r="AE98" s="1">
        <f>IF(A98="",0,IF(AND(L98&lt;=3,AB98&gt;=1,AB98&lt;=999,AC98&gt;=0,AC98&lt;=999,AD98&gt;=0,AD98&lt;=999,A98=TEXT(AB98,"0")&amp;IF(L98&gt;1,"."&amp;TEXT(AC98,"0"),"")&amp;IF(L98&gt;2,"."&amp;TEXT(AD98,"0"),""),OR(L98&lt;2,AC98&gt;=1),OR(L98&lt;3,AD98&gt;=1)),1,0))</f>
        <v>0</v>
      </c>
      <c r="AF98" s="1"/>
      <c r="AG98" t="str">
        <f>"W"&amp;A98</f>
        <v>W</v>
      </c>
    </row>
    <row r="99" spans="1:33" ht="16.5">
      <c r="A99" s="12" t="str">
        <f>IF(ROW()-9&gt;ROWS(TimingTasks[WBS]),"",IF(AND(INDEX(TimingTasks[WBS],ROW()-9)="",NOT(ISNUMBER(INDEX(TimingTasks[WBS],ROW()-9)))),"",INDEX(TimingTasks[WBS],ROW()-9)))</f>
        <v/>
      </c>
      <c r="B99" s="10" t="str">
        <f>IF(ROW()-9&gt;ROWS(TimingTasks[WBS]),"",IF(AND(INDEX(TimingTasks[任务名称],ROW()-9)="",NOT(ISNUMBER(INDEX(TimingTasks[任务名称],ROW()-9)))),"",INDEX(TimingTasks[任务名称],ROW()-9)))</f>
        <v/>
      </c>
      <c r="C99" s="10" t="str">
        <f>IF(ROW()-9&gt;ROWS(TimingTasks[WBS]),"",IF(AND(INDEX(TimingTasks[负责人],ROW()-9)="",NOT(ISNUMBER(INDEX(TimingTasks[负责人],ROW()-9)))),"",INDEX(TimingTasks[负责人],ROW()-9)))</f>
        <v/>
      </c>
      <c r="D99" s="11" t="str">
        <f>IF(ROW()-9&gt;ROWS(TimingTasks[WBS]),"",IF(AND(INDEX(TimingTasks[输入开始],ROW()-9)="",NOT(ISNUMBER(INDEX(TimingTasks[输入开始],ROW()-9)))),"",INDEX(TimingTasks[输入开始],ROW()-9)))</f>
        <v/>
      </c>
      <c r="E99" s="11" t="str">
        <f>IF(ROW()-9&gt;ROWS(TimingTasks[WBS]),"",IF(AND(INDEX(TimingTasks[输入结束],ROW()-9)="",NOT(ISNUMBER(INDEX(TimingTasks[输入结束],ROW()-9)))),"",INDEX(TimingTasks[输入结束],ROW()-9)))</f>
        <v/>
      </c>
      <c r="F99" s="1" t="str">
        <f>IF(OR(P99=0,K99="汇总",D99="",E99="",E99&lt;D99),"",IF(I99="里程碑",0,NETWORKDAYS(D99,E99)))</f>
        <v/>
      </c>
      <c r="G99" s="15" t="str">
        <f>IF(ROW()-9&gt;ROWS(TimingTasks[WBS]),"",IF(AND(INDEX(TimingTasks[输入完成度],ROW()-9)="",NOT(ISNUMBER(INDEX(TimingTasks[输入完成度],ROW()-9)))),0,INDEX(TimingTasks[输入完成度],ROW()-9)))</f>
        <v/>
      </c>
      <c r="H99" s="10" t="str">
        <f>IF(ROW()-9&gt;ROWS(TimingTasks[WBS]),"",IF(AND(INDEX(TimingTasks[前置任务 WBS],ROW()-9)="",NOT(ISNUMBER(INDEX(TimingTasks[前置任务 WBS],ROW()-9)))),"",INDEX(TimingTasks[前置任务 WBS],ROW()-9)))</f>
        <v/>
      </c>
      <c r="I99" s="10" t="str">
        <f>IF(ROW()-9&gt;ROWS(TimingTasks[WBS]),"",IF(AND(INDEX(TimingTasks[叶子类型],ROW()-9)="",NOT(ISNUMBER(INDEX(TimingTasks[叶子类型],ROW()-9)))),"普通任务",INDEX(TimingTasks[叶子类型],ROW()-9)))</f>
        <v/>
      </c>
      <c r="J99" s="10" t="str">
        <f>IF(ROW()-9&gt;ROWS(TimingTasks[WBS]),"",IF(AND(INDEX(TimingTasks[操作],ROW()-9)="",NOT(ISNUMBER(INDEX(TimingTasks[操作],ROW()-9)))),"保留",INDEX(TimingTasks[操作],ROW()-9)))</f>
        <v/>
      </c>
      <c r="K99" s="1" t="str">
        <f>IF(P99=0,"",IF(OR(AND(L99=1,D99="",E99="",I99&lt;&gt;"里程碑"),COUNTIFS($S$10:$S$109,"&gt;"&amp;S99,$S$10:$S$109,"&lt;"&amp;(S99+IF(L99=1,1000000,IF(L99=2,1000,1))),$P$10:$P$109,1)&gt;0),"汇总",I99))</f>
        <v/>
      </c>
      <c r="L99" s="1" t="str">
        <f>IF(A99="","",LEN(("W"&amp;A99))-LEN(SUBSTITUTE(("W"&amp;A99),".",""))+1)</f>
        <v/>
      </c>
      <c r="M99" s="3" t="str">
        <f>IF(P99=0,"",IF(K99="汇总",IF(COUNTIFS($S$10:$S$109,"&gt;"&amp;S99,$S$10:$S$109,"&lt;"&amp;(S99+IF(L99=1,1000000,IF(L99=2,1000,1))),$AA$10:$AA$109,1)=0,"",_xlfn.MINIFS($Y$10:$Y$109,$S$10:$S$109,"&gt;"&amp;S99,$S$10:$S$109,"&lt;"&amp;(S99+IF(L99=1,1000000,IF(L99=2,1000,1))),$AA$10:$AA$109,1)),IF(AA99=1,D99,"")))</f>
        <v/>
      </c>
      <c r="N99" s="3" t="str">
        <f>IF(P99=0,"",IF(K99="汇总",IF(COUNTIFS($S$10:$S$109,"&gt;"&amp;S99,$S$10:$S$109,"&lt;"&amp;(S99+IF(L99=1,1000000,IF(L99=2,1000,1))),$AA$10:$AA$109,1)=0,"",_xlfn.MAXIFS($Z$10:$Z$109,$S$10:$S$109,"&gt;"&amp;S99,$S$10:$S$109,"&lt;"&amp;(S99+IF(L99=1,1000000,IF(L99=2,1000,1))),$AA$10:$AA$109,1)),IF(AA99=1,E99,"")))</f>
        <v/>
      </c>
      <c r="O99" s="7" t="str">
        <f>IF(K99="汇总",ROUND((IF(P99=0,"",IF(K99="汇总",IF(SUMIFS($Q$10:$Q$109,$S$10:$S$109,"&gt;"&amp;S99,$S$10:$S$109,"&lt;"&amp;(S99+IF(L99=1,1000000,IF(L99=2,1000,1))))=0,0,SUMIFS($R$10:$R$109,$S$10:$S$109,"&gt;"&amp;S99,$S$10:$S$109,"&lt;"&amp;(S99+IF(L99=1,1000000,IF(L99=2,1000,1))))/SUMIFS($Q$10:$Q$109,$S$10:$S$109,"&gt;"&amp;S99,$S$10:$S$109,"&lt;"&amp;(S99+IF(L99=1,1000000,IF(L99=2,1000,1))))),G99)))*100,0)/100,IF(P99=0,"",IF(K99="汇总",IF(SUMIFS($Q$10:$Q$109,$S$10:$S$109,"&gt;"&amp;S99,$S$10:$S$109,"&lt;"&amp;(S99+IF(L99=1,1000000,IF(L99=2,1000,1))))=0,0,SUMIFS($R$10:$R$109,$S$10:$S$109,"&gt;"&amp;S99,$S$10:$S$109,"&lt;"&amp;(S99+IF(L99=1,1000000,IF(L99=2,1000,1))))/SUMIFS($Q$10:$Q$109,$S$10:$S$109,"&gt;"&amp;S99,$S$10:$S$109,"&lt;"&amp;(S99+IF(L99=1,1000000,IF(L99=2,1000,1))))),G99)))</f>
        <v/>
      </c>
      <c r="P99" s="1">
        <f>IF(OR(A99="",B99="",J99="删除",AE99=0,COUNTIFS($AG$10:$AG$109,"W"&amp;A99)&lt;&gt;1,AND(L99&gt;1,COUNTIFS($AG$10:$AG$109,"W"&amp;V99,$B$10:$B$109,"&lt;&gt;")&lt;&gt;1),AND(L99=3,COUNTIFS($AG$10:$AG$109,"W"&amp;W99,$B$10:$B$109,"&lt;&gt;")&lt;&gt;1),COUNTIFS($AG$10:$AG$109,"W"&amp;V99,$J$10:$J$109,"删除")&gt;0,COUNTIFS($AG$10:$AG$109,"W"&amp;W99,$J$10:$J$109,"删除")&gt;0),0,1)</f>
        <v>0</v>
      </c>
      <c r="Q99" s="1">
        <f>IF(AA99=0,0,IF(I99="里程碑",1,F99))</f>
        <v>0</v>
      </c>
      <c r="R99" s="1">
        <f>IF(AA99=0,0,Q99*G99)</f>
        <v>0</v>
      </c>
      <c r="S99" s="1">
        <f>IF(P99=0,1000000000000000,AB99*1000000+AC99*1000+AD99)</f>
        <v>1000000000000000</v>
      </c>
      <c r="T99" s="1">
        <f>IF(P99=0,0,IF(Timing浏览!$D$5="全部",1,IF(Timing浏览!$D$5="仅里程碑",IF(K99="里程碑",1,0),IF(L99&lt;=VALUE(LEFT(Timing浏览!$D$5,1)),1,0))))</f>
        <v>0</v>
      </c>
      <c r="U99" s="1" t="str">
        <f>IF(T99=0,"",COUNTIFS($S$10:$S$109,"&lt;"&amp;S99,$T$10:$T$109,1)+1)</f>
        <v/>
      </c>
      <c r="V99" s="1" t="str">
        <f>IF(OR(A99="",L99=1),"",IF(L99=2,TEXT(AB99,"0"),TEXT(AB99,"0")&amp;"."&amp;TEXT(AC99,"0")))</f>
        <v/>
      </c>
      <c r="W99" s="1" t="str">
        <f>IF(OR(A99="",L99=1),"",TEXT(AB99,"0"))</f>
        <v/>
      </c>
      <c r="X99" s="1" t="str">
        <f>IF(AND(A99="",B99=""),"",IF(OR(A99="",B99=""),"请补编号和名称",IF(AE99=0,"编号需为1至3级正整数",IF(COUNTIFS($AG$10:$AG$109,"W"&amp;A99)&lt;&gt;1,"编号重复",IF(AND(L99&gt;1,COUNTIFS($AG$10:$AG$109,"W"&amp;V99,$B$10:$B$109,"&lt;&gt;")&lt;&gt;1),"缺少父任务",IF(J99="删除","待删除",IF(P99=0,"父任务已删除或无效",IF(K99="汇总",IF(COUNTIFS($S$10:$S$109,"&gt;"&amp;S99,$S$10:$S$109,"&lt;"&amp;(S99+IF(L99=1,1000000,IF(L99=2,1000,1))),$P$10:$P$109,1)=0,"等待子任务","由下级汇总"),IF(OR(D99="",E99=""),"待补日期",IF(E99&lt;D99,"结束早于开始",IF(AND(I99="里程碑",D99&lt;&gt;E99),"里程碑须同日","")))))))))))</f>
        <v/>
      </c>
      <c r="Y99" s="1">
        <f>IF(AA99=1,D99,100000000)</f>
        <v>100000000</v>
      </c>
      <c r="Z99" s="1">
        <f>IF(AA99=1,E99,0)</f>
        <v>0</v>
      </c>
      <c r="AA99" s="1">
        <f>IF(AND(P99=1,K99&lt;&gt;"汇总",ISNUMBER(F99),OR(I99&lt;&gt;"里程碑",D99=E99)),1,0)</f>
        <v>0</v>
      </c>
      <c r="AB99" s="1">
        <f>IF(A99="",0,IFERROR(VALUE(MID(("W"&amp;A99),2,FIND(".",("W"&amp;A99)&amp;".")-2)),-1))</f>
        <v>0</v>
      </c>
      <c r="AC99" s="1">
        <f>IF(OR(A99="",L99&lt;2),0,IFERROR(VALUE(MID(("W"&amp;A99),FIND(".",("W"&amp;A99))+1,FIND(".",("W"&amp;A99)&amp;".",FIND(".",("W"&amp;A99))+1)-FIND(".",("W"&amp;A99))-1)),-1))</f>
        <v>0</v>
      </c>
      <c r="AD99" s="1">
        <f>IF(OR(A99="",L99&lt;3),0,IFERROR(VALUE(RIGHT(("W"&amp;A99),LEN(("W"&amp;A99))-FIND(".",("W"&amp;A99),FIND(".",("W"&amp;A99))+1))),-1))</f>
        <v>0</v>
      </c>
      <c r="AE99" s="1">
        <f>IF(A99="",0,IF(AND(L99&lt;=3,AB99&gt;=1,AB99&lt;=999,AC99&gt;=0,AC99&lt;=999,AD99&gt;=0,AD99&lt;=999,A99=TEXT(AB99,"0")&amp;IF(L99&gt;1,"."&amp;TEXT(AC99,"0"),"")&amp;IF(L99&gt;2,"."&amp;TEXT(AD99,"0"),""),OR(L99&lt;2,AC99&gt;=1),OR(L99&lt;3,AD99&gt;=1)),1,0))</f>
        <v>0</v>
      </c>
      <c r="AF99" s="1"/>
      <c r="AG99" t="str">
        <f>"W"&amp;A99</f>
        <v>W</v>
      </c>
    </row>
    <row r="100" spans="1:33" ht="16.5">
      <c r="A100" s="12" t="str">
        <f>IF(ROW()-9&gt;ROWS(TimingTasks[WBS]),"",IF(AND(INDEX(TimingTasks[WBS],ROW()-9)="",NOT(ISNUMBER(INDEX(TimingTasks[WBS],ROW()-9)))),"",INDEX(TimingTasks[WBS],ROW()-9)))</f>
        <v/>
      </c>
      <c r="B100" s="10" t="str">
        <f>IF(ROW()-9&gt;ROWS(TimingTasks[WBS]),"",IF(AND(INDEX(TimingTasks[任务名称],ROW()-9)="",NOT(ISNUMBER(INDEX(TimingTasks[任务名称],ROW()-9)))),"",INDEX(TimingTasks[任务名称],ROW()-9)))</f>
        <v/>
      </c>
      <c r="C100" s="10" t="str">
        <f>IF(ROW()-9&gt;ROWS(TimingTasks[WBS]),"",IF(AND(INDEX(TimingTasks[负责人],ROW()-9)="",NOT(ISNUMBER(INDEX(TimingTasks[负责人],ROW()-9)))),"",INDEX(TimingTasks[负责人],ROW()-9)))</f>
        <v/>
      </c>
      <c r="D100" s="11" t="str">
        <f>IF(ROW()-9&gt;ROWS(TimingTasks[WBS]),"",IF(AND(INDEX(TimingTasks[输入开始],ROW()-9)="",NOT(ISNUMBER(INDEX(TimingTasks[输入开始],ROW()-9)))),"",INDEX(TimingTasks[输入开始],ROW()-9)))</f>
        <v/>
      </c>
      <c r="E100" s="11" t="str">
        <f>IF(ROW()-9&gt;ROWS(TimingTasks[WBS]),"",IF(AND(INDEX(TimingTasks[输入结束],ROW()-9)="",NOT(ISNUMBER(INDEX(TimingTasks[输入结束],ROW()-9)))),"",INDEX(TimingTasks[输入结束],ROW()-9)))</f>
        <v/>
      </c>
      <c r="F100" s="1" t="str">
        <f>IF(OR(P100=0,K100="汇总",D100="",E100="",E100&lt;D100),"",IF(I100="里程碑",0,NETWORKDAYS(D100,E100)))</f>
        <v/>
      </c>
      <c r="G100" s="15" t="str">
        <f>IF(ROW()-9&gt;ROWS(TimingTasks[WBS]),"",IF(AND(INDEX(TimingTasks[输入完成度],ROW()-9)="",NOT(ISNUMBER(INDEX(TimingTasks[输入完成度],ROW()-9)))),0,INDEX(TimingTasks[输入完成度],ROW()-9)))</f>
        <v/>
      </c>
      <c r="H100" s="10" t="str">
        <f>IF(ROW()-9&gt;ROWS(TimingTasks[WBS]),"",IF(AND(INDEX(TimingTasks[前置任务 WBS],ROW()-9)="",NOT(ISNUMBER(INDEX(TimingTasks[前置任务 WBS],ROW()-9)))),"",INDEX(TimingTasks[前置任务 WBS],ROW()-9)))</f>
        <v/>
      </c>
      <c r="I100" s="10" t="str">
        <f>IF(ROW()-9&gt;ROWS(TimingTasks[WBS]),"",IF(AND(INDEX(TimingTasks[叶子类型],ROW()-9)="",NOT(ISNUMBER(INDEX(TimingTasks[叶子类型],ROW()-9)))),"普通任务",INDEX(TimingTasks[叶子类型],ROW()-9)))</f>
        <v/>
      </c>
      <c r="J100" s="10" t="str">
        <f>IF(ROW()-9&gt;ROWS(TimingTasks[WBS]),"",IF(AND(INDEX(TimingTasks[操作],ROW()-9)="",NOT(ISNUMBER(INDEX(TimingTasks[操作],ROW()-9)))),"保留",INDEX(TimingTasks[操作],ROW()-9)))</f>
        <v/>
      </c>
      <c r="K100" s="1" t="str">
        <f>IF(P100=0,"",IF(OR(AND(L100=1,D100="",E100="",I100&lt;&gt;"里程碑"),COUNTIFS($S$10:$S$109,"&gt;"&amp;S100,$S$10:$S$109,"&lt;"&amp;(S100+IF(L100=1,1000000,IF(L100=2,1000,1))),$P$10:$P$109,1)&gt;0),"汇总",I100))</f>
        <v/>
      </c>
      <c r="L100" s="1" t="str">
        <f>IF(A100="","",LEN(("W"&amp;A100))-LEN(SUBSTITUTE(("W"&amp;A100),".",""))+1)</f>
        <v/>
      </c>
      <c r="M100" s="3" t="str">
        <f>IF(P100=0,"",IF(K100="汇总",IF(COUNTIFS($S$10:$S$109,"&gt;"&amp;S100,$S$10:$S$109,"&lt;"&amp;(S100+IF(L100=1,1000000,IF(L100=2,1000,1))),$AA$10:$AA$109,1)=0,"",_xlfn.MINIFS($Y$10:$Y$109,$S$10:$S$109,"&gt;"&amp;S100,$S$10:$S$109,"&lt;"&amp;(S100+IF(L100=1,1000000,IF(L100=2,1000,1))),$AA$10:$AA$109,1)),IF(AA100=1,D100,"")))</f>
        <v/>
      </c>
      <c r="N100" s="3" t="str">
        <f>IF(P100=0,"",IF(K100="汇总",IF(COUNTIFS($S$10:$S$109,"&gt;"&amp;S100,$S$10:$S$109,"&lt;"&amp;(S100+IF(L100=1,1000000,IF(L100=2,1000,1))),$AA$10:$AA$109,1)=0,"",_xlfn.MAXIFS($Z$10:$Z$109,$S$10:$S$109,"&gt;"&amp;S100,$S$10:$S$109,"&lt;"&amp;(S100+IF(L100=1,1000000,IF(L100=2,1000,1))),$AA$10:$AA$109,1)),IF(AA100=1,E100,"")))</f>
        <v/>
      </c>
      <c r="O100" s="7" t="str">
        <f>IF(K100="汇总",ROUND((IF(P100=0,"",IF(K100="汇总",IF(SUMIFS($Q$10:$Q$109,$S$10:$S$109,"&gt;"&amp;S100,$S$10:$S$109,"&lt;"&amp;(S100+IF(L100=1,1000000,IF(L100=2,1000,1))))=0,0,SUMIFS($R$10:$R$109,$S$10:$S$109,"&gt;"&amp;S100,$S$10:$S$109,"&lt;"&amp;(S100+IF(L100=1,1000000,IF(L100=2,1000,1))))/SUMIFS($Q$10:$Q$109,$S$10:$S$109,"&gt;"&amp;S100,$S$10:$S$109,"&lt;"&amp;(S100+IF(L100=1,1000000,IF(L100=2,1000,1))))),G100)))*100,0)/100,IF(P100=0,"",IF(K100="汇总",IF(SUMIFS($Q$10:$Q$109,$S$10:$S$109,"&gt;"&amp;S100,$S$10:$S$109,"&lt;"&amp;(S100+IF(L100=1,1000000,IF(L100=2,1000,1))))=0,0,SUMIFS($R$10:$R$109,$S$10:$S$109,"&gt;"&amp;S100,$S$10:$S$109,"&lt;"&amp;(S100+IF(L100=1,1000000,IF(L100=2,1000,1))))/SUMIFS($Q$10:$Q$109,$S$10:$S$109,"&gt;"&amp;S100,$S$10:$S$109,"&lt;"&amp;(S100+IF(L100=1,1000000,IF(L100=2,1000,1))))),G100)))</f>
        <v/>
      </c>
      <c r="P100" s="1">
        <f>IF(OR(A100="",B100="",J100="删除",AE100=0,COUNTIFS($AG$10:$AG$109,"W"&amp;A100)&lt;&gt;1,AND(L100&gt;1,COUNTIFS($AG$10:$AG$109,"W"&amp;V100,$B$10:$B$109,"&lt;&gt;")&lt;&gt;1),AND(L100=3,COUNTIFS($AG$10:$AG$109,"W"&amp;W100,$B$10:$B$109,"&lt;&gt;")&lt;&gt;1),COUNTIFS($AG$10:$AG$109,"W"&amp;V100,$J$10:$J$109,"删除")&gt;0,COUNTIFS($AG$10:$AG$109,"W"&amp;W100,$J$10:$J$109,"删除")&gt;0),0,1)</f>
        <v>0</v>
      </c>
      <c r="Q100" s="1">
        <f>IF(AA100=0,0,IF(I100="里程碑",1,F100))</f>
        <v>0</v>
      </c>
      <c r="R100" s="1">
        <f>IF(AA100=0,0,Q100*G100)</f>
        <v>0</v>
      </c>
      <c r="S100" s="1">
        <f>IF(P100=0,1000000000000000,AB100*1000000+AC100*1000+AD100)</f>
        <v>1000000000000000</v>
      </c>
      <c r="T100" s="1">
        <f>IF(P100=0,0,IF(Timing浏览!$D$5="全部",1,IF(Timing浏览!$D$5="仅里程碑",IF(K100="里程碑",1,0),IF(L100&lt;=VALUE(LEFT(Timing浏览!$D$5,1)),1,0))))</f>
        <v>0</v>
      </c>
      <c r="U100" s="1" t="str">
        <f>IF(T100=0,"",COUNTIFS($S$10:$S$109,"&lt;"&amp;S100,$T$10:$T$109,1)+1)</f>
        <v/>
      </c>
      <c r="V100" s="1" t="str">
        <f>IF(OR(A100="",L100=1),"",IF(L100=2,TEXT(AB100,"0"),TEXT(AB100,"0")&amp;"."&amp;TEXT(AC100,"0")))</f>
        <v/>
      </c>
      <c r="W100" s="1" t="str">
        <f>IF(OR(A100="",L100=1),"",TEXT(AB100,"0"))</f>
        <v/>
      </c>
      <c r="X100" s="1" t="str">
        <f>IF(AND(A100="",B100=""),"",IF(OR(A100="",B100=""),"请补编号和名称",IF(AE100=0,"编号需为1至3级正整数",IF(COUNTIFS($AG$10:$AG$109,"W"&amp;A100)&lt;&gt;1,"编号重复",IF(AND(L100&gt;1,COUNTIFS($AG$10:$AG$109,"W"&amp;V100,$B$10:$B$109,"&lt;&gt;")&lt;&gt;1),"缺少父任务",IF(J100="删除","待删除",IF(P100=0,"父任务已删除或无效",IF(K100="汇总",IF(COUNTIFS($S$10:$S$109,"&gt;"&amp;S100,$S$10:$S$109,"&lt;"&amp;(S100+IF(L100=1,1000000,IF(L100=2,1000,1))),$P$10:$P$109,1)=0,"等待子任务","由下级汇总"),IF(OR(D100="",E100=""),"待补日期",IF(E100&lt;D100,"结束早于开始",IF(AND(I100="里程碑",D100&lt;&gt;E100),"里程碑须同日","")))))))))))</f>
        <v/>
      </c>
      <c r="Y100" s="1">
        <f>IF(AA100=1,D100,100000000)</f>
        <v>100000000</v>
      </c>
      <c r="Z100" s="1">
        <f>IF(AA100=1,E100,0)</f>
        <v>0</v>
      </c>
      <c r="AA100" s="1">
        <f>IF(AND(P100=1,K100&lt;&gt;"汇总",ISNUMBER(F100),OR(I100&lt;&gt;"里程碑",D100=E100)),1,0)</f>
        <v>0</v>
      </c>
      <c r="AB100" s="1">
        <f>IF(A100="",0,IFERROR(VALUE(MID(("W"&amp;A100),2,FIND(".",("W"&amp;A100)&amp;".")-2)),-1))</f>
        <v>0</v>
      </c>
      <c r="AC100" s="1">
        <f>IF(OR(A100="",L100&lt;2),0,IFERROR(VALUE(MID(("W"&amp;A100),FIND(".",("W"&amp;A100))+1,FIND(".",("W"&amp;A100)&amp;".",FIND(".",("W"&amp;A100))+1)-FIND(".",("W"&amp;A100))-1)),-1))</f>
        <v>0</v>
      </c>
      <c r="AD100" s="1">
        <f>IF(OR(A100="",L100&lt;3),0,IFERROR(VALUE(RIGHT(("W"&amp;A100),LEN(("W"&amp;A100))-FIND(".",("W"&amp;A100),FIND(".",("W"&amp;A100))+1))),-1))</f>
        <v>0</v>
      </c>
      <c r="AE100" s="1">
        <f>IF(A100="",0,IF(AND(L100&lt;=3,AB100&gt;=1,AB100&lt;=999,AC100&gt;=0,AC100&lt;=999,AD100&gt;=0,AD100&lt;=999,A100=TEXT(AB100,"0")&amp;IF(L100&gt;1,"."&amp;TEXT(AC100,"0"),"")&amp;IF(L100&gt;2,"."&amp;TEXT(AD100,"0"),""),OR(L100&lt;2,AC100&gt;=1),OR(L100&lt;3,AD100&gt;=1)),1,0))</f>
        <v>0</v>
      </c>
      <c r="AF100" s="1"/>
      <c r="AG100" t="str">
        <f>"W"&amp;A100</f>
        <v>W</v>
      </c>
    </row>
    <row r="101" spans="1:33" ht="16.5">
      <c r="A101" s="12" t="str">
        <f>IF(ROW()-9&gt;ROWS(TimingTasks[WBS]),"",IF(AND(INDEX(TimingTasks[WBS],ROW()-9)="",NOT(ISNUMBER(INDEX(TimingTasks[WBS],ROW()-9)))),"",INDEX(TimingTasks[WBS],ROW()-9)))</f>
        <v/>
      </c>
      <c r="B101" s="10" t="str">
        <f>IF(ROW()-9&gt;ROWS(TimingTasks[WBS]),"",IF(AND(INDEX(TimingTasks[任务名称],ROW()-9)="",NOT(ISNUMBER(INDEX(TimingTasks[任务名称],ROW()-9)))),"",INDEX(TimingTasks[任务名称],ROW()-9)))</f>
        <v/>
      </c>
      <c r="C101" s="10" t="str">
        <f>IF(ROW()-9&gt;ROWS(TimingTasks[WBS]),"",IF(AND(INDEX(TimingTasks[负责人],ROW()-9)="",NOT(ISNUMBER(INDEX(TimingTasks[负责人],ROW()-9)))),"",INDEX(TimingTasks[负责人],ROW()-9)))</f>
        <v/>
      </c>
      <c r="D101" s="11" t="str">
        <f>IF(ROW()-9&gt;ROWS(TimingTasks[WBS]),"",IF(AND(INDEX(TimingTasks[输入开始],ROW()-9)="",NOT(ISNUMBER(INDEX(TimingTasks[输入开始],ROW()-9)))),"",INDEX(TimingTasks[输入开始],ROW()-9)))</f>
        <v/>
      </c>
      <c r="E101" s="11" t="str">
        <f>IF(ROW()-9&gt;ROWS(TimingTasks[WBS]),"",IF(AND(INDEX(TimingTasks[输入结束],ROW()-9)="",NOT(ISNUMBER(INDEX(TimingTasks[输入结束],ROW()-9)))),"",INDEX(TimingTasks[输入结束],ROW()-9)))</f>
        <v/>
      </c>
      <c r="F101" s="1" t="str">
        <f>IF(OR(P101=0,K101="汇总",D101="",E101="",E101&lt;D101),"",IF(I101="里程碑",0,NETWORKDAYS(D101,E101)))</f>
        <v/>
      </c>
      <c r="G101" s="15" t="str">
        <f>IF(ROW()-9&gt;ROWS(TimingTasks[WBS]),"",IF(AND(INDEX(TimingTasks[输入完成度],ROW()-9)="",NOT(ISNUMBER(INDEX(TimingTasks[输入完成度],ROW()-9)))),0,INDEX(TimingTasks[输入完成度],ROW()-9)))</f>
        <v/>
      </c>
      <c r="H101" s="10" t="str">
        <f>IF(ROW()-9&gt;ROWS(TimingTasks[WBS]),"",IF(AND(INDEX(TimingTasks[前置任务 WBS],ROW()-9)="",NOT(ISNUMBER(INDEX(TimingTasks[前置任务 WBS],ROW()-9)))),"",INDEX(TimingTasks[前置任务 WBS],ROW()-9)))</f>
        <v/>
      </c>
      <c r="I101" s="10" t="str">
        <f>IF(ROW()-9&gt;ROWS(TimingTasks[WBS]),"",IF(AND(INDEX(TimingTasks[叶子类型],ROW()-9)="",NOT(ISNUMBER(INDEX(TimingTasks[叶子类型],ROW()-9)))),"普通任务",INDEX(TimingTasks[叶子类型],ROW()-9)))</f>
        <v/>
      </c>
      <c r="J101" s="10" t="str">
        <f>IF(ROW()-9&gt;ROWS(TimingTasks[WBS]),"",IF(AND(INDEX(TimingTasks[操作],ROW()-9)="",NOT(ISNUMBER(INDEX(TimingTasks[操作],ROW()-9)))),"保留",INDEX(TimingTasks[操作],ROW()-9)))</f>
        <v/>
      </c>
      <c r="K101" s="1" t="str">
        <f>IF(P101=0,"",IF(OR(AND(L101=1,D101="",E101="",I101&lt;&gt;"里程碑"),COUNTIFS($S$10:$S$109,"&gt;"&amp;S101,$S$10:$S$109,"&lt;"&amp;(S101+IF(L101=1,1000000,IF(L101=2,1000,1))),$P$10:$P$109,1)&gt;0),"汇总",I101))</f>
        <v/>
      </c>
      <c r="L101" s="1" t="str">
        <f>IF(A101="","",LEN(("W"&amp;A101))-LEN(SUBSTITUTE(("W"&amp;A101),".",""))+1)</f>
        <v/>
      </c>
      <c r="M101" s="3" t="str">
        <f>IF(P101=0,"",IF(K101="汇总",IF(COUNTIFS($S$10:$S$109,"&gt;"&amp;S101,$S$10:$S$109,"&lt;"&amp;(S101+IF(L101=1,1000000,IF(L101=2,1000,1))),$AA$10:$AA$109,1)=0,"",_xlfn.MINIFS($Y$10:$Y$109,$S$10:$S$109,"&gt;"&amp;S101,$S$10:$S$109,"&lt;"&amp;(S101+IF(L101=1,1000000,IF(L101=2,1000,1))),$AA$10:$AA$109,1)),IF(AA101=1,D101,"")))</f>
        <v/>
      </c>
      <c r="N101" s="3" t="str">
        <f>IF(P101=0,"",IF(K101="汇总",IF(COUNTIFS($S$10:$S$109,"&gt;"&amp;S101,$S$10:$S$109,"&lt;"&amp;(S101+IF(L101=1,1000000,IF(L101=2,1000,1))),$AA$10:$AA$109,1)=0,"",_xlfn.MAXIFS($Z$10:$Z$109,$S$10:$S$109,"&gt;"&amp;S101,$S$10:$S$109,"&lt;"&amp;(S101+IF(L101=1,1000000,IF(L101=2,1000,1))),$AA$10:$AA$109,1)),IF(AA101=1,E101,"")))</f>
        <v/>
      </c>
      <c r="O101" s="7" t="str">
        <f>IF(K101="汇总",ROUND((IF(P101=0,"",IF(K101="汇总",IF(SUMIFS($Q$10:$Q$109,$S$10:$S$109,"&gt;"&amp;S101,$S$10:$S$109,"&lt;"&amp;(S101+IF(L101=1,1000000,IF(L101=2,1000,1))))=0,0,SUMIFS($R$10:$R$109,$S$10:$S$109,"&gt;"&amp;S101,$S$10:$S$109,"&lt;"&amp;(S101+IF(L101=1,1000000,IF(L101=2,1000,1))))/SUMIFS($Q$10:$Q$109,$S$10:$S$109,"&gt;"&amp;S101,$S$10:$S$109,"&lt;"&amp;(S101+IF(L101=1,1000000,IF(L101=2,1000,1))))),G101)))*100,0)/100,IF(P101=0,"",IF(K101="汇总",IF(SUMIFS($Q$10:$Q$109,$S$10:$S$109,"&gt;"&amp;S101,$S$10:$S$109,"&lt;"&amp;(S101+IF(L101=1,1000000,IF(L101=2,1000,1))))=0,0,SUMIFS($R$10:$R$109,$S$10:$S$109,"&gt;"&amp;S101,$S$10:$S$109,"&lt;"&amp;(S101+IF(L101=1,1000000,IF(L101=2,1000,1))))/SUMIFS($Q$10:$Q$109,$S$10:$S$109,"&gt;"&amp;S101,$S$10:$S$109,"&lt;"&amp;(S101+IF(L101=1,1000000,IF(L101=2,1000,1))))),G101)))</f>
        <v/>
      </c>
      <c r="P101" s="1">
        <f>IF(OR(A101="",B101="",J101="删除",AE101=0,COUNTIFS($AG$10:$AG$109,"W"&amp;A101)&lt;&gt;1,AND(L101&gt;1,COUNTIFS($AG$10:$AG$109,"W"&amp;V101,$B$10:$B$109,"&lt;&gt;")&lt;&gt;1),AND(L101=3,COUNTIFS($AG$10:$AG$109,"W"&amp;W101,$B$10:$B$109,"&lt;&gt;")&lt;&gt;1),COUNTIFS($AG$10:$AG$109,"W"&amp;V101,$J$10:$J$109,"删除")&gt;0,COUNTIFS($AG$10:$AG$109,"W"&amp;W101,$J$10:$J$109,"删除")&gt;0),0,1)</f>
        <v>0</v>
      </c>
      <c r="Q101" s="1">
        <f>IF(AA101=0,0,IF(I101="里程碑",1,F101))</f>
        <v>0</v>
      </c>
      <c r="R101" s="1">
        <f>IF(AA101=0,0,Q101*G101)</f>
        <v>0</v>
      </c>
      <c r="S101" s="1">
        <f>IF(P101=0,1000000000000000,AB101*1000000+AC101*1000+AD101)</f>
        <v>1000000000000000</v>
      </c>
      <c r="T101" s="1">
        <f>IF(P101=0,0,IF(Timing浏览!$D$5="全部",1,IF(Timing浏览!$D$5="仅里程碑",IF(K101="里程碑",1,0),IF(L101&lt;=VALUE(LEFT(Timing浏览!$D$5,1)),1,0))))</f>
        <v>0</v>
      </c>
      <c r="U101" s="1" t="str">
        <f>IF(T101=0,"",COUNTIFS($S$10:$S$109,"&lt;"&amp;S101,$T$10:$T$109,1)+1)</f>
        <v/>
      </c>
      <c r="V101" s="1" t="str">
        <f>IF(OR(A101="",L101=1),"",IF(L101=2,TEXT(AB101,"0"),TEXT(AB101,"0")&amp;"."&amp;TEXT(AC101,"0")))</f>
        <v/>
      </c>
      <c r="W101" s="1" t="str">
        <f>IF(OR(A101="",L101=1),"",TEXT(AB101,"0"))</f>
        <v/>
      </c>
      <c r="X101" s="1" t="str">
        <f>IF(AND(A101="",B101=""),"",IF(OR(A101="",B101=""),"请补编号和名称",IF(AE101=0,"编号需为1至3级正整数",IF(COUNTIFS($AG$10:$AG$109,"W"&amp;A101)&lt;&gt;1,"编号重复",IF(AND(L101&gt;1,COUNTIFS($AG$10:$AG$109,"W"&amp;V101,$B$10:$B$109,"&lt;&gt;")&lt;&gt;1),"缺少父任务",IF(J101="删除","待删除",IF(P101=0,"父任务已删除或无效",IF(K101="汇总",IF(COUNTIFS($S$10:$S$109,"&gt;"&amp;S101,$S$10:$S$109,"&lt;"&amp;(S101+IF(L101=1,1000000,IF(L101=2,1000,1))),$P$10:$P$109,1)=0,"等待子任务","由下级汇总"),IF(OR(D101="",E101=""),"待补日期",IF(E101&lt;D101,"结束早于开始",IF(AND(I101="里程碑",D101&lt;&gt;E101),"里程碑须同日","")))))))))))</f>
        <v/>
      </c>
      <c r="Y101" s="1">
        <f>IF(AA101=1,D101,100000000)</f>
        <v>100000000</v>
      </c>
      <c r="Z101" s="1">
        <f>IF(AA101=1,E101,0)</f>
        <v>0</v>
      </c>
      <c r="AA101" s="1">
        <f>IF(AND(P101=1,K101&lt;&gt;"汇总",ISNUMBER(F101),OR(I101&lt;&gt;"里程碑",D101=E101)),1,0)</f>
        <v>0</v>
      </c>
      <c r="AB101" s="1">
        <f>IF(A101="",0,IFERROR(VALUE(MID(("W"&amp;A101),2,FIND(".",("W"&amp;A101)&amp;".")-2)),-1))</f>
        <v>0</v>
      </c>
      <c r="AC101" s="1">
        <f>IF(OR(A101="",L101&lt;2),0,IFERROR(VALUE(MID(("W"&amp;A101),FIND(".",("W"&amp;A101))+1,FIND(".",("W"&amp;A101)&amp;".",FIND(".",("W"&amp;A101))+1)-FIND(".",("W"&amp;A101))-1)),-1))</f>
        <v>0</v>
      </c>
      <c r="AD101" s="1">
        <f>IF(OR(A101="",L101&lt;3),0,IFERROR(VALUE(RIGHT(("W"&amp;A101),LEN(("W"&amp;A101))-FIND(".",("W"&amp;A101),FIND(".",("W"&amp;A101))+1))),-1))</f>
        <v>0</v>
      </c>
      <c r="AE101" s="1">
        <f>IF(A101="",0,IF(AND(L101&lt;=3,AB101&gt;=1,AB101&lt;=999,AC101&gt;=0,AC101&lt;=999,AD101&gt;=0,AD101&lt;=999,A101=TEXT(AB101,"0")&amp;IF(L101&gt;1,"."&amp;TEXT(AC101,"0"),"")&amp;IF(L101&gt;2,"."&amp;TEXT(AD101,"0"),""),OR(L101&lt;2,AC101&gt;=1),OR(L101&lt;3,AD101&gt;=1)),1,0))</f>
        <v>0</v>
      </c>
      <c r="AF101" s="1"/>
      <c r="AG101" t="str">
        <f>"W"&amp;A101</f>
        <v>W</v>
      </c>
    </row>
    <row r="102" spans="1:33" ht="16.5">
      <c r="A102" s="12" t="str">
        <f>IF(ROW()-9&gt;ROWS(TimingTasks[WBS]),"",IF(AND(INDEX(TimingTasks[WBS],ROW()-9)="",NOT(ISNUMBER(INDEX(TimingTasks[WBS],ROW()-9)))),"",INDEX(TimingTasks[WBS],ROW()-9)))</f>
        <v/>
      </c>
      <c r="B102" s="10" t="str">
        <f>IF(ROW()-9&gt;ROWS(TimingTasks[WBS]),"",IF(AND(INDEX(TimingTasks[任务名称],ROW()-9)="",NOT(ISNUMBER(INDEX(TimingTasks[任务名称],ROW()-9)))),"",INDEX(TimingTasks[任务名称],ROW()-9)))</f>
        <v/>
      </c>
      <c r="C102" s="10" t="str">
        <f>IF(ROW()-9&gt;ROWS(TimingTasks[WBS]),"",IF(AND(INDEX(TimingTasks[负责人],ROW()-9)="",NOT(ISNUMBER(INDEX(TimingTasks[负责人],ROW()-9)))),"",INDEX(TimingTasks[负责人],ROW()-9)))</f>
        <v/>
      </c>
      <c r="D102" s="11" t="str">
        <f>IF(ROW()-9&gt;ROWS(TimingTasks[WBS]),"",IF(AND(INDEX(TimingTasks[输入开始],ROW()-9)="",NOT(ISNUMBER(INDEX(TimingTasks[输入开始],ROW()-9)))),"",INDEX(TimingTasks[输入开始],ROW()-9)))</f>
        <v/>
      </c>
      <c r="E102" s="11" t="str">
        <f>IF(ROW()-9&gt;ROWS(TimingTasks[WBS]),"",IF(AND(INDEX(TimingTasks[输入结束],ROW()-9)="",NOT(ISNUMBER(INDEX(TimingTasks[输入结束],ROW()-9)))),"",INDEX(TimingTasks[输入结束],ROW()-9)))</f>
        <v/>
      </c>
      <c r="F102" s="1" t="str">
        <f>IF(OR(P102=0,K102="汇总",D102="",E102="",E102&lt;D102),"",IF(I102="里程碑",0,NETWORKDAYS(D102,E102)))</f>
        <v/>
      </c>
      <c r="G102" s="15" t="str">
        <f>IF(ROW()-9&gt;ROWS(TimingTasks[WBS]),"",IF(AND(INDEX(TimingTasks[输入完成度],ROW()-9)="",NOT(ISNUMBER(INDEX(TimingTasks[输入完成度],ROW()-9)))),0,INDEX(TimingTasks[输入完成度],ROW()-9)))</f>
        <v/>
      </c>
      <c r="H102" s="10" t="str">
        <f>IF(ROW()-9&gt;ROWS(TimingTasks[WBS]),"",IF(AND(INDEX(TimingTasks[前置任务 WBS],ROW()-9)="",NOT(ISNUMBER(INDEX(TimingTasks[前置任务 WBS],ROW()-9)))),"",INDEX(TimingTasks[前置任务 WBS],ROW()-9)))</f>
        <v/>
      </c>
      <c r="I102" s="10" t="str">
        <f>IF(ROW()-9&gt;ROWS(TimingTasks[WBS]),"",IF(AND(INDEX(TimingTasks[叶子类型],ROW()-9)="",NOT(ISNUMBER(INDEX(TimingTasks[叶子类型],ROW()-9)))),"普通任务",INDEX(TimingTasks[叶子类型],ROW()-9)))</f>
        <v/>
      </c>
      <c r="J102" s="10" t="str">
        <f>IF(ROW()-9&gt;ROWS(TimingTasks[WBS]),"",IF(AND(INDEX(TimingTasks[操作],ROW()-9)="",NOT(ISNUMBER(INDEX(TimingTasks[操作],ROW()-9)))),"保留",INDEX(TimingTasks[操作],ROW()-9)))</f>
        <v/>
      </c>
      <c r="K102" s="1" t="str">
        <f>IF(P102=0,"",IF(OR(AND(L102=1,D102="",E102="",I102&lt;&gt;"里程碑"),COUNTIFS($S$10:$S$109,"&gt;"&amp;S102,$S$10:$S$109,"&lt;"&amp;(S102+IF(L102=1,1000000,IF(L102=2,1000,1))),$P$10:$P$109,1)&gt;0),"汇总",I102))</f>
        <v/>
      </c>
      <c r="L102" s="1" t="str">
        <f>IF(A102="","",LEN(("W"&amp;A102))-LEN(SUBSTITUTE(("W"&amp;A102),".",""))+1)</f>
        <v/>
      </c>
      <c r="M102" s="3" t="str">
        <f>IF(P102=0,"",IF(K102="汇总",IF(COUNTIFS($S$10:$S$109,"&gt;"&amp;S102,$S$10:$S$109,"&lt;"&amp;(S102+IF(L102=1,1000000,IF(L102=2,1000,1))),$AA$10:$AA$109,1)=0,"",_xlfn.MINIFS($Y$10:$Y$109,$S$10:$S$109,"&gt;"&amp;S102,$S$10:$S$109,"&lt;"&amp;(S102+IF(L102=1,1000000,IF(L102=2,1000,1))),$AA$10:$AA$109,1)),IF(AA102=1,D102,"")))</f>
        <v/>
      </c>
      <c r="N102" s="3" t="str">
        <f>IF(P102=0,"",IF(K102="汇总",IF(COUNTIFS($S$10:$S$109,"&gt;"&amp;S102,$S$10:$S$109,"&lt;"&amp;(S102+IF(L102=1,1000000,IF(L102=2,1000,1))),$AA$10:$AA$109,1)=0,"",_xlfn.MAXIFS($Z$10:$Z$109,$S$10:$S$109,"&gt;"&amp;S102,$S$10:$S$109,"&lt;"&amp;(S102+IF(L102=1,1000000,IF(L102=2,1000,1))),$AA$10:$AA$109,1)),IF(AA102=1,E102,"")))</f>
        <v/>
      </c>
      <c r="O102" s="7" t="str">
        <f>IF(K102="汇总",ROUND((IF(P102=0,"",IF(K102="汇总",IF(SUMIFS($Q$10:$Q$109,$S$10:$S$109,"&gt;"&amp;S102,$S$10:$S$109,"&lt;"&amp;(S102+IF(L102=1,1000000,IF(L102=2,1000,1))))=0,0,SUMIFS($R$10:$R$109,$S$10:$S$109,"&gt;"&amp;S102,$S$10:$S$109,"&lt;"&amp;(S102+IF(L102=1,1000000,IF(L102=2,1000,1))))/SUMIFS($Q$10:$Q$109,$S$10:$S$109,"&gt;"&amp;S102,$S$10:$S$109,"&lt;"&amp;(S102+IF(L102=1,1000000,IF(L102=2,1000,1))))),G102)))*100,0)/100,IF(P102=0,"",IF(K102="汇总",IF(SUMIFS($Q$10:$Q$109,$S$10:$S$109,"&gt;"&amp;S102,$S$10:$S$109,"&lt;"&amp;(S102+IF(L102=1,1000000,IF(L102=2,1000,1))))=0,0,SUMIFS($R$10:$R$109,$S$10:$S$109,"&gt;"&amp;S102,$S$10:$S$109,"&lt;"&amp;(S102+IF(L102=1,1000000,IF(L102=2,1000,1))))/SUMIFS($Q$10:$Q$109,$S$10:$S$109,"&gt;"&amp;S102,$S$10:$S$109,"&lt;"&amp;(S102+IF(L102=1,1000000,IF(L102=2,1000,1))))),G102)))</f>
        <v/>
      </c>
      <c r="P102" s="1">
        <f>IF(OR(A102="",B102="",J102="删除",AE102=0,COUNTIFS($AG$10:$AG$109,"W"&amp;A102)&lt;&gt;1,AND(L102&gt;1,COUNTIFS($AG$10:$AG$109,"W"&amp;V102,$B$10:$B$109,"&lt;&gt;")&lt;&gt;1),AND(L102=3,COUNTIFS($AG$10:$AG$109,"W"&amp;W102,$B$10:$B$109,"&lt;&gt;")&lt;&gt;1),COUNTIFS($AG$10:$AG$109,"W"&amp;V102,$J$10:$J$109,"删除")&gt;0,COUNTIFS($AG$10:$AG$109,"W"&amp;W102,$J$10:$J$109,"删除")&gt;0),0,1)</f>
        <v>0</v>
      </c>
      <c r="Q102" s="1">
        <f>IF(AA102=0,0,IF(I102="里程碑",1,F102))</f>
        <v>0</v>
      </c>
      <c r="R102" s="1">
        <f>IF(AA102=0,0,Q102*G102)</f>
        <v>0</v>
      </c>
      <c r="S102" s="1">
        <f>IF(P102=0,1000000000000000,AB102*1000000+AC102*1000+AD102)</f>
        <v>1000000000000000</v>
      </c>
      <c r="T102" s="1">
        <f>IF(P102=0,0,IF(Timing浏览!$D$5="全部",1,IF(Timing浏览!$D$5="仅里程碑",IF(K102="里程碑",1,0),IF(L102&lt;=VALUE(LEFT(Timing浏览!$D$5,1)),1,0))))</f>
        <v>0</v>
      </c>
      <c r="U102" s="1" t="str">
        <f>IF(T102=0,"",COUNTIFS($S$10:$S$109,"&lt;"&amp;S102,$T$10:$T$109,1)+1)</f>
        <v/>
      </c>
      <c r="V102" s="1" t="str">
        <f>IF(OR(A102="",L102=1),"",IF(L102=2,TEXT(AB102,"0"),TEXT(AB102,"0")&amp;"."&amp;TEXT(AC102,"0")))</f>
        <v/>
      </c>
      <c r="W102" s="1" t="str">
        <f>IF(OR(A102="",L102=1),"",TEXT(AB102,"0"))</f>
        <v/>
      </c>
      <c r="X102" s="1" t="str">
        <f>IF(AND(A102="",B102=""),"",IF(OR(A102="",B102=""),"请补编号和名称",IF(AE102=0,"编号需为1至3级正整数",IF(COUNTIFS($AG$10:$AG$109,"W"&amp;A102)&lt;&gt;1,"编号重复",IF(AND(L102&gt;1,COUNTIFS($AG$10:$AG$109,"W"&amp;V102,$B$10:$B$109,"&lt;&gt;")&lt;&gt;1),"缺少父任务",IF(J102="删除","待删除",IF(P102=0,"父任务已删除或无效",IF(K102="汇总",IF(COUNTIFS($S$10:$S$109,"&gt;"&amp;S102,$S$10:$S$109,"&lt;"&amp;(S102+IF(L102=1,1000000,IF(L102=2,1000,1))),$P$10:$P$109,1)=0,"等待子任务","由下级汇总"),IF(OR(D102="",E102=""),"待补日期",IF(E102&lt;D102,"结束早于开始",IF(AND(I102="里程碑",D102&lt;&gt;E102),"里程碑须同日","")))))))))))</f>
        <v/>
      </c>
      <c r="Y102" s="1">
        <f>IF(AA102=1,D102,100000000)</f>
        <v>100000000</v>
      </c>
      <c r="Z102" s="1">
        <f>IF(AA102=1,E102,0)</f>
        <v>0</v>
      </c>
      <c r="AA102" s="1">
        <f>IF(AND(P102=1,K102&lt;&gt;"汇总",ISNUMBER(F102),OR(I102&lt;&gt;"里程碑",D102=E102)),1,0)</f>
        <v>0</v>
      </c>
      <c r="AB102" s="1">
        <f>IF(A102="",0,IFERROR(VALUE(MID(("W"&amp;A102),2,FIND(".",("W"&amp;A102)&amp;".")-2)),-1))</f>
        <v>0</v>
      </c>
      <c r="AC102" s="1">
        <f>IF(OR(A102="",L102&lt;2),0,IFERROR(VALUE(MID(("W"&amp;A102),FIND(".",("W"&amp;A102))+1,FIND(".",("W"&amp;A102)&amp;".",FIND(".",("W"&amp;A102))+1)-FIND(".",("W"&amp;A102))-1)),-1))</f>
        <v>0</v>
      </c>
      <c r="AD102" s="1">
        <f>IF(OR(A102="",L102&lt;3),0,IFERROR(VALUE(RIGHT(("W"&amp;A102),LEN(("W"&amp;A102))-FIND(".",("W"&amp;A102),FIND(".",("W"&amp;A102))+1))),-1))</f>
        <v>0</v>
      </c>
      <c r="AE102" s="1">
        <f>IF(A102="",0,IF(AND(L102&lt;=3,AB102&gt;=1,AB102&lt;=999,AC102&gt;=0,AC102&lt;=999,AD102&gt;=0,AD102&lt;=999,A102=TEXT(AB102,"0")&amp;IF(L102&gt;1,"."&amp;TEXT(AC102,"0"),"")&amp;IF(L102&gt;2,"."&amp;TEXT(AD102,"0"),""),OR(L102&lt;2,AC102&gt;=1),OR(L102&lt;3,AD102&gt;=1)),1,0))</f>
        <v>0</v>
      </c>
      <c r="AF102" s="1"/>
      <c r="AG102" t="str">
        <f>"W"&amp;A102</f>
        <v>W</v>
      </c>
    </row>
    <row r="103" spans="1:33" ht="16.5">
      <c r="A103" s="12" t="str">
        <f>IF(ROW()-9&gt;ROWS(TimingTasks[WBS]),"",IF(AND(INDEX(TimingTasks[WBS],ROW()-9)="",NOT(ISNUMBER(INDEX(TimingTasks[WBS],ROW()-9)))),"",INDEX(TimingTasks[WBS],ROW()-9)))</f>
        <v/>
      </c>
      <c r="B103" s="10" t="str">
        <f>IF(ROW()-9&gt;ROWS(TimingTasks[WBS]),"",IF(AND(INDEX(TimingTasks[任务名称],ROW()-9)="",NOT(ISNUMBER(INDEX(TimingTasks[任务名称],ROW()-9)))),"",INDEX(TimingTasks[任务名称],ROW()-9)))</f>
        <v/>
      </c>
      <c r="C103" s="10" t="str">
        <f>IF(ROW()-9&gt;ROWS(TimingTasks[WBS]),"",IF(AND(INDEX(TimingTasks[负责人],ROW()-9)="",NOT(ISNUMBER(INDEX(TimingTasks[负责人],ROW()-9)))),"",INDEX(TimingTasks[负责人],ROW()-9)))</f>
        <v/>
      </c>
      <c r="D103" s="11" t="str">
        <f>IF(ROW()-9&gt;ROWS(TimingTasks[WBS]),"",IF(AND(INDEX(TimingTasks[输入开始],ROW()-9)="",NOT(ISNUMBER(INDEX(TimingTasks[输入开始],ROW()-9)))),"",INDEX(TimingTasks[输入开始],ROW()-9)))</f>
        <v/>
      </c>
      <c r="E103" s="11" t="str">
        <f>IF(ROW()-9&gt;ROWS(TimingTasks[WBS]),"",IF(AND(INDEX(TimingTasks[输入结束],ROW()-9)="",NOT(ISNUMBER(INDEX(TimingTasks[输入结束],ROW()-9)))),"",INDEX(TimingTasks[输入结束],ROW()-9)))</f>
        <v/>
      </c>
      <c r="F103" s="1" t="str">
        <f>IF(OR(P103=0,K103="汇总",D103="",E103="",E103&lt;D103),"",IF(I103="里程碑",0,NETWORKDAYS(D103,E103)))</f>
        <v/>
      </c>
      <c r="G103" s="15" t="str">
        <f>IF(ROW()-9&gt;ROWS(TimingTasks[WBS]),"",IF(AND(INDEX(TimingTasks[输入完成度],ROW()-9)="",NOT(ISNUMBER(INDEX(TimingTasks[输入完成度],ROW()-9)))),0,INDEX(TimingTasks[输入完成度],ROW()-9)))</f>
        <v/>
      </c>
      <c r="H103" s="10" t="str">
        <f>IF(ROW()-9&gt;ROWS(TimingTasks[WBS]),"",IF(AND(INDEX(TimingTasks[前置任务 WBS],ROW()-9)="",NOT(ISNUMBER(INDEX(TimingTasks[前置任务 WBS],ROW()-9)))),"",INDEX(TimingTasks[前置任务 WBS],ROW()-9)))</f>
        <v/>
      </c>
      <c r="I103" s="10" t="str">
        <f>IF(ROW()-9&gt;ROWS(TimingTasks[WBS]),"",IF(AND(INDEX(TimingTasks[叶子类型],ROW()-9)="",NOT(ISNUMBER(INDEX(TimingTasks[叶子类型],ROW()-9)))),"普通任务",INDEX(TimingTasks[叶子类型],ROW()-9)))</f>
        <v/>
      </c>
      <c r="J103" s="10" t="str">
        <f>IF(ROW()-9&gt;ROWS(TimingTasks[WBS]),"",IF(AND(INDEX(TimingTasks[操作],ROW()-9)="",NOT(ISNUMBER(INDEX(TimingTasks[操作],ROW()-9)))),"保留",INDEX(TimingTasks[操作],ROW()-9)))</f>
        <v/>
      </c>
      <c r="K103" s="1" t="str">
        <f>IF(P103=0,"",IF(OR(AND(L103=1,D103="",E103="",I103&lt;&gt;"里程碑"),COUNTIFS($S$10:$S$109,"&gt;"&amp;S103,$S$10:$S$109,"&lt;"&amp;(S103+IF(L103=1,1000000,IF(L103=2,1000,1))),$P$10:$P$109,1)&gt;0),"汇总",I103))</f>
        <v/>
      </c>
      <c r="L103" s="1" t="str">
        <f>IF(A103="","",LEN(("W"&amp;A103))-LEN(SUBSTITUTE(("W"&amp;A103),".",""))+1)</f>
        <v/>
      </c>
      <c r="M103" s="3" t="str">
        <f>IF(P103=0,"",IF(K103="汇总",IF(COUNTIFS($S$10:$S$109,"&gt;"&amp;S103,$S$10:$S$109,"&lt;"&amp;(S103+IF(L103=1,1000000,IF(L103=2,1000,1))),$AA$10:$AA$109,1)=0,"",_xlfn.MINIFS($Y$10:$Y$109,$S$10:$S$109,"&gt;"&amp;S103,$S$10:$S$109,"&lt;"&amp;(S103+IF(L103=1,1000000,IF(L103=2,1000,1))),$AA$10:$AA$109,1)),IF(AA103=1,D103,"")))</f>
        <v/>
      </c>
      <c r="N103" s="3" t="str">
        <f>IF(P103=0,"",IF(K103="汇总",IF(COUNTIFS($S$10:$S$109,"&gt;"&amp;S103,$S$10:$S$109,"&lt;"&amp;(S103+IF(L103=1,1000000,IF(L103=2,1000,1))),$AA$10:$AA$109,1)=0,"",_xlfn.MAXIFS($Z$10:$Z$109,$S$10:$S$109,"&gt;"&amp;S103,$S$10:$S$109,"&lt;"&amp;(S103+IF(L103=1,1000000,IF(L103=2,1000,1))),$AA$10:$AA$109,1)),IF(AA103=1,E103,"")))</f>
        <v/>
      </c>
      <c r="O103" s="7" t="str">
        <f>IF(K103="汇总",ROUND((IF(P103=0,"",IF(K103="汇总",IF(SUMIFS($Q$10:$Q$109,$S$10:$S$109,"&gt;"&amp;S103,$S$10:$S$109,"&lt;"&amp;(S103+IF(L103=1,1000000,IF(L103=2,1000,1))))=0,0,SUMIFS($R$10:$R$109,$S$10:$S$109,"&gt;"&amp;S103,$S$10:$S$109,"&lt;"&amp;(S103+IF(L103=1,1000000,IF(L103=2,1000,1))))/SUMIFS($Q$10:$Q$109,$S$10:$S$109,"&gt;"&amp;S103,$S$10:$S$109,"&lt;"&amp;(S103+IF(L103=1,1000000,IF(L103=2,1000,1))))),G103)))*100,0)/100,IF(P103=0,"",IF(K103="汇总",IF(SUMIFS($Q$10:$Q$109,$S$10:$S$109,"&gt;"&amp;S103,$S$10:$S$109,"&lt;"&amp;(S103+IF(L103=1,1000000,IF(L103=2,1000,1))))=0,0,SUMIFS($R$10:$R$109,$S$10:$S$109,"&gt;"&amp;S103,$S$10:$S$109,"&lt;"&amp;(S103+IF(L103=1,1000000,IF(L103=2,1000,1))))/SUMIFS($Q$10:$Q$109,$S$10:$S$109,"&gt;"&amp;S103,$S$10:$S$109,"&lt;"&amp;(S103+IF(L103=1,1000000,IF(L103=2,1000,1))))),G103)))</f>
        <v/>
      </c>
      <c r="P103" s="1">
        <f>IF(OR(A103="",B103="",J103="删除",AE103=0,COUNTIFS($AG$10:$AG$109,"W"&amp;A103)&lt;&gt;1,AND(L103&gt;1,COUNTIFS($AG$10:$AG$109,"W"&amp;V103,$B$10:$B$109,"&lt;&gt;")&lt;&gt;1),AND(L103=3,COUNTIFS($AG$10:$AG$109,"W"&amp;W103,$B$10:$B$109,"&lt;&gt;")&lt;&gt;1),COUNTIFS($AG$10:$AG$109,"W"&amp;V103,$J$10:$J$109,"删除")&gt;0,COUNTIFS($AG$10:$AG$109,"W"&amp;W103,$J$10:$J$109,"删除")&gt;0),0,1)</f>
        <v>0</v>
      </c>
      <c r="Q103" s="1">
        <f>IF(AA103=0,0,IF(I103="里程碑",1,F103))</f>
        <v>0</v>
      </c>
      <c r="R103" s="1">
        <f>IF(AA103=0,0,Q103*G103)</f>
        <v>0</v>
      </c>
      <c r="S103" s="1">
        <f>IF(P103=0,1000000000000000,AB103*1000000+AC103*1000+AD103)</f>
        <v>1000000000000000</v>
      </c>
      <c r="T103" s="1">
        <f>IF(P103=0,0,IF(Timing浏览!$D$5="全部",1,IF(Timing浏览!$D$5="仅里程碑",IF(K103="里程碑",1,0),IF(L103&lt;=VALUE(LEFT(Timing浏览!$D$5,1)),1,0))))</f>
        <v>0</v>
      </c>
      <c r="U103" s="1" t="str">
        <f>IF(T103=0,"",COUNTIFS($S$10:$S$109,"&lt;"&amp;S103,$T$10:$T$109,1)+1)</f>
        <v/>
      </c>
      <c r="V103" s="1" t="str">
        <f>IF(OR(A103="",L103=1),"",IF(L103=2,TEXT(AB103,"0"),TEXT(AB103,"0")&amp;"."&amp;TEXT(AC103,"0")))</f>
        <v/>
      </c>
      <c r="W103" s="1" t="str">
        <f>IF(OR(A103="",L103=1),"",TEXT(AB103,"0"))</f>
        <v/>
      </c>
      <c r="X103" s="1" t="str">
        <f>IF(AND(A103="",B103=""),"",IF(OR(A103="",B103=""),"请补编号和名称",IF(AE103=0,"编号需为1至3级正整数",IF(COUNTIFS($AG$10:$AG$109,"W"&amp;A103)&lt;&gt;1,"编号重复",IF(AND(L103&gt;1,COUNTIFS($AG$10:$AG$109,"W"&amp;V103,$B$10:$B$109,"&lt;&gt;")&lt;&gt;1),"缺少父任务",IF(J103="删除","待删除",IF(P103=0,"父任务已删除或无效",IF(K103="汇总",IF(COUNTIFS($S$10:$S$109,"&gt;"&amp;S103,$S$10:$S$109,"&lt;"&amp;(S103+IF(L103=1,1000000,IF(L103=2,1000,1))),$P$10:$P$109,1)=0,"等待子任务","由下级汇总"),IF(OR(D103="",E103=""),"待补日期",IF(E103&lt;D103,"结束早于开始",IF(AND(I103="里程碑",D103&lt;&gt;E103),"里程碑须同日","")))))))))))</f>
        <v/>
      </c>
      <c r="Y103" s="1">
        <f>IF(AA103=1,D103,100000000)</f>
        <v>100000000</v>
      </c>
      <c r="Z103" s="1">
        <f>IF(AA103=1,E103,0)</f>
        <v>0</v>
      </c>
      <c r="AA103" s="1">
        <f>IF(AND(P103=1,K103&lt;&gt;"汇总",ISNUMBER(F103),OR(I103&lt;&gt;"里程碑",D103=E103)),1,0)</f>
        <v>0</v>
      </c>
      <c r="AB103" s="1">
        <f>IF(A103="",0,IFERROR(VALUE(MID(("W"&amp;A103),2,FIND(".",("W"&amp;A103)&amp;".")-2)),-1))</f>
        <v>0</v>
      </c>
      <c r="AC103" s="1">
        <f>IF(OR(A103="",L103&lt;2),0,IFERROR(VALUE(MID(("W"&amp;A103),FIND(".",("W"&amp;A103))+1,FIND(".",("W"&amp;A103)&amp;".",FIND(".",("W"&amp;A103))+1)-FIND(".",("W"&amp;A103))-1)),-1))</f>
        <v>0</v>
      </c>
      <c r="AD103" s="1">
        <f>IF(OR(A103="",L103&lt;3),0,IFERROR(VALUE(RIGHT(("W"&amp;A103),LEN(("W"&amp;A103))-FIND(".",("W"&amp;A103),FIND(".",("W"&amp;A103))+1))),-1))</f>
        <v>0</v>
      </c>
      <c r="AE103" s="1">
        <f>IF(A103="",0,IF(AND(L103&lt;=3,AB103&gt;=1,AB103&lt;=999,AC103&gt;=0,AC103&lt;=999,AD103&gt;=0,AD103&lt;=999,A103=TEXT(AB103,"0")&amp;IF(L103&gt;1,"."&amp;TEXT(AC103,"0"),"")&amp;IF(L103&gt;2,"."&amp;TEXT(AD103,"0"),""),OR(L103&lt;2,AC103&gt;=1),OR(L103&lt;3,AD103&gt;=1)),1,0))</f>
        <v>0</v>
      </c>
      <c r="AF103" s="1"/>
      <c r="AG103" t="str">
        <f>"W"&amp;A103</f>
        <v>W</v>
      </c>
    </row>
    <row r="104" spans="1:33" ht="16.5">
      <c r="A104" s="12" t="str">
        <f>IF(ROW()-9&gt;ROWS(TimingTasks[WBS]),"",IF(AND(INDEX(TimingTasks[WBS],ROW()-9)="",NOT(ISNUMBER(INDEX(TimingTasks[WBS],ROW()-9)))),"",INDEX(TimingTasks[WBS],ROW()-9)))</f>
        <v/>
      </c>
      <c r="B104" s="10" t="str">
        <f>IF(ROW()-9&gt;ROWS(TimingTasks[WBS]),"",IF(AND(INDEX(TimingTasks[任务名称],ROW()-9)="",NOT(ISNUMBER(INDEX(TimingTasks[任务名称],ROW()-9)))),"",INDEX(TimingTasks[任务名称],ROW()-9)))</f>
        <v/>
      </c>
      <c r="C104" s="10" t="str">
        <f>IF(ROW()-9&gt;ROWS(TimingTasks[WBS]),"",IF(AND(INDEX(TimingTasks[负责人],ROW()-9)="",NOT(ISNUMBER(INDEX(TimingTasks[负责人],ROW()-9)))),"",INDEX(TimingTasks[负责人],ROW()-9)))</f>
        <v/>
      </c>
      <c r="D104" s="11" t="str">
        <f>IF(ROW()-9&gt;ROWS(TimingTasks[WBS]),"",IF(AND(INDEX(TimingTasks[输入开始],ROW()-9)="",NOT(ISNUMBER(INDEX(TimingTasks[输入开始],ROW()-9)))),"",INDEX(TimingTasks[输入开始],ROW()-9)))</f>
        <v/>
      </c>
      <c r="E104" s="11" t="str">
        <f>IF(ROW()-9&gt;ROWS(TimingTasks[WBS]),"",IF(AND(INDEX(TimingTasks[输入结束],ROW()-9)="",NOT(ISNUMBER(INDEX(TimingTasks[输入结束],ROW()-9)))),"",INDEX(TimingTasks[输入结束],ROW()-9)))</f>
        <v/>
      </c>
      <c r="F104" s="1" t="str">
        <f>IF(OR(P104=0,K104="汇总",D104="",E104="",E104&lt;D104),"",IF(I104="里程碑",0,NETWORKDAYS(D104,E104)))</f>
        <v/>
      </c>
      <c r="G104" s="15" t="str">
        <f>IF(ROW()-9&gt;ROWS(TimingTasks[WBS]),"",IF(AND(INDEX(TimingTasks[输入完成度],ROW()-9)="",NOT(ISNUMBER(INDEX(TimingTasks[输入完成度],ROW()-9)))),0,INDEX(TimingTasks[输入完成度],ROW()-9)))</f>
        <v/>
      </c>
      <c r="H104" s="10" t="str">
        <f>IF(ROW()-9&gt;ROWS(TimingTasks[WBS]),"",IF(AND(INDEX(TimingTasks[前置任务 WBS],ROW()-9)="",NOT(ISNUMBER(INDEX(TimingTasks[前置任务 WBS],ROW()-9)))),"",INDEX(TimingTasks[前置任务 WBS],ROW()-9)))</f>
        <v/>
      </c>
      <c r="I104" s="10" t="str">
        <f>IF(ROW()-9&gt;ROWS(TimingTasks[WBS]),"",IF(AND(INDEX(TimingTasks[叶子类型],ROW()-9)="",NOT(ISNUMBER(INDEX(TimingTasks[叶子类型],ROW()-9)))),"普通任务",INDEX(TimingTasks[叶子类型],ROW()-9)))</f>
        <v/>
      </c>
      <c r="J104" s="10" t="str">
        <f>IF(ROW()-9&gt;ROWS(TimingTasks[WBS]),"",IF(AND(INDEX(TimingTasks[操作],ROW()-9)="",NOT(ISNUMBER(INDEX(TimingTasks[操作],ROW()-9)))),"保留",INDEX(TimingTasks[操作],ROW()-9)))</f>
        <v/>
      </c>
      <c r="K104" s="1" t="str">
        <f>IF(P104=0,"",IF(OR(AND(L104=1,D104="",E104="",I104&lt;&gt;"里程碑"),COUNTIFS($S$10:$S$109,"&gt;"&amp;S104,$S$10:$S$109,"&lt;"&amp;(S104+IF(L104=1,1000000,IF(L104=2,1000,1))),$P$10:$P$109,1)&gt;0),"汇总",I104))</f>
        <v/>
      </c>
      <c r="L104" s="1" t="str">
        <f>IF(A104="","",LEN(("W"&amp;A104))-LEN(SUBSTITUTE(("W"&amp;A104),".",""))+1)</f>
        <v/>
      </c>
      <c r="M104" s="3" t="str">
        <f>IF(P104=0,"",IF(K104="汇总",IF(COUNTIFS($S$10:$S$109,"&gt;"&amp;S104,$S$10:$S$109,"&lt;"&amp;(S104+IF(L104=1,1000000,IF(L104=2,1000,1))),$AA$10:$AA$109,1)=0,"",_xlfn.MINIFS($Y$10:$Y$109,$S$10:$S$109,"&gt;"&amp;S104,$S$10:$S$109,"&lt;"&amp;(S104+IF(L104=1,1000000,IF(L104=2,1000,1))),$AA$10:$AA$109,1)),IF(AA104=1,D104,"")))</f>
        <v/>
      </c>
      <c r="N104" s="3" t="str">
        <f>IF(P104=0,"",IF(K104="汇总",IF(COUNTIFS($S$10:$S$109,"&gt;"&amp;S104,$S$10:$S$109,"&lt;"&amp;(S104+IF(L104=1,1000000,IF(L104=2,1000,1))),$AA$10:$AA$109,1)=0,"",_xlfn.MAXIFS($Z$10:$Z$109,$S$10:$S$109,"&gt;"&amp;S104,$S$10:$S$109,"&lt;"&amp;(S104+IF(L104=1,1000000,IF(L104=2,1000,1))),$AA$10:$AA$109,1)),IF(AA104=1,E104,"")))</f>
        <v/>
      </c>
      <c r="O104" s="7" t="str">
        <f>IF(K104="汇总",ROUND((IF(P104=0,"",IF(K104="汇总",IF(SUMIFS($Q$10:$Q$109,$S$10:$S$109,"&gt;"&amp;S104,$S$10:$S$109,"&lt;"&amp;(S104+IF(L104=1,1000000,IF(L104=2,1000,1))))=0,0,SUMIFS($R$10:$R$109,$S$10:$S$109,"&gt;"&amp;S104,$S$10:$S$109,"&lt;"&amp;(S104+IF(L104=1,1000000,IF(L104=2,1000,1))))/SUMIFS($Q$10:$Q$109,$S$10:$S$109,"&gt;"&amp;S104,$S$10:$S$109,"&lt;"&amp;(S104+IF(L104=1,1000000,IF(L104=2,1000,1))))),G104)))*100,0)/100,IF(P104=0,"",IF(K104="汇总",IF(SUMIFS($Q$10:$Q$109,$S$10:$S$109,"&gt;"&amp;S104,$S$10:$S$109,"&lt;"&amp;(S104+IF(L104=1,1000000,IF(L104=2,1000,1))))=0,0,SUMIFS($R$10:$R$109,$S$10:$S$109,"&gt;"&amp;S104,$S$10:$S$109,"&lt;"&amp;(S104+IF(L104=1,1000000,IF(L104=2,1000,1))))/SUMIFS($Q$10:$Q$109,$S$10:$S$109,"&gt;"&amp;S104,$S$10:$S$109,"&lt;"&amp;(S104+IF(L104=1,1000000,IF(L104=2,1000,1))))),G104)))</f>
        <v/>
      </c>
      <c r="P104" s="1">
        <f>IF(OR(A104="",B104="",J104="删除",AE104=0,COUNTIFS($AG$10:$AG$109,"W"&amp;A104)&lt;&gt;1,AND(L104&gt;1,COUNTIFS($AG$10:$AG$109,"W"&amp;V104,$B$10:$B$109,"&lt;&gt;")&lt;&gt;1),AND(L104=3,COUNTIFS($AG$10:$AG$109,"W"&amp;W104,$B$10:$B$109,"&lt;&gt;")&lt;&gt;1),COUNTIFS($AG$10:$AG$109,"W"&amp;V104,$J$10:$J$109,"删除")&gt;0,COUNTIFS($AG$10:$AG$109,"W"&amp;W104,$J$10:$J$109,"删除")&gt;0),0,1)</f>
        <v>0</v>
      </c>
      <c r="Q104" s="1">
        <f>IF(AA104=0,0,IF(I104="里程碑",1,F104))</f>
        <v>0</v>
      </c>
      <c r="R104" s="1">
        <f>IF(AA104=0,0,Q104*G104)</f>
        <v>0</v>
      </c>
      <c r="S104" s="1">
        <f>IF(P104=0,1000000000000000,AB104*1000000+AC104*1000+AD104)</f>
        <v>1000000000000000</v>
      </c>
      <c r="T104" s="1">
        <f>IF(P104=0,0,IF(Timing浏览!$D$5="全部",1,IF(Timing浏览!$D$5="仅里程碑",IF(K104="里程碑",1,0),IF(L104&lt;=VALUE(LEFT(Timing浏览!$D$5,1)),1,0))))</f>
        <v>0</v>
      </c>
      <c r="U104" s="1" t="str">
        <f>IF(T104=0,"",COUNTIFS($S$10:$S$109,"&lt;"&amp;S104,$T$10:$T$109,1)+1)</f>
        <v/>
      </c>
      <c r="V104" s="1" t="str">
        <f>IF(OR(A104="",L104=1),"",IF(L104=2,TEXT(AB104,"0"),TEXT(AB104,"0")&amp;"."&amp;TEXT(AC104,"0")))</f>
        <v/>
      </c>
      <c r="W104" s="1" t="str">
        <f>IF(OR(A104="",L104=1),"",TEXT(AB104,"0"))</f>
        <v/>
      </c>
      <c r="X104" s="1" t="str">
        <f>IF(AND(A104="",B104=""),"",IF(OR(A104="",B104=""),"请补编号和名称",IF(AE104=0,"编号需为1至3级正整数",IF(COUNTIFS($AG$10:$AG$109,"W"&amp;A104)&lt;&gt;1,"编号重复",IF(AND(L104&gt;1,COUNTIFS($AG$10:$AG$109,"W"&amp;V104,$B$10:$B$109,"&lt;&gt;")&lt;&gt;1),"缺少父任务",IF(J104="删除","待删除",IF(P104=0,"父任务已删除或无效",IF(K104="汇总",IF(COUNTIFS($S$10:$S$109,"&gt;"&amp;S104,$S$10:$S$109,"&lt;"&amp;(S104+IF(L104=1,1000000,IF(L104=2,1000,1))),$P$10:$P$109,1)=0,"等待子任务","由下级汇总"),IF(OR(D104="",E104=""),"待补日期",IF(E104&lt;D104,"结束早于开始",IF(AND(I104="里程碑",D104&lt;&gt;E104),"里程碑须同日","")))))))))))</f>
        <v/>
      </c>
      <c r="Y104" s="1">
        <f>IF(AA104=1,D104,100000000)</f>
        <v>100000000</v>
      </c>
      <c r="Z104" s="1">
        <f>IF(AA104=1,E104,0)</f>
        <v>0</v>
      </c>
      <c r="AA104" s="1">
        <f>IF(AND(P104=1,K104&lt;&gt;"汇总",ISNUMBER(F104),OR(I104&lt;&gt;"里程碑",D104=E104)),1,0)</f>
        <v>0</v>
      </c>
      <c r="AB104" s="1">
        <f>IF(A104="",0,IFERROR(VALUE(MID(("W"&amp;A104),2,FIND(".",("W"&amp;A104)&amp;".")-2)),-1))</f>
        <v>0</v>
      </c>
      <c r="AC104" s="1">
        <f>IF(OR(A104="",L104&lt;2),0,IFERROR(VALUE(MID(("W"&amp;A104),FIND(".",("W"&amp;A104))+1,FIND(".",("W"&amp;A104)&amp;".",FIND(".",("W"&amp;A104))+1)-FIND(".",("W"&amp;A104))-1)),-1))</f>
        <v>0</v>
      </c>
      <c r="AD104" s="1">
        <f>IF(OR(A104="",L104&lt;3),0,IFERROR(VALUE(RIGHT(("W"&amp;A104),LEN(("W"&amp;A104))-FIND(".",("W"&amp;A104),FIND(".",("W"&amp;A104))+1))),-1))</f>
        <v>0</v>
      </c>
      <c r="AE104" s="1">
        <f>IF(A104="",0,IF(AND(L104&lt;=3,AB104&gt;=1,AB104&lt;=999,AC104&gt;=0,AC104&lt;=999,AD104&gt;=0,AD104&lt;=999,A104=TEXT(AB104,"0")&amp;IF(L104&gt;1,"."&amp;TEXT(AC104,"0"),"")&amp;IF(L104&gt;2,"."&amp;TEXT(AD104,"0"),""),OR(L104&lt;2,AC104&gt;=1),OR(L104&lt;3,AD104&gt;=1)),1,0))</f>
        <v>0</v>
      </c>
      <c r="AF104" s="1"/>
      <c r="AG104" t="str">
        <f>"W"&amp;A104</f>
        <v>W</v>
      </c>
    </row>
    <row r="105" spans="1:33" ht="16.5">
      <c r="A105" s="12" t="str">
        <f>IF(ROW()-9&gt;ROWS(TimingTasks[WBS]),"",IF(AND(INDEX(TimingTasks[WBS],ROW()-9)="",NOT(ISNUMBER(INDEX(TimingTasks[WBS],ROW()-9)))),"",INDEX(TimingTasks[WBS],ROW()-9)))</f>
        <v/>
      </c>
      <c r="B105" s="10" t="str">
        <f>IF(ROW()-9&gt;ROWS(TimingTasks[WBS]),"",IF(AND(INDEX(TimingTasks[任务名称],ROW()-9)="",NOT(ISNUMBER(INDEX(TimingTasks[任务名称],ROW()-9)))),"",INDEX(TimingTasks[任务名称],ROW()-9)))</f>
        <v/>
      </c>
      <c r="C105" s="10" t="str">
        <f>IF(ROW()-9&gt;ROWS(TimingTasks[WBS]),"",IF(AND(INDEX(TimingTasks[负责人],ROW()-9)="",NOT(ISNUMBER(INDEX(TimingTasks[负责人],ROW()-9)))),"",INDEX(TimingTasks[负责人],ROW()-9)))</f>
        <v/>
      </c>
      <c r="D105" s="11" t="str">
        <f>IF(ROW()-9&gt;ROWS(TimingTasks[WBS]),"",IF(AND(INDEX(TimingTasks[输入开始],ROW()-9)="",NOT(ISNUMBER(INDEX(TimingTasks[输入开始],ROW()-9)))),"",INDEX(TimingTasks[输入开始],ROW()-9)))</f>
        <v/>
      </c>
      <c r="E105" s="11" t="str">
        <f>IF(ROW()-9&gt;ROWS(TimingTasks[WBS]),"",IF(AND(INDEX(TimingTasks[输入结束],ROW()-9)="",NOT(ISNUMBER(INDEX(TimingTasks[输入结束],ROW()-9)))),"",INDEX(TimingTasks[输入结束],ROW()-9)))</f>
        <v/>
      </c>
      <c r="F105" s="1" t="str">
        <f>IF(OR(P105=0,K105="汇总",D105="",E105="",E105&lt;D105),"",IF(I105="里程碑",0,NETWORKDAYS(D105,E105)))</f>
        <v/>
      </c>
      <c r="G105" s="15" t="str">
        <f>IF(ROW()-9&gt;ROWS(TimingTasks[WBS]),"",IF(AND(INDEX(TimingTasks[输入完成度],ROW()-9)="",NOT(ISNUMBER(INDEX(TimingTasks[输入完成度],ROW()-9)))),0,INDEX(TimingTasks[输入完成度],ROW()-9)))</f>
        <v/>
      </c>
      <c r="H105" s="10" t="str">
        <f>IF(ROW()-9&gt;ROWS(TimingTasks[WBS]),"",IF(AND(INDEX(TimingTasks[前置任务 WBS],ROW()-9)="",NOT(ISNUMBER(INDEX(TimingTasks[前置任务 WBS],ROW()-9)))),"",INDEX(TimingTasks[前置任务 WBS],ROW()-9)))</f>
        <v/>
      </c>
      <c r="I105" s="10" t="str">
        <f>IF(ROW()-9&gt;ROWS(TimingTasks[WBS]),"",IF(AND(INDEX(TimingTasks[叶子类型],ROW()-9)="",NOT(ISNUMBER(INDEX(TimingTasks[叶子类型],ROW()-9)))),"普通任务",INDEX(TimingTasks[叶子类型],ROW()-9)))</f>
        <v/>
      </c>
      <c r="J105" s="10" t="str">
        <f>IF(ROW()-9&gt;ROWS(TimingTasks[WBS]),"",IF(AND(INDEX(TimingTasks[操作],ROW()-9)="",NOT(ISNUMBER(INDEX(TimingTasks[操作],ROW()-9)))),"保留",INDEX(TimingTasks[操作],ROW()-9)))</f>
        <v/>
      </c>
      <c r="K105" s="1" t="str">
        <f>IF(P105=0,"",IF(OR(AND(L105=1,D105="",E105="",I105&lt;&gt;"里程碑"),COUNTIFS($S$10:$S$109,"&gt;"&amp;S105,$S$10:$S$109,"&lt;"&amp;(S105+IF(L105=1,1000000,IF(L105=2,1000,1))),$P$10:$P$109,1)&gt;0),"汇总",I105))</f>
        <v/>
      </c>
      <c r="L105" s="1" t="str">
        <f>IF(A105="","",LEN(("W"&amp;A105))-LEN(SUBSTITUTE(("W"&amp;A105),".",""))+1)</f>
        <v/>
      </c>
      <c r="M105" s="3" t="str">
        <f>IF(P105=0,"",IF(K105="汇总",IF(COUNTIFS($S$10:$S$109,"&gt;"&amp;S105,$S$10:$S$109,"&lt;"&amp;(S105+IF(L105=1,1000000,IF(L105=2,1000,1))),$AA$10:$AA$109,1)=0,"",_xlfn.MINIFS($Y$10:$Y$109,$S$10:$S$109,"&gt;"&amp;S105,$S$10:$S$109,"&lt;"&amp;(S105+IF(L105=1,1000000,IF(L105=2,1000,1))),$AA$10:$AA$109,1)),IF(AA105=1,D105,"")))</f>
        <v/>
      </c>
      <c r="N105" s="3" t="str">
        <f>IF(P105=0,"",IF(K105="汇总",IF(COUNTIFS($S$10:$S$109,"&gt;"&amp;S105,$S$10:$S$109,"&lt;"&amp;(S105+IF(L105=1,1000000,IF(L105=2,1000,1))),$AA$10:$AA$109,1)=0,"",_xlfn.MAXIFS($Z$10:$Z$109,$S$10:$S$109,"&gt;"&amp;S105,$S$10:$S$109,"&lt;"&amp;(S105+IF(L105=1,1000000,IF(L105=2,1000,1))),$AA$10:$AA$109,1)),IF(AA105=1,E105,"")))</f>
        <v/>
      </c>
      <c r="O105" s="7" t="str">
        <f>IF(K105="汇总",ROUND((IF(P105=0,"",IF(K105="汇总",IF(SUMIFS($Q$10:$Q$109,$S$10:$S$109,"&gt;"&amp;S105,$S$10:$S$109,"&lt;"&amp;(S105+IF(L105=1,1000000,IF(L105=2,1000,1))))=0,0,SUMIFS($R$10:$R$109,$S$10:$S$109,"&gt;"&amp;S105,$S$10:$S$109,"&lt;"&amp;(S105+IF(L105=1,1000000,IF(L105=2,1000,1))))/SUMIFS($Q$10:$Q$109,$S$10:$S$109,"&gt;"&amp;S105,$S$10:$S$109,"&lt;"&amp;(S105+IF(L105=1,1000000,IF(L105=2,1000,1))))),G105)))*100,0)/100,IF(P105=0,"",IF(K105="汇总",IF(SUMIFS($Q$10:$Q$109,$S$10:$S$109,"&gt;"&amp;S105,$S$10:$S$109,"&lt;"&amp;(S105+IF(L105=1,1000000,IF(L105=2,1000,1))))=0,0,SUMIFS($R$10:$R$109,$S$10:$S$109,"&gt;"&amp;S105,$S$10:$S$109,"&lt;"&amp;(S105+IF(L105=1,1000000,IF(L105=2,1000,1))))/SUMIFS($Q$10:$Q$109,$S$10:$S$109,"&gt;"&amp;S105,$S$10:$S$109,"&lt;"&amp;(S105+IF(L105=1,1000000,IF(L105=2,1000,1))))),G105)))</f>
        <v/>
      </c>
      <c r="P105" s="1">
        <f>IF(OR(A105="",B105="",J105="删除",AE105=0,COUNTIFS($AG$10:$AG$109,"W"&amp;A105)&lt;&gt;1,AND(L105&gt;1,COUNTIFS($AG$10:$AG$109,"W"&amp;V105,$B$10:$B$109,"&lt;&gt;")&lt;&gt;1),AND(L105=3,COUNTIFS($AG$10:$AG$109,"W"&amp;W105,$B$10:$B$109,"&lt;&gt;")&lt;&gt;1),COUNTIFS($AG$10:$AG$109,"W"&amp;V105,$J$10:$J$109,"删除")&gt;0,COUNTIFS($AG$10:$AG$109,"W"&amp;W105,$J$10:$J$109,"删除")&gt;0),0,1)</f>
        <v>0</v>
      </c>
      <c r="Q105" s="1">
        <f>IF(AA105=0,0,IF(I105="里程碑",1,F105))</f>
        <v>0</v>
      </c>
      <c r="R105" s="1">
        <f>IF(AA105=0,0,Q105*G105)</f>
        <v>0</v>
      </c>
      <c r="S105" s="1">
        <f>IF(P105=0,1000000000000000,AB105*1000000+AC105*1000+AD105)</f>
        <v>1000000000000000</v>
      </c>
      <c r="T105" s="1">
        <f>IF(P105=0,0,IF(Timing浏览!$D$5="全部",1,IF(Timing浏览!$D$5="仅里程碑",IF(K105="里程碑",1,0),IF(L105&lt;=VALUE(LEFT(Timing浏览!$D$5,1)),1,0))))</f>
        <v>0</v>
      </c>
      <c r="U105" s="1" t="str">
        <f>IF(T105=0,"",COUNTIFS($S$10:$S$109,"&lt;"&amp;S105,$T$10:$T$109,1)+1)</f>
        <v/>
      </c>
      <c r="V105" s="1" t="str">
        <f>IF(OR(A105="",L105=1),"",IF(L105=2,TEXT(AB105,"0"),TEXT(AB105,"0")&amp;"."&amp;TEXT(AC105,"0")))</f>
        <v/>
      </c>
      <c r="W105" s="1" t="str">
        <f>IF(OR(A105="",L105=1),"",TEXT(AB105,"0"))</f>
        <v/>
      </c>
      <c r="X105" s="1" t="str">
        <f>IF(AND(A105="",B105=""),"",IF(OR(A105="",B105=""),"请补编号和名称",IF(AE105=0,"编号需为1至3级正整数",IF(COUNTIFS($AG$10:$AG$109,"W"&amp;A105)&lt;&gt;1,"编号重复",IF(AND(L105&gt;1,COUNTIFS($AG$10:$AG$109,"W"&amp;V105,$B$10:$B$109,"&lt;&gt;")&lt;&gt;1),"缺少父任务",IF(J105="删除","待删除",IF(P105=0,"父任务已删除或无效",IF(K105="汇总",IF(COUNTIFS($S$10:$S$109,"&gt;"&amp;S105,$S$10:$S$109,"&lt;"&amp;(S105+IF(L105=1,1000000,IF(L105=2,1000,1))),$P$10:$P$109,1)=0,"等待子任务","由下级汇总"),IF(OR(D105="",E105=""),"待补日期",IF(E105&lt;D105,"结束早于开始",IF(AND(I105="里程碑",D105&lt;&gt;E105),"里程碑须同日","")))))))))))</f>
        <v/>
      </c>
      <c r="Y105" s="1">
        <f>IF(AA105=1,D105,100000000)</f>
        <v>100000000</v>
      </c>
      <c r="Z105" s="1">
        <f>IF(AA105=1,E105,0)</f>
        <v>0</v>
      </c>
      <c r="AA105" s="1">
        <f>IF(AND(P105=1,K105&lt;&gt;"汇总",ISNUMBER(F105),OR(I105&lt;&gt;"里程碑",D105=E105)),1,0)</f>
        <v>0</v>
      </c>
      <c r="AB105" s="1">
        <f>IF(A105="",0,IFERROR(VALUE(MID(("W"&amp;A105),2,FIND(".",("W"&amp;A105)&amp;".")-2)),-1))</f>
        <v>0</v>
      </c>
      <c r="AC105" s="1">
        <f>IF(OR(A105="",L105&lt;2),0,IFERROR(VALUE(MID(("W"&amp;A105),FIND(".",("W"&amp;A105))+1,FIND(".",("W"&amp;A105)&amp;".",FIND(".",("W"&amp;A105))+1)-FIND(".",("W"&amp;A105))-1)),-1))</f>
        <v>0</v>
      </c>
      <c r="AD105" s="1">
        <f>IF(OR(A105="",L105&lt;3),0,IFERROR(VALUE(RIGHT(("W"&amp;A105),LEN(("W"&amp;A105))-FIND(".",("W"&amp;A105),FIND(".",("W"&amp;A105))+1))),-1))</f>
        <v>0</v>
      </c>
      <c r="AE105" s="1">
        <f>IF(A105="",0,IF(AND(L105&lt;=3,AB105&gt;=1,AB105&lt;=999,AC105&gt;=0,AC105&lt;=999,AD105&gt;=0,AD105&lt;=999,A105=TEXT(AB105,"0")&amp;IF(L105&gt;1,"."&amp;TEXT(AC105,"0"),"")&amp;IF(L105&gt;2,"."&amp;TEXT(AD105,"0"),""),OR(L105&lt;2,AC105&gt;=1),OR(L105&lt;3,AD105&gt;=1)),1,0))</f>
        <v>0</v>
      </c>
      <c r="AF105" s="1"/>
      <c r="AG105" t="str">
        <f>"W"&amp;A105</f>
        <v>W</v>
      </c>
    </row>
    <row r="106" spans="1:33" ht="16.5">
      <c r="A106" s="12" t="str">
        <f>IF(ROW()-9&gt;ROWS(TimingTasks[WBS]),"",IF(AND(INDEX(TimingTasks[WBS],ROW()-9)="",NOT(ISNUMBER(INDEX(TimingTasks[WBS],ROW()-9)))),"",INDEX(TimingTasks[WBS],ROW()-9)))</f>
        <v/>
      </c>
      <c r="B106" s="10" t="str">
        <f>IF(ROW()-9&gt;ROWS(TimingTasks[WBS]),"",IF(AND(INDEX(TimingTasks[任务名称],ROW()-9)="",NOT(ISNUMBER(INDEX(TimingTasks[任务名称],ROW()-9)))),"",INDEX(TimingTasks[任务名称],ROW()-9)))</f>
        <v/>
      </c>
      <c r="C106" s="10" t="str">
        <f>IF(ROW()-9&gt;ROWS(TimingTasks[WBS]),"",IF(AND(INDEX(TimingTasks[负责人],ROW()-9)="",NOT(ISNUMBER(INDEX(TimingTasks[负责人],ROW()-9)))),"",INDEX(TimingTasks[负责人],ROW()-9)))</f>
        <v/>
      </c>
      <c r="D106" s="11" t="str">
        <f>IF(ROW()-9&gt;ROWS(TimingTasks[WBS]),"",IF(AND(INDEX(TimingTasks[输入开始],ROW()-9)="",NOT(ISNUMBER(INDEX(TimingTasks[输入开始],ROW()-9)))),"",INDEX(TimingTasks[输入开始],ROW()-9)))</f>
        <v/>
      </c>
      <c r="E106" s="11" t="str">
        <f>IF(ROW()-9&gt;ROWS(TimingTasks[WBS]),"",IF(AND(INDEX(TimingTasks[输入结束],ROW()-9)="",NOT(ISNUMBER(INDEX(TimingTasks[输入结束],ROW()-9)))),"",INDEX(TimingTasks[输入结束],ROW()-9)))</f>
        <v/>
      </c>
      <c r="F106" s="1" t="str">
        <f>IF(OR(P106=0,K106="汇总",D106="",E106="",E106&lt;D106),"",IF(I106="里程碑",0,NETWORKDAYS(D106,E106)))</f>
        <v/>
      </c>
      <c r="G106" s="15" t="str">
        <f>IF(ROW()-9&gt;ROWS(TimingTasks[WBS]),"",IF(AND(INDEX(TimingTasks[输入完成度],ROW()-9)="",NOT(ISNUMBER(INDEX(TimingTasks[输入完成度],ROW()-9)))),0,INDEX(TimingTasks[输入完成度],ROW()-9)))</f>
        <v/>
      </c>
      <c r="H106" s="10" t="str">
        <f>IF(ROW()-9&gt;ROWS(TimingTasks[WBS]),"",IF(AND(INDEX(TimingTasks[前置任务 WBS],ROW()-9)="",NOT(ISNUMBER(INDEX(TimingTasks[前置任务 WBS],ROW()-9)))),"",INDEX(TimingTasks[前置任务 WBS],ROW()-9)))</f>
        <v/>
      </c>
      <c r="I106" s="10" t="str">
        <f>IF(ROW()-9&gt;ROWS(TimingTasks[WBS]),"",IF(AND(INDEX(TimingTasks[叶子类型],ROW()-9)="",NOT(ISNUMBER(INDEX(TimingTasks[叶子类型],ROW()-9)))),"普通任务",INDEX(TimingTasks[叶子类型],ROW()-9)))</f>
        <v/>
      </c>
      <c r="J106" s="10" t="str">
        <f>IF(ROW()-9&gt;ROWS(TimingTasks[WBS]),"",IF(AND(INDEX(TimingTasks[操作],ROW()-9)="",NOT(ISNUMBER(INDEX(TimingTasks[操作],ROW()-9)))),"保留",INDEX(TimingTasks[操作],ROW()-9)))</f>
        <v/>
      </c>
      <c r="K106" s="1" t="str">
        <f>IF(P106=0,"",IF(OR(AND(L106=1,D106="",E106="",I106&lt;&gt;"里程碑"),COUNTIFS($S$10:$S$109,"&gt;"&amp;S106,$S$10:$S$109,"&lt;"&amp;(S106+IF(L106=1,1000000,IF(L106=2,1000,1))),$P$10:$P$109,1)&gt;0),"汇总",I106))</f>
        <v/>
      </c>
      <c r="L106" s="1" t="str">
        <f>IF(A106="","",LEN(("W"&amp;A106))-LEN(SUBSTITUTE(("W"&amp;A106),".",""))+1)</f>
        <v/>
      </c>
      <c r="M106" s="3" t="str">
        <f>IF(P106=0,"",IF(K106="汇总",IF(COUNTIFS($S$10:$S$109,"&gt;"&amp;S106,$S$10:$S$109,"&lt;"&amp;(S106+IF(L106=1,1000000,IF(L106=2,1000,1))),$AA$10:$AA$109,1)=0,"",_xlfn.MINIFS($Y$10:$Y$109,$S$10:$S$109,"&gt;"&amp;S106,$S$10:$S$109,"&lt;"&amp;(S106+IF(L106=1,1000000,IF(L106=2,1000,1))),$AA$10:$AA$109,1)),IF(AA106=1,D106,"")))</f>
        <v/>
      </c>
      <c r="N106" s="3" t="str">
        <f>IF(P106=0,"",IF(K106="汇总",IF(COUNTIFS($S$10:$S$109,"&gt;"&amp;S106,$S$10:$S$109,"&lt;"&amp;(S106+IF(L106=1,1000000,IF(L106=2,1000,1))),$AA$10:$AA$109,1)=0,"",_xlfn.MAXIFS($Z$10:$Z$109,$S$10:$S$109,"&gt;"&amp;S106,$S$10:$S$109,"&lt;"&amp;(S106+IF(L106=1,1000000,IF(L106=2,1000,1))),$AA$10:$AA$109,1)),IF(AA106=1,E106,"")))</f>
        <v/>
      </c>
      <c r="O106" s="7" t="str">
        <f>IF(K106="汇总",ROUND((IF(P106=0,"",IF(K106="汇总",IF(SUMIFS($Q$10:$Q$109,$S$10:$S$109,"&gt;"&amp;S106,$S$10:$S$109,"&lt;"&amp;(S106+IF(L106=1,1000000,IF(L106=2,1000,1))))=0,0,SUMIFS($R$10:$R$109,$S$10:$S$109,"&gt;"&amp;S106,$S$10:$S$109,"&lt;"&amp;(S106+IF(L106=1,1000000,IF(L106=2,1000,1))))/SUMIFS($Q$10:$Q$109,$S$10:$S$109,"&gt;"&amp;S106,$S$10:$S$109,"&lt;"&amp;(S106+IF(L106=1,1000000,IF(L106=2,1000,1))))),G106)))*100,0)/100,IF(P106=0,"",IF(K106="汇总",IF(SUMIFS($Q$10:$Q$109,$S$10:$S$109,"&gt;"&amp;S106,$S$10:$S$109,"&lt;"&amp;(S106+IF(L106=1,1000000,IF(L106=2,1000,1))))=0,0,SUMIFS($R$10:$R$109,$S$10:$S$109,"&gt;"&amp;S106,$S$10:$S$109,"&lt;"&amp;(S106+IF(L106=1,1000000,IF(L106=2,1000,1))))/SUMIFS($Q$10:$Q$109,$S$10:$S$109,"&gt;"&amp;S106,$S$10:$S$109,"&lt;"&amp;(S106+IF(L106=1,1000000,IF(L106=2,1000,1))))),G106)))</f>
        <v/>
      </c>
      <c r="P106" s="1">
        <f>IF(OR(A106="",B106="",J106="删除",AE106=0,COUNTIFS($AG$10:$AG$109,"W"&amp;A106)&lt;&gt;1,AND(L106&gt;1,COUNTIFS($AG$10:$AG$109,"W"&amp;V106,$B$10:$B$109,"&lt;&gt;")&lt;&gt;1),AND(L106=3,COUNTIFS($AG$10:$AG$109,"W"&amp;W106,$B$10:$B$109,"&lt;&gt;")&lt;&gt;1),COUNTIFS($AG$10:$AG$109,"W"&amp;V106,$J$10:$J$109,"删除")&gt;0,COUNTIFS($AG$10:$AG$109,"W"&amp;W106,$J$10:$J$109,"删除")&gt;0),0,1)</f>
        <v>0</v>
      </c>
      <c r="Q106" s="1">
        <f>IF(AA106=0,0,IF(I106="里程碑",1,F106))</f>
        <v>0</v>
      </c>
      <c r="R106" s="1">
        <f>IF(AA106=0,0,Q106*G106)</f>
        <v>0</v>
      </c>
      <c r="S106" s="1">
        <f>IF(P106=0,1000000000000000,AB106*1000000+AC106*1000+AD106)</f>
        <v>1000000000000000</v>
      </c>
      <c r="T106" s="1">
        <f>IF(P106=0,0,IF(Timing浏览!$D$5="全部",1,IF(Timing浏览!$D$5="仅里程碑",IF(K106="里程碑",1,0),IF(L106&lt;=VALUE(LEFT(Timing浏览!$D$5,1)),1,0))))</f>
        <v>0</v>
      </c>
      <c r="U106" s="1" t="str">
        <f>IF(T106=0,"",COUNTIFS($S$10:$S$109,"&lt;"&amp;S106,$T$10:$T$109,1)+1)</f>
        <v/>
      </c>
      <c r="V106" s="1" t="str">
        <f>IF(OR(A106="",L106=1),"",IF(L106=2,TEXT(AB106,"0"),TEXT(AB106,"0")&amp;"."&amp;TEXT(AC106,"0")))</f>
        <v/>
      </c>
      <c r="W106" s="1" t="str">
        <f>IF(OR(A106="",L106=1),"",TEXT(AB106,"0"))</f>
        <v/>
      </c>
      <c r="X106" s="1" t="str">
        <f>IF(AND(A106="",B106=""),"",IF(OR(A106="",B106=""),"请补编号和名称",IF(AE106=0,"编号需为1至3级正整数",IF(COUNTIFS($AG$10:$AG$109,"W"&amp;A106)&lt;&gt;1,"编号重复",IF(AND(L106&gt;1,COUNTIFS($AG$10:$AG$109,"W"&amp;V106,$B$10:$B$109,"&lt;&gt;")&lt;&gt;1),"缺少父任务",IF(J106="删除","待删除",IF(P106=0,"父任务已删除或无效",IF(K106="汇总",IF(COUNTIFS($S$10:$S$109,"&gt;"&amp;S106,$S$10:$S$109,"&lt;"&amp;(S106+IF(L106=1,1000000,IF(L106=2,1000,1))),$P$10:$P$109,1)=0,"等待子任务","由下级汇总"),IF(OR(D106="",E106=""),"待补日期",IF(E106&lt;D106,"结束早于开始",IF(AND(I106="里程碑",D106&lt;&gt;E106),"里程碑须同日","")))))))))))</f>
        <v/>
      </c>
      <c r="Y106" s="1">
        <f>IF(AA106=1,D106,100000000)</f>
        <v>100000000</v>
      </c>
      <c r="Z106" s="1">
        <f>IF(AA106=1,E106,0)</f>
        <v>0</v>
      </c>
      <c r="AA106" s="1">
        <f>IF(AND(P106=1,K106&lt;&gt;"汇总",ISNUMBER(F106),OR(I106&lt;&gt;"里程碑",D106=E106)),1,0)</f>
        <v>0</v>
      </c>
      <c r="AB106" s="1">
        <f>IF(A106="",0,IFERROR(VALUE(MID(("W"&amp;A106),2,FIND(".",("W"&amp;A106)&amp;".")-2)),-1))</f>
        <v>0</v>
      </c>
      <c r="AC106" s="1">
        <f>IF(OR(A106="",L106&lt;2),0,IFERROR(VALUE(MID(("W"&amp;A106),FIND(".",("W"&amp;A106))+1,FIND(".",("W"&amp;A106)&amp;".",FIND(".",("W"&amp;A106))+1)-FIND(".",("W"&amp;A106))-1)),-1))</f>
        <v>0</v>
      </c>
      <c r="AD106" s="1">
        <f>IF(OR(A106="",L106&lt;3),0,IFERROR(VALUE(RIGHT(("W"&amp;A106),LEN(("W"&amp;A106))-FIND(".",("W"&amp;A106),FIND(".",("W"&amp;A106))+1))),-1))</f>
        <v>0</v>
      </c>
      <c r="AE106" s="1">
        <f>IF(A106="",0,IF(AND(L106&lt;=3,AB106&gt;=1,AB106&lt;=999,AC106&gt;=0,AC106&lt;=999,AD106&gt;=0,AD106&lt;=999,A106=TEXT(AB106,"0")&amp;IF(L106&gt;1,"."&amp;TEXT(AC106,"0"),"")&amp;IF(L106&gt;2,"."&amp;TEXT(AD106,"0"),""),OR(L106&lt;2,AC106&gt;=1),OR(L106&lt;3,AD106&gt;=1)),1,0))</f>
        <v>0</v>
      </c>
      <c r="AF106" s="1"/>
      <c r="AG106" t="str">
        <f>"W"&amp;A106</f>
        <v>W</v>
      </c>
    </row>
    <row r="107" spans="1:33" ht="16.5">
      <c r="A107" s="12" t="str">
        <f>IF(ROW()-9&gt;ROWS(TimingTasks[WBS]),"",IF(AND(INDEX(TimingTasks[WBS],ROW()-9)="",NOT(ISNUMBER(INDEX(TimingTasks[WBS],ROW()-9)))),"",INDEX(TimingTasks[WBS],ROW()-9)))</f>
        <v/>
      </c>
      <c r="B107" s="10" t="str">
        <f>IF(ROW()-9&gt;ROWS(TimingTasks[WBS]),"",IF(AND(INDEX(TimingTasks[任务名称],ROW()-9)="",NOT(ISNUMBER(INDEX(TimingTasks[任务名称],ROW()-9)))),"",INDEX(TimingTasks[任务名称],ROW()-9)))</f>
        <v/>
      </c>
      <c r="C107" s="10" t="str">
        <f>IF(ROW()-9&gt;ROWS(TimingTasks[WBS]),"",IF(AND(INDEX(TimingTasks[负责人],ROW()-9)="",NOT(ISNUMBER(INDEX(TimingTasks[负责人],ROW()-9)))),"",INDEX(TimingTasks[负责人],ROW()-9)))</f>
        <v/>
      </c>
      <c r="D107" s="11" t="str">
        <f>IF(ROW()-9&gt;ROWS(TimingTasks[WBS]),"",IF(AND(INDEX(TimingTasks[输入开始],ROW()-9)="",NOT(ISNUMBER(INDEX(TimingTasks[输入开始],ROW()-9)))),"",INDEX(TimingTasks[输入开始],ROW()-9)))</f>
        <v/>
      </c>
      <c r="E107" s="11" t="str">
        <f>IF(ROW()-9&gt;ROWS(TimingTasks[WBS]),"",IF(AND(INDEX(TimingTasks[输入结束],ROW()-9)="",NOT(ISNUMBER(INDEX(TimingTasks[输入结束],ROW()-9)))),"",INDEX(TimingTasks[输入结束],ROW()-9)))</f>
        <v/>
      </c>
      <c r="F107" s="1" t="str">
        <f>IF(OR(P107=0,K107="汇总",D107="",E107="",E107&lt;D107),"",IF(I107="里程碑",0,NETWORKDAYS(D107,E107)))</f>
        <v/>
      </c>
      <c r="G107" s="15" t="str">
        <f>IF(ROW()-9&gt;ROWS(TimingTasks[WBS]),"",IF(AND(INDEX(TimingTasks[输入完成度],ROW()-9)="",NOT(ISNUMBER(INDEX(TimingTasks[输入完成度],ROW()-9)))),0,INDEX(TimingTasks[输入完成度],ROW()-9)))</f>
        <v/>
      </c>
      <c r="H107" s="10" t="str">
        <f>IF(ROW()-9&gt;ROWS(TimingTasks[WBS]),"",IF(AND(INDEX(TimingTasks[前置任务 WBS],ROW()-9)="",NOT(ISNUMBER(INDEX(TimingTasks[前置任务 WBS],ROW()-9)))),"",INDEX(TimingTasks[前置任务 WBS],ROW()-9)))</f>
        <v/>
      </c>
      <c r="I107" s="10" t="str">
        <f>IF(ROW()-9&gt;ROWS(TimingTasks[WBS]),"",IF(AND(INDEX(TimingTasks[叶子类型],ROW()-9)="",NOT(ISNUMBER(INDEX(TimingTasks[叶子类型],ROW()-9)))),"普通任务",INDEX(TimingTasks[叶子类型],ROW()-9)))</f>
        <v/>
      </c>
      <c r="J107" s="10" t="str">
        <f>IF(ROW()-9&gt;ROWS(TimingTasks[WBS]),"",IF(AND(INDEX(TimingTasks[操作],ROW()-9)="",NOT(ISNUMBER(INDEX(TimingTasks[操作],ROW()-9)))),"保留",INDEX(TimingTasks[操作],ROW()-9)))</f>
        <v/>
      </c>
      <c r="K107" s="1" t="str">
        <f>IF(P107=0,"",IF(OR(AND(L107=1,D107="",E107="",I107&lt;&gt;"里程碑"),COUNTIFS($S$10:$S$109,"&gt;"&amp;S107,$S$10:$S$109,"&lt;"&amp;(S107+IF(L107=1,1000000,IF(L107=2,1000,1))),$P$10:$P$109,1)&gt;0),"汇总",I107))</f>
        <v/>
      </c>
      <c r="L107" s="1" t="str">
        <f>IF(A107="","",LEN(("W"&amp;A107))-LEN(SUBSTITUTE(("W"&amp;A107),".",""))+1)</f>
        <v/>
      </c>
      <c r="M107" s="3" t="str">
        <f>IF(P107=0,"",IF(K107="汇总",IF(COUNTIFS($S$10:$S$109,"&gt;"&amp;S107,$S$10:$S$109,"&lt;"&amp;(S107+IF(L107=1,1000000,IF(L107=2,1000,1))),$AA$10:$AA$109,1)=0,"",_xlfn.MINIFS($Y$10:$Y$109,$S$10:$S$109,"&gt;"&amp;S107,$S$10:$S$109,"&lt;"&amp;(S107+IF(L107=1,1000000,IF(L107=2,1000,1))),$AA$10:$AA$109,1)),IF(AA107=1,D107,"")))</f>
        <v/>
      </c>
      <c r="N107" s="3" t="str">
        <f>IF(P107=0,"",IF(K107="汇总",IF(COUNTIFS($S$10:$S$109,"&gt;"&amp;S107,$S$10:$S$109,"&lt;"&amp;(S107+IF(L107=1,1000000,IF(L107=2,1000,1))),$AA$10:$AA$109,1)=0,"",_xlfn.MAXIFS($Z$10:$Z$109,$S$10:$S$109,"&gt;"&amp;S107,$S$10:$S$109,"&lt;"&amp;(S107+IF(L107=1,1000000,IF(L107=2,1000,1))),$AA$10:$AA$109,1)),IF(AA107=1,E107,"")))</f>
        <v/>
      </c>
      <c r="O107" s="7" t="str">
        <f>IF(K107="汇总",ROUND((IF(P107=0,"",IF(K107="汇总",IF(SUMIFS($Q$10:$Q$109,$S$10:$S$109,"&gt;"&amp;S107,$S$10:$S$109,"&lt;"&amp;(S107+IF(L107=1,1000000,IF(L107=2,1000,1))))=0,0,SUMIFS($R$10:$R$109,$S$10:$S$109,"&gt;"&amp;S107,$S$10:$S$109,"&lt;"&amp;(S107+IF(L107=1,1000000,IF(L107=2,1000,1))))/SUMIFS($Q$10:$Q$109,$S$10:$S$109,"&gt;"&amp;S107,$S$10:$S$109,"&lt;"&amp;(S107+IF(L107=1,1000000,IF(L107=2,1000,1))))),G107)))*100,0)/100,IF(P107=0,"",IF(K107="汇总",IF(SUMIFS($Q$10:$Q$109,$S$10:$S$109,"&gt;"&amp;S107,$S$10:$S$109,"&lt;"&amp;(S107+IF(L107=1,1000000,IF(L107=2,1000,1))))=0,0,SUMIFS($R$10:$R$109,$S$10:$S$109,"&gt;"&amp;S107,$S$10:$S$109,"&lt;"&amp;(S107+IF(L107=1,1000000,IF(L107=2,1000,1))))/SUMIFS($Q$10:$Q$109,$S$10:$S$109,"&gt;"&amp;S107,$S$10:$S$109,"&lt;"&amp;(S107+IF(L107=1,1000000,IF(L107=2,1000,1))))),G107)))</f>
        <v/>
      </c>
      <c r="P107" s="1">
        <f>IF(OR(A107="",B107="",J107="删除",AE107=0,COUNTIFS($AG$10:$AG$109,"W"&amp;A107)&lt;&gt;1,AND(L107&gt;1,COUNTIFS($AG$10:$AG$109,"W"&amp;V107,$B$10:$B$109,"&lt;&gt;")&lt;&gt;1),AND(L107=3,COUNTIFS($AG$10:$AG$109,"W"&amp;W107,$B$10:$B$109,"&lt;&gt;")&lt;&gt;1),COUNTIFS($AG$10:$AG$109,"W"&amp;V107,$J$10:$J$109,"删除")&gt;0,COUNTIFS($AG$10:$AG$109,"W"&amp;W107,$J$10:$J$109,"删除")&gt;0),0,1)</f>
        <v>0</v>
      </c>
      <c r="Q107" s="1">
        <f>IF(AA107=0,0,IF(I107="里程碑",1,F107))</f>
        <v>0</v>
      </c>
      <c r="R107" s="1">
        <f>IF(AA107=0,0,Q107*G107)</f>
        <v>0</v>
      </c>
      <c r="S107" s="1">
        <f>IF(P107=0,1000000000000000,AB107*1000000+AC107*1000+AD107)</f>
        <v>1000000000000000</v>
      </c>
      <c r="T107" s="1">
        <f>IF(P107=0,0,IF(Timing浏览!$D$5="全部",1,IF(Timing浏览!$D$5="仅里程碑",IF(K107="里程碑",1,0),IF(L107&lt;=VALUE(LEFT(Timing浏览!$D$5,1)),1,0))))</f>
        <v>0</v>
      </c>
      <c r="U107" s="1" t="str">
        <f>IF(T107=0,"",COUNTIFS($S$10:$S$109,"&lt;"&amp;S107,$T$10:$T$109,1)+1)</f>
        <v/>
      </c>
      <c r="V107" s="1" t="str">
        <f>IF(OR(A107="",L107=1),"",IF(L107=2,TEXT(AB107,"0"),TEXT(AB107,"0")&amp;"."&amp;TEXT(AC107,"0")))</f>
        <v/>
      </c>
      <c r="W107" s="1" t="str">
        <f>IF(OR(A107="",L107=1),"",TEXT(AB107,"0"))</f>
        <v/>
      </c>
      <c r="X107" s="1" t="str">
        <f>IF(AND(A107="",B107=""),"",IF(OR(A107="",B107=""),"请补编号和名称",IF(AE107=0,"编号需为1至3级正整数",IF(COUNTIFS($AG$10:$AG$109,"W"&amp;A107)&lt;&gt;1,"编号重复",IF(AND(L107&gt;1,COUNTIFS($AG$10:$AG$109,"W"&amp;V107,$B$10:$B$109,"&lt;&gt;")&lt;&gt;1),"缺少父任务",IF(J107="删除","待删除",IF(P107=0,"父任务已删除或无效",IF(K107="汇总",IF(COUNTIFS($S$10:$S$109,"&gt;"&amp;S107,$S$10:$S$109,"&lt;"&amp;(S107+IF(L107=1,1000000,IF(L107=2,1000,1))),$P$10:$P$109,1)=0,"等待子任务","由下级汇总"),IF(OR(D107="",E107=""),"待补日期",IF(E107&lt;D107,"结束早于开始",IF(AND(I107="里程碑",D107&lt;&gt;E107),"里程碑须同日","")))))))))))</f>
        <v/>
      </c>
      <c r="Y107" s="1">
        <f>IF(AA107=1,D107,100000000)</f>
        <v>100000000</v>
      </c>
      <c r="Z107" s="1">
        <f>IF(AA107=1,E107,0)</f>
        <v>0</v>
      </c>
      <c r="AA107" s="1">
        <f>IF(AND(P107=1,K107&lt;&gt;"汇总",ISNUMBER(F107),OR(I107&lt;&gt;"里程碑",D107=E107)),1,0)</f>
        <v>0</v>
      </c>
      <c r="AB107" s="1">
        <f>IF(A107="",0,IFERROR(VALUE(MID(("W"&amp;A107),2,FIND(".",("W"&amp;A107)&amp;".")-2)),-1))</f>
        <v>0</v>
      </c>
      <c r="AC107" s="1">
        <f>IF(OR(A107="",L107&lt;2),0,IFERROR(VALUE(MID(("W"&amp;A107),FIND(".",("W"&amp;A107))+1,FIND(".",("W"&amp;A107)&amp;".",FIND(".",("W"&amp;A107))+1)-FIND(".",("W"&amp;A107))-1)),-1))</f>
        <v>0</v>
      </c>
      <c r="AD107" s="1">
        <f>IF(OR(A107="",L107&lt;3),0,IFERROR(VALUE(RIGHT(("W"&amp;A107),LEN(("W"&amp;A107))-FIND(".",("W"&amp;A107),FIND(".",("W"&amp;A107))+1))),-1))</f>
        <v>0</v>
      </c>
      <c r="AE107" s="1">
        <f>IF(A107="",0,IF(AND(L107&lt;=3,AB107&gt;=1,AB107&lt;=999,AC107&gt;=0,AC107&lt;=999,AD107&gt;=0,AD107&lt;=999,A107=TEXT(AB107,"0")&amp;IF(L107&gt;1,"."&amp;TEXT(AC107,"0"),"")&amp;IF(L107&gt;2,"."&amp;TEXT(AD107,"0"),""),OR(L107&lt;2,AC107&gt;=1),OR(L107&lt;3,AD107&gt;=1)),1,0))</f>
        <v>0</v>
      </c>
      <c r="AF107" s="1"/>
      <c r="AG107" t="str">
        <f>"W"&amp;A107</f>
        <v>W</v>
      </c>
    </row>
    <row r="108" spans="1:33" ht="16.5">
      <c r="A108" s="12" t="str">
        <f>IF(ROW()-9&gt;ROWS(TimingTasks[WBS]),"",IF(AND(INDEX(TimingTasks[WBS],ROW()-9)="",NOT(ISNUMBER(INDEX(TimingTasks[WBS],ROW()-9)))),"",INDEX(TimingTasks[WBS],ROW()-9)))</f>
        <v/>
      </c>
      <c r="B108" s="10" t="str">
        <f>IF(ROW()-9&gt;ROWS(TimingTasks[WBS]),"",IF(AND(INDEX(TimingTasks[任务名称],ROW()-9)="",NOT(ISNUMBER(INDEX(TimingTasks[任务名称],ROW()-9)))),"",INDEX(TimingTasks[任务名称],ROW()-9)))</f>
        <v/>
      </c>
      <c r="C108" s="10" t="str">
        <f>IF(ROW()-9&gt;ROWS(TimingTasks[WBS]),"",IF(AND(INDEX(TimingTasks[负责人],ROW()-9)="",NOT(ISNUMBER(INDEX(TimingTasks[负责人],ROW()-9)))),"",INDEX(TimingTasks[负责人],ROW()-9)))</f>
        <v/>
      </c>
      <c r="D108" s="11" t="str">
        <f>IF(ROW()-9&gt;ROWS(TimingTasks[WBS]),"",IF(AND(INDEX(TimingTasks[输入开始],ROW()-9)="",NOT(ISNUMBER(INDEX(TimingTasks[输入开始],ROW()-9)))),"",INDEX(TimingTasks[输入开始],ROW()-9)))</f>
        <v/>
      </c>
      <c r="E108" s="11" t="str">
        <f>IF(ROW()-9&gt;ROWS(TimingTasks[WBS]),"",IF(AND(INDEX(TimingTasks[输入结束],ROW()-9)="",NOT(ISNUMBER(INDEX(TimingTasks[输入结束],ROW()-9)))),"",INDEX(TimingTasks[输入结束],ROW()-9)))</f>
        <v/>
      </c>
      <c r="F108" s="1" t="str">
        <f>IF(OR(P108=0,K108="汇总",D108="",E108="",E108&lt;D108),"",IF(I108="里程碑",0,NETWORKDAYS(D108,E108)))</f>
        <v/>
      </c>
      <c r="G108" s="15" t="str">
        <f>IF(ROW()-9&gt;ROWS(TimingTasks[WBS]),"",IF(AND(INDEX(TimingTasks[输入完成度],ROW()-9)="",NOT(ISNUMBER(INDEX(TimingTasks[输入完成度],ROW()-9)))),0,INDEX(TimingTasks[输入完成度],ROW()-9)))</f>
        <v/>
      </c>
      <c r="H108" s="10" t="str">
        <f>IF(ROW()-9&gt;ROWS(TimingTasks[WBS]),"",IF(AND(INDEX(TimingTasks[前置任务 WBS],ROW()-9)="",NOT(ISNUMBER(INDEX(TimingTasks[前置任务 WBS],ROW()-9)))),"",INDEX(TimingTasks[前置任务 WBS],ROW()-9)))</f>
        <v/>
      </c>
      <c r="I108" s="10" t="str">
        <f>IF(ROW()-9&gt;ROWS(TimingTasks[WBS]),"",IF(AND(INDEX(TimingTasks[叶子类型],ROW()-9)="",NOT(ISNUMBER(INDEX(TimingTasks[叶子类型],ROW()-9)))),"普通任务",INDEX(TimingTasks[叶子类型],ROW()-9)))</f>
        <v/>
      </c>
      <c r="J108" s="10" t="str">
        <f>IF(ROW()-9&gt;ROWS(TimingTasks[WBS]),"",IF(AND(INDEX(TimingTasks[操作],ROW()-9)="",NOT(ISNUMBER(INDEX(TimingTasks[操作],ROW()-9)))),"保留",INDEX(TimingTasks[操作],ROW()-9)))</f>
        <v/>
      </c>
      <c r="K108" s="1" t="str">
        <f>IF(P108=0,"",IF(OR(AND(L108=1,D108="",E108="",I108&lt;&gt;"里程碑"),COUNTIFS($S$10:$S$109,"&gt;"&amp;S108,$S$10:$S$109,"&lt;"&amp;(S108+IF(L108=1,1000000,IF(L108=2,1000,1))),$P$10:$P$109,1)&gt;0),"汇总",I108))</f>
        <v/>
      </c>
      <c r="L108" s="1" t="str">
        <f>IF(A108="","",LEN(("W"&amp;A108))-LEN(SUBSTITUTE(("W"&amp;A108),".",""))+1)</f>
        <v/>
      </c>
      <c r="M108" s="3" t="str">
        <f>IF(P108=0,"",IF(K108="汇总",IF(COUNTIFS($S$10:$S$109,"&gt;"&amp;S108,$S$10:$S$109,"&lt;"&amp;(S108+IF(L108=1,1000000,IF(L108=2,1000,1))),$AA$10:$AA$109,1)=0,"",_xlfn.MINIFS($Y$10:$Y$109,$S$10:$S$109,"&gt;"&amp;S108,$S$10:$S$109,"&lt;"&amp;(S108+IF(L108=1,1000000,IF(L108=2,1000,1))),$AA$10:$AA$109,1)),IF(AA108=1,D108,"")))</f>
        <v/>
      </c>
      <c r="N108" s="3" t="str">
        <f>IF(P108=0,"",IF(K108="汇总",IF(COUNTIFS($S$10:$S$109,"&gt;"&amp;S108,$S$10:$S$109,"&lt;"&amp;(S108+IF(L108=1,1000000,IF(L108=2,1000,1))),$AA$10:$AA$109,1)=0,"",_xlfn.MAXIFS($Z$10:$Z$109,$S$10:$S$109,"&gt;"&amp;S108,$S$10:$S$109,"&lt;"&amp;(S108+IF(L108=1,1000000,IF(L108=2,1000,1))),$AA$10:$AA$109,1)),IF(AA108=1,E108,"")))</f>
        <v/>
      </c>
      <c r="O108" s="7" t="str">
        <f>IF(K108="汇总",ROUND((IF(P108=0,"",IF(K108="汇总",IF(SUMIFS($Q$10:$Q$109,$S$10:$S$109,"&gt;"&amp;S108,$S$10:$S$109,"&lt;"&amp;(S108+IF(L108=1,1000000,IF(L108=2,1000,1))))=0,0,SUMIFS($R$10:$R$109,$S$10:$S$109,"&gt;"&amp;S108,$S$10:$S$109,"&lt;"&amp;(S108+IF(L108=1,1000000,IF(L108=2,1000,1))))/SUMIFS($Q$10:$Q$109,$S$10:$S$109,"&gt;"&amp;S108,$S$10:$S$109,"&lt;"&amp;(S108+IF(L108=1,1000000,IF(L108=2,1000,1))))),G108)))*100,0)/100,IF(P108=0,"",IF(K108="汇总",IF(SUMIFS($Q$10:$Q$109,$S$10:$S$109,"&gt;"&amp;S108,$S$10:$S$109,"&lt;"&amp;(S108+IF(L108=1,1000000,IF(L108=2,1000,1))))=0,0,SUMIFS($R$10:$R$109,$S$10:$S$109,"&gt;"&amp;S108,$S$10:$S$109,"&lt;"&amp;(S108+IF(L108=1,1000000,IF(L108=2,1000,1))))/SUMIFS($Q$10:$Q$109,$S$10:$S$109,"&gt;"&amp;S108,$S$10:$S$109,"&lt;"&amp;(S108+IF(L108=1,1000000,IF(L108=2,1000,1))))),G108)))</f>
        <v/>
      </c>
      <c r="P108" s="1">
        <f>IF(OR(A108="",B108="",J108="删除",AE108=0,COUNTIFS($AG$10:$AG$109,"W"&amp;A108)&lt;&gt;1,AND(L108&gt;1,COUNTIFS($AG$10:$AG$109,"W"&amp;V108,$B$10:$B$109,"&lt;&gt;")&lt;&gt;1),AND(L108=3,COUNTIFS($AG$10:$AG$109,"W"&amp;W108,$B$10:$B$109,"&lt;&gt;")&lt;&gt;1),COUNTIFS($AG$10:$AG$109,"W"&amp;V108,$J$10:$J$109,"删除")&gt;0,COUNTIFS($AG$10:$AG$109,"W"&amp;W108,$J$10:$J$109,"删除")&gt;0),0,1)</f>
        <v>0</v>
      </c>
      <c r="Q108" s="1">
        <f>IF(AA108=0,0,IF(I108="里程碑",1,F108))</f>
        <v>0</v>
      </c>
      <c r="R108" s="1">
        <f>IF(AA108=0,0,Q108*G108)</f>
        <v>0</v>
      </c>
      <c r="S108" s="1">
        <f>IF(P108=0,1000000000000000,AB108*1000000+AC108*1000+AD108)</f>
        <v>1000000000000000</v>
      </c>
      <c r="T108" s="1">
        <f>IF(P108=0,0,IF(Timing浏览!$D$5="全部",1,IF(Timing浏览!$D$5="仅里程碑",IF(K108="里程碑",1,0),IF(L108&lt;=VALUE(LEFT(Timing浏览!$D$5,1)),1,0))))</f>
        <v>0</v>
      </c>
      <c r="U108" s="1" t="str">
        <f>IF(T108=0,"",COUNTIFS($S$10:$S$109,"&lt;"&amp;S108,$T$10:$T$109,1)+1)</f>
        <v/>
      </c>
      <c r="V108" s="1" t="str">
        <f>IF(OR(A108="",L108=1),"",IF(L108=2,TEXT(AB108,"0"),TEXT(AB108,"0")&amp;"."&amp;TEXT(AC108,"0")))</f>
        <v/>
      </c>
      <c r="W108" s="1" t="str">
        <f>IF(OR(A108="",L108=1),"",TEXT(AB108,"0"))</f>
        <v/>
      </c>
      <c r="X108" s="1" t="str">
        <f>IF(AND(A108="",B108=""),"",IF(OR(A108="",B108=""),"请补编号和名称",IF(AE108=0,"编号需为1至3级正整数",IF(COUNTIFS($AG$10:$AG$109,"W"&amp;A108)&lt;&gt;1,"编号重复",IF(AND(L108&gt;1,COUNTIFS($AG$10:$AG$109,"W"&amp;V108,$B$10:$B$109,"&lt;&gt;")&lt;&gt;1),"缺少父任务",IF(J108="删除","待删除",IF(P108=0,"父任务已删除或无效",IF(K108="汇总",IF(COUNTIFS($S$10:$S$109,"&gt;"&amp;S108,$S$10:$S$109,"&lt;"&amp;(S108+IF(L108=1,1000000,IF(L108=2,1000,1))),$P$10:$P$109,1)=0,"等待子任务","由下级汇总"),IF(OR(D108="",E108=""),"待补日期",IF(E108&lt;D108,"结束早于开始",IF(AND(I108="里程碑",D108&lt;&gt;E108),"里程碑须同日","")))))))))))</f>
        <v/>
      </c>
      <c r="Y108" s="1">
        <f>IF(AA108=1,D108,100000000)</f>
        <v>100000000</v>
      </c>
      <c r="Z108" s="1">
        <f>IF(AA108=1,E108,0)</f>
        <v>0</v>
      </c>
      <c r="AA108" s="1">
        <f>IF(AND(P108=1,K108&lt;&gt;"汇总",ISNUMBER(F108),OR(I108&lt;&gt;"里程碑",D108=E108)),1,0)</f>
        <v>0</v>
      </c>
      <c r="AB108" s="1">
        <f>IF(A108="",0,IFERROR(VALUE(MID(("W"&amp;A108),2,FIND(".",("W"&amp;A108)&amp;".")-2)),-1))</f>
        <v>0</v>
      </c>
      <c r="AC108" s="1">
        <f>IF(OR(A108="",L108&lt;2),0,IFERROR(VALUE(MID(("W"&amp;A108),FIND(".",("W"&amp;A108))+1,FIND(".",("W"&amp;A108)&amp;".",FIND(".",("W"&amp;A108))+1)-FIND(".",("W"&amp;A108))-1)),-1))</f>
        <v>0</v>
      </c>
      <c r="AD108" s="1">
        <f>IF(OR(A108="",L108&lt;3),0,IFERROR(VALUE(RIGHT(("W"&amp;A108),LEN(("W"&amp;A108))-FIND(".",("W"&amp;A108),FIND(".",("W"&amp;A108))+1))),-1))</f>
        <v>0</v>
      </c>
      <c r="AE108" s="1">
        <f>IF(A108="",0,IF(AND(L108&lt;=3,AB108&gt;=1,AB108&lt;=999,AC108&gt;=0,AC108&lt;=999,AD108&gt;=0,AD108&lt;=999,A108=TEXT(AB108,"0")&amp;IF(L108&gt;1,"."&amp;TEXT(AC108,"0"),"")&amp;IF(L108&gt;2,"."&amp;TEXT(AD108,"0"),""),OR(L108&lt;2,AC108&gt;=1),OR(L108&lt;3,AD108&gt;=1)),1,0))</f>
        <v>0</v>
      </c>
      <c r="AF108" s="1"/>
      <c r="AG108" t="str">
        <f>"W"&amp;A108</f>
        <v>W</v>
      </c>
    </row>
    <row r="109" spans="1:33" ht="16.5">
      <c r="A109" s="12" t="str">
        <f>IF(ROW()-9&gt;ROWS(TimingTasks[WBS]),"",IF(AND(INDEX(TimingTasks[WBS],ROW()-9)="",NOT(ISNUMBER(INDEX(TimingTasks[WBS],ROW()-9)))),"",INDEX(TimingTasks[WBS],ROW()-9)))</f>
        <v/>
      </c>
      <c r="B109" s="10" t="str">
        <f>IF(ROW()-9&gt;ROWS(TimingTasks[WBS]),"",IF(AND(INDEX(TimingTasks[任务名称],ROW()-9)="",NOT(ISNUMBER(INDEX(TimingTasks[任务名称],ROW()-9)))),"",INDEX(TimingTasks[任务名称],ROW()-9)))</f>
        <v/>
      </c>
      <c r="C109" s="10" t="str">
        <f>IF(ROW()-9&gt;ROWS(TimingTasks[WBS]),"",IF(AND(INDEX(TimingTasks[负责人],ROW()-9)="",NOT(ISNUMBER(INDEX(TimingTasks[负责人],ROW()-9)))),"",INDEX(TimingTasks[负责人],ROW()-9)))</f>
        <v/>
      </c>
      <c r="D109" s="11" t="str">
        <f>IF(ROW()-9&gt;ROWS(TimingTasks[WBS]),"",IF(AND(INDEX(TimingTasks[输入开始],ROW()-9)="",NOT(ISNUMBER(INDEX(TimingTasks[输入开始],ROW()-9)))),"",INDEX(TimingTasks[输入开始],ROW()-9)))</f>
        <v/>
      </c>
      <c r="E109" s="11" t="str">
        <f>IF(ROW()-9&gt;ROWS(TimingTasks[WBS]),"",IF(AND(INDEX(TimingTasks[输入结束],ROW()-9)="",NOT(ISNUMBER(INDEX(TimingTasks[输入结束],ROW()-9)))),"",INDEX(TimingTasks[输入结束],ROW()-9)))</f>
        <v/>
      </c>
      <c r="F109" s="1" t="str">
        <f>IF(OR(P109=0,K109="汇总",D109="",E109="",E109&lt;D109),"",IF(I109="里程碑",0,NETWORKDAYS(D109,E109)))</f>
        <v/>
      </c>
      <c r="G109" s="15" t="str">
        <f>IF(ROW()-9&gt;ROWS(TimingTasks[WBS]),"",IF(AND(INDEX(TimingTasks[输入完成度],ROW()-9)="",NOT(ISNUMBER(INDEX(TimingTasks[输入完成度],ROW()-9)))),0,INDEX(TimingTasks[输入完成度],ROW()-9)))</f>
        <v/>
      </c>
      <c r="H109" s="10" t="str">
        <f>IF(ROW()-9&gt;ROWS(TimingTasks[WBS]),"",IF(AND(INDEX(TimingTasks[前置任务 WBS],ROW()-9)="",NOT(ISNUMBER(INDEX(TimingTasks[前置任务 WBS],ROW()-9)))),"",INDEX(TimingTasks[前置任务 WBS],ROW()-9)))</f>
        <v/>
      </c>
      <c r="I109" s="10" t="str">
        <f>IF(ROW()-9&gt;ROWS(TimingTasks[WBS]),"",IF(AND(INDEX(TimingTasks[叶子类型],ROW()-9)="",NOT(ISNUMBER(INDEX(TimingTasks[叶子类型],ROW()-9)))),"普通任务",INDEX(TimingTasks[叶子类型],ROW()-9)))</f>
        <v/>
      </c>
      <c r="J109" s="10" t="str">
        <f>IF(ROW()-9&gt;ROWS(TimingTasks[WBS]),"",IF(AND(INDEX(TimingTasks[操作],ROW()-9)="",NOT(ISNUMBER(INDEX(TimingTasks[操作],ROW()-9)))),"保留",INDEX(TimingTasks[操作],ROW()-9)))</f>
        <v/>
      </c>
      <c r="K109" s="1" t="str">
        <f>IF(P109=0,"",IF(OR(AND(L109=1,D109="",E109="",I109&lt;&gt;"里程碑"),COUNTIFS($S$10:$S$109,"&gt;"&amp;S109,$S$10:$S$109,"&lt;"&amp;(S109+IF(L109=1,1000000,IF(L109=2,1000,1))),$P$10:$P$109,1)&gt;0),"汇总",I109))</f>
        <v/>
      </c>
      <c r="L109" s="1" t="str">
        <f>IF(A109="","",LEN(("W"&amp;A109))-LEN(SUBSTITUTE(("W"&amp;A109),".",""))+1)</f>
        <v/>
      </c>
      <c r="M109" s="3" t="str">
        <f>IF(P109=0,"",IF(K109="汇总",IF(COUNTIFS($S$10:$S$109,"&gt;"&amp;S109,$S$10:$S$109,"&lt;"&amp;(S109+IF(L109=1,1000000,IF(L109=2,1000,1))),$AA$10:$AA$109,1)=0,"",_xlfn.MINIFS($Y$10:$Y$109,$S$10:$S$109,"&gt;"&amp;S109,$S$10:$S$109,"&lt;"&amp;(S109+IF(L109=1,1000000,IF(L109=2,1000,1))),$AA$10:$AA$109,1)),IF(AA109=1,D109,"")))</f>
        <v/>
      </c>
      <c r="N109" s="3" t="str">
        <f>IF(P109=0,"",IF(K109="汇总",IF(COUNTIFS($S$10:$S$109,"&gt;"&amp;S109,$S$10:$S$109,"&lt;"&amp;(S109+IF(L109=1,1000000,IF(L109=2,1000,1))),$AA$10:$AA$109,1)=0,"",_xlfn.MAXIFS($Z$10:$Z$109,$S$10:$S$109,"&gt;"&amp;S109,$S$10:$S$109,"&lt;"&amp;(S109+IF(L109=1,1000000,IF(L109=2,1000,1))),$AA$10:$AA$109,1)),IF(AA109=1,E109,"")))</f>
        <v/>
      </c>
      <c r="O109" s="7" t="str">
        <f>IF(K109="汇总",ROUND((IF(P109=0,"",IF(K109="汇总",IF(SUMIFS($Q$10:$Q$109,$S$10:$S$109,"&gt;"&amp;S109,$S$10:$S$109,"&lt;"&amp;(S109+IF(L109=1,1000000,IF(L109=2,1000,1))))=0,0,SUMIFS($R$10:$R$109,$S$10:$S$109,"&gt;"&amp;S109,$S$10:$S$109,"&lt;"&amp;(S109+IF(L109=1,1000000,IF(L109=2,1000,1))))/SUMIFS($Q$10:$Q$109,$S$10:$S$109,"&gt;"&amp;S109,$S$10:$S$109,"&lt;"&amp;(S109+IF(L109=1,1000000,IF(L109=2,1000,1))))),G109)))*100,0)/100,IF(P109=0,"",IF(K109="汇总",IF(SUMIFS($Q$10:$Q$109,$S$10:$S$109,"&gt;"&amp;S109,$S$10:$S$109,"&lt;"&amp;(S109+IF(L109=1,1000000,IF(L109=2,1000,1))))=0,0,SUMIFS($R$10:$R$109,$S$10:$S$109,"&gt;"&amp;S109,$S$10:$S$109,"&lt;"&amp;(S109+IF(L109=1,1000000,IF(L109=2,1000,1))))/SUMIFS($Q$10:$Q$109,$S$10:$S$109,"&gt;"&amp;S109,$S$10:$S$109,"&lt;"&amp;(S109+IF(L109=1,1000000,IF(L109=2,1000,1))))),G109)))</f>
        <v/>
      </c>
      <c r="P109" s="1">
        <f>IF(OR(A109="",B109="",J109="删除",AE109=0,COUNTIFS($AG$10:$AG$109,"W"&amp;A109)&lt;&gt;1,AND(L109&gt;1,COUNTIFS($AG$10:$AG$109,"W"&amp;V109,$B$10:$B$109,"&lt;&gt;")&lt;&gt;1),AND(L109=3,COUNTIFS($AG$10:$AG$109,"W"&amp;W109,$B$10:$B$109,"&lt;&gt;")&lt;&gt;1),COUNTIFS($AG$10:$AG$109,"W"&amp;V109,$J$10:$J$109,"删除")&gt;0,COUNTIFS($AG$10:$AG$109,"W"&amp;W109,$J$10:$J$109,"删除")&gt;0),0,1)</f>
        <v>0</v>
      </c>
      <c r="Q109" s="1">
        <f>IF(AA109=0,0,IF(I109="里程碑",1,F109))</f>
        <v>0</v>
      </c>
      <c r="R109" s="1">
        <f>IF(AA109=0,0,Q109*G109)</f>
        <v>0</v>
      </c>
      <c r="S109" s="1">
        <f>IF(P109=0,1000000000000000,AB109*1000000+AC109*1000+AD109)</f>
        <v>1000000000000000</v>
      </c>
      <c r="T109" s="1">
        <f>IF(P109=0,0,IF(Timing浏览!$D$5="全部",1,IF(Timing浏览!$D$5="仅里程碑",IF(K109="里程碑",1,0),IF(L109&lt;=VALUE(LEFT(Timing浏览!$D$5,1)),1,0))))</f>
        <v>0</v>
      </c>
      <c r="U109" s="1" t="str">
        <f>IF(T109=0,"",COUNTIFS($S$10:$S$109,"&lt;"&amp;S109,$T$10:$T$109,1)+1)</f>
        <v/>
      </c>
      <c r="V109" s="1" t="str">
        <f>IF(OR(A109="",L109=1),"",IF(L109=2,TEXT(AB109,"0"),TEXT(AB109,"0")&amp;"."&amp;TEXT(AC109,"0")))</f>
        <v/>
      </c>
      <c r="W109" s="1" t="str">
        <f>IF(OR(A109="",L109=1),"",TEXT(AB109,"0"))</f>
        <v/>
      </c>
      <c r="X109" s="1" t="str">
        <f>IF(AND(A109="",B109=""),"",IF(OR(A109="",B109=""),"请补编号和名称",IF(AE109=0,"编号需为1至3级正整数",IF(COUNTIFS($AG$10:$AG$109,"W"&amp;A109)&lt;&gt;1,"编号重复",IF(AND(L109&gt;1,COUNTIFS($AG$10:$AG$109,"W"&amp;V109,$B$10:$B$109,"&lt;&gt;")&lt;&gt;1),"缺少父任务",IF(J109="删除","待删除",IF(P109=0,"父任务已删除或无效",IF(K109="汇总",IF(COUNTIFS($S$10:$S$109,"&gt;"&amp;S109,$S$10:$S$109,"&lt;"&amp;(S109+IF(L109=1,1000000,IF(L109=2,1000,1))),$P$10:$P$109,1)=0,"等待子任务","由下级汇总"),IF(OR(D109="",E109=""),"待补日期",IF(E109&lt;D109,"结束早于开始",IF(AND(I109="里程碑",D109&lt;&gt;E109),"里程碑须同日","")))))))))))</f>
        <v/>
      </c>
      <c r="Y109" s="1">
        <f>IF(AA109=1,D109,100000000)</f>
        <v>100000000</v>
      </c>
      <c r="Z109" s="1">
        <f>IF(AA109=1,E109,0)</f>
        <v>0</v>
      </c>
      <c r="AA109" s="1">
        <f>IF(AND(P109=1,K109&lt;&gt;"汇总",ISNUMBER(F109),OR(I109&lt;&gt;"里程碑",D109=E109)),1,0)</f>
        <v>0</v>
      </c>
      <c r="AB109" s="1">
        <f>IF(A109="",0,IFERROR(VALUE(MID(("W"&amp;A109),2,FIND(".",("W"&amp;A109)&amp;".")-2)),-1))</f>
        <v>0</v>
      </c>
      <c r="AC109" s="1">
        <f>IF(OR(A109="",L109&lt;2),0,IFERROR(VALUE(MID(("W"&amp;A109),FIND(".",("W"&amp;A109))+1,FIND(".",("W"&amp;A109)&amp;".",FIND(".",("W"&amp;A109))+1)-FIND(".",("W"&amp;A109))-1)),-1))</f>
        <v>0</v>
      </c>
      <c r="AD109" s="1">
        <f>IF(OR(A109="",L109&lt;3),0,IFERROR(VALUE(RIGHT(("W"&amp;A109),LEN(("W"&amp;A109))-FIND(".",("W"&amp;A109),FIND(".",("W"&amp;A109))+1))),-1))</f>
        <v>0</v>
      </c>
      <c r="AE109" s="1">
        <f>IF(A109="",0,IF(AND(L109&lt;=3,AB109&gt;=1,AB109&lt;=999,AC109&gt;=0,AC109&lt;=999,AD109&gt;=0,AD109&lt;=999,A109=TEXT(AB109,"0")&amp;IF(L109&gt;1,"."&amp;TEXT(AC109,"0"),"")&amp;IF(L109&gt;2,"."&amp;TEXT(AD109,"0"),""),OR(L109&lt;2,AC109&gt;=1),OR(L109&lt;3,AD109&gt;=1)),1,0))</f>
        <v>0</v>
      </c>
      <c r="AF109" s="1"/>
      <c r="AG109" t="str">
        <f>"W"&amp;A109</f>
        <v>W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Timing浏览</vt:lpstr>
      <vt:lpstr>任务编辑</vt:lpstr>
      <vt:lpstr>Timing浏览!Print_Area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 Li</cp:lastModifiedBy>
  <cp:lastPrinted>2026-10-26T10:14:42Z</cp:lastPrinted>
  <dcterms:modified xsi:type="dcterms:W3CDTF">2026-10-26T10:15:06Z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StationTiming">
    <vt:lpwstr>{"format":1,"projectId":"p","revision":1,"projectVersion":0,"versionId":"bc1d3ea3-7925-456a-8834-446a73a8187d","statusDate":"2026-10-26","token":"Cp1S8rPq667wj_AC4-DYN6OBcRAZnbBWsv3Myw9wz1Q"}</vt:lpwstr>
  </property>
</Properties>
</file>